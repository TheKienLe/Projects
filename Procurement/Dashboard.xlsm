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drawings/drawing6.xml" ContentType="application/vnd.openxmlformats-officedocument.drawingml.chartshapes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9.xml" ContentType="application/vnd.openxmlformats-officedocument.drawing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ml.chartshapes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1.xml" ContentType="application/vnd.openxmlformats-officedocument.drawingml.chartshape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2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0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3.xml" ContentType="application/vnd.openxmlformats-officedocument.drawing+xml"/>
  <Override PartName="/xl/charts/chart31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4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5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4.xml" ContentType="application/vnd.openxmlformats-officedocument.drawing+xml"/>
  <Override PartName="/xl/charts/chart36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9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40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41.xml" ContentType="application/vnd.openxmlformats-officedocument.drawingml.chart+xml"/>
  <Override PartName="/xl/drawings/drawing16.xml" ContentType="application/vnd.openxmlformats-officedocument.drawing+xml"/>
  <Override PartName="/xl/charts/chart42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7.xml" ContentType="application/vnd.openxmlformats-officedocument.drawing+xml"/>
  <Override PartName="/xl/charts/chart43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8.xml" ContentType="application/vnd.openxmlformats-officedocument.drawing+xml"/>
  <Override PartName="/xl/charts/chart44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9.xml" ContentType="application/vnd.openxmlformats-officedocument.drawing+xml"/>
  <Override PartName="/xl/charts/chart45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0.xml" ContentType="application/vnd.openxmlformats-officedocument.drawing+xml"/>
  <Override PartName="/xl/charts/chart46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1.xml" ContentType="application/vnd.openxmlformats-officedocument.drawingml.chartshapes+xml"/>
  <Override PartName="/xl/drawings/drawing22.xml" ContentType="application/vnd.openxmlformats-officedocument.drawing+xml"/>
  <Override PartName="/xl/charts/chart47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3.xml" ContentType="application/vnd.openxmlformats-officedocument.drawing+xml"/>
  <Override PartName="/xl/charts/chart48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4.xml" ContentType="application/vnd.openxmlformats-officedocument.drawing+xml"/>
  <Override PartName="/xl/charts/chart49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5.xml" ContentType="application/vnd.openxmlformats-officedocument.drawing+xml"/>
  <Override PartName="/xl/charts/chart50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charts/chart51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8.xml" ContentType="application/vnd.openxmlformats-officedocument.drawing+xml"/>
  <Override PartName="/xl/charts/chart52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9.xml" ContentType="application/vnd.openxmlformats-officedocument.drawing+xml"/>
  <Override PartName="/xl/charts/chart53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0.xml" ContentType="application/vnd.openxmlformats-officedocument.drawing+xml"/>
  <Override PartName="/xl/charts/chart54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1.xml" ContentType="application/vnd.openxmlformats-officedocument.drawing+xml"/>
  <Override PartName="/xl/charts/chart55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2.xml" ContentType="application/vnd.openxmlformats-officedocument.drawing+xml"/>
  <Override PartName="/xl/charts/chart56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33.xml" ContentType="application/vnd.openxmlformats-officedocument.drawing+xml"/>
  <Override PartName="/xl/charts/chart57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34.xml" ContentType="application/vnd.openxmlformats-officedocument.drawing+xml"/>
  <Override PartName="/xl/charts/chart58.xml" ContentType="application/vnd.openxmlformats-officedocument.drawingml.chart+xml"/>
  <Override PartName="/xl/drawings/drawing35.xml" ContentType="application/vnd.openxmlformats-officedocument.drawing+xml"/>
  <Override PartName="/xl/charts/chart59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36.xml" ContentType="application/vnd.openxmlformats-officedocument.drawing+xml"/>
  <Override PartName="/xl/charts/chart60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37.xml" ContentType="application/vnd.openxmlformats-officedocument.drawing+xml"/>
  <Override PartName="/xl/charts/chart61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38.xml" ContentType="application/vnd.openxmlformats-officedocument.drawing+xml"/>
  <Override PartName="/xl/charts/chart62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39.xml" ContentType="application/vnd.openxmlformats-officedocument.drawing+xml"/>
  <Override PartName="/xl/charts/chart63.xml" ContentType="application/vnd.openxmlformats-officedocument.drawingml.chart+xml"/>
  <Override PartName="/xl/drawings/drawing40.xml" ContentType="application/vnd.openxmlformats-officedocument.drawing+xml"/>
  <Override PartName="/xl/charts/chart64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1.xml" ContentType="application/vnd.openxmlformats-officedocument.drawing+xml"/>
  <Override PartName="/xl/charts/chart65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42.xml" ContentType="application/vnd.openxmlformats-officedocument.drawing+xml"/>
  <Override PartName="/xl/charts/chart66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3.xml" ContentType="application/vnd.openxmlformats-officedocument.drawing+xml"/>
  <Override PartName="/xl/charts/chart67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8" codeName="{00000000-0000-0000-0000-0000000000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mphcmiuedu.sharepoint.com/sites/VSCAC/Shared Documents/General/"/>
    </mc:Choice>
  </mc:AlternateContent>
  <xr:revisionPtr revIDLastSave="16" documentId="13_ncr:1_{256240AF-A5BF-476C-8873-ED18F9A115A0}" xr6:coauthVersionLast="47" xr6:coauthVersionMax="47" xr10:uidLastSave="{64B3AFDD-7D97-4A9F-A368-57235CB7768F}"/>
  <bookViews>
    <workbookView xWindow="-108" yWindow="-108" windowWidth="23256" windowHeight="12576" tabRatio="869" xr2:uid="{940298D5-78A3-44DB-AB23-C28A898A8FB7}"/>
  </bookViews>
  <sheets>
    <sheet name="Data round 3" sheetId="80" r:id="rId1"/>
    <sheet name="Biểu đồ round 3" sheetId="81" r:id="rId2"/>
    <sheet name="Hướng dẫn" sheetId="77" r:id="rId3"/>
    <sheet name="Data" sheetId="1" r:id="rId4"/>
    <sheet name="Phòng mua hàng" sheetId="10" r:id="rId5"/>
    <sheet name="Nhân viên mua hàng" sheetId="17" r:id="rId6"/>
    <sheet name="NV_1" sheetId="31" r:id="rId7"/>
    <sheet name="NV_2" sheetId="27" r:id="rId8"/>
    <sheet name="NV_3" sheetId="30" r:id="rId9"/>
    <sheet name="PM_Total PR &amp; Total PO" sheetId="49" r:id="rId10"/>
    <sheet name="PM_PR Urgent &amp; Complete" sheetId="51" r:id="rId11"/>
    <sheet name="PM_PR Pending" sheetId="52" r:id="rId12"/>
    <sheet name="PM_PO Pending" sheetId="53" r:id="rId13"/>
    <sheet name="PM_Avg Processing Time" sheetId="54" r:id="rId14"/>
    <sheet name="NV_PR Pending" sheetId="56" r:id="rId15"/>
    <sheet name="NV_Total PR" sheetId="55" r:id="rId16"/>
    <sheet name="NV_Avg Processing Time" sheetId="57" r:id="rId17"/>
    <sheet name="NV_Total PO" sheetId="58" r:id="rId18"/>
    <sheet name="NV_PO Pending" sheetId="59" r:id="rId19"/>
    <sheet name="NV_PR Urgent" sheetId="61" r:id="rId20"/>
    <sheet name="NV_Sum PR &amp; PO" sheetId="60" r:id="rId21"/>
    <sheet name="NV1_Total PR &amp; Total PO" sheetId="62" r:id="rId22"/>
    <sheet name="NV1_PR Urgent &amp; Complete" sheetId="63" r:id="rId23"/>
    <sheet name="NV1_PR Pending" sheetId="64" r:id="rId24"/>
    <sheet name="NV1_PO Pending" sheetId="65" r:id="rId25"/>
    <sheet name="NV1_Avg Processing Time" sheetId="66" r:id="rId26"/>
    <sheet name="NV2_Total PR &amp; Total PO" sheetId="67" r:id="rId27"/>
    <sheet name="NV2_PR Urgent &amp; Complete" sheetId="68" r:id="rId28"/>
    <sheet name="NV2_PR Pending" sheetId="69" r:id="rId29"/>
    <sheet name="NV2_PO Pending" sheetId="70" r:id="rId30"/>
    <sheet name="NV2_Avg Processing Time" sheetId="71" r:id="rId31"/>
    <sheet name="NV3_Total PR &amp; Total PO" sheetId="72" r:id="rId32"/>
    <sheet name="NV3_PR Urgent &amp; Complete" sheetId="73" r:id="rId33"/>
    <sheet name="NV3_PR Pending" sheetId="74" r:id="rId34"/>
    <sheet name="NV3_PO Pending" sheetId="75" r:id="rId35"/>
    <sheet name="NV3_Avg Processing Time" sheetId="76" r:id="rId36"/>
  </sheets>
  <externalReferences>
    <externalReference r:id="rId37"/>
    <externalReference r:id="rId38"/>
    <externalReference r:id="rId39"/>
  </externalReferences>
  <definedNames>
    <definedName name="Average_PR_PO_Dashboard">OFFSET(Dash_PR_Pro,0,20)</definedName>
    <definedName name="Dash_AVG_M">OFFSET(Dash_PR_Pro,0,23)</definedName>
    <definedName name="Dash_AVG_Pro">OFFSET(Dash_PR_Pro,0,20)</definedName>
    <definedName name="Dash_AVG_Total">OFFSET(Dash_PR_Pro,0,21)</definedName>
    <definedName name="Dash_AVG_Y">OFFSET(Dash_PR_Pro,0,22)</definedName>
    <definedName name="Dash_AVG_YTD">OFFSET([1]PR_PO_Dashboard!$Z$1,0,0,COUNTA([1]PR_PO_Dashboard!$Z$1:$Z$1000),2)</definedName>
    <definedName name="Dash_GR_M">OFFSET(Dash_GR_Y,0,1)</definedName>
    <definedName name="Dash_GR_Pro">OFFSET(Dash_PR_Pro,0,42)</definedName>
    <definedName name="Dash_GR_Total">OFFSET(Dash_GR_Pro,0,1)</definedName>
    <definedName name="Dash_GR_Y">OFFSET(Dash_GR_Total,0,1)</definedName>
    <definedName name="Dash_Invoice_M">OFFSET(Dash_PR_Total,0,30)</definedName>
    <definedName name="Dash_Invoice_Pro">OFFSET(Dash_PR_Total,0,27)</definedName>
    <definedName name="Dash_Invoice_Total">OFFSET(Dash_PR_Total,0,28)</definedName>
    <definedName name="Dash_Invoice_Y">OFFSET(Dash_PR_Total,0,29)</definedName>
    <definedName name="Dash_Late_Total">OFFSET(Dash_PR_Total,0,32,,2)</definedName>
    <definedName name="Dash_O7_Total">OFFSET(Dash_PR_Total,0,38,,2)</definedName>
    <definedName name="Dash_PO_M">OFFSET(Dash_PR_Pro,0,8)</definedName>
    <definedName name="Dash_PO_Pro">OFFSET(Dash_PR_Pro,0,5)</definedName>
    <definedName name="Dash_PO_Process_M">OFFSET(Dash_PR_Pro,0,18)</definedName>
    <definedName name="Dash_PO_Process_Pro">OFFSET(Dash_PR_Pro,0,15)</definedName>
    <definedName name="Dash_PO_Process_Total">OFFSET(Dash_PR_Pro,0,16)</definedName>
    <definedName name="Dash_PO_Process_Y">OFFSET(Dash_PR_Pro,0,17)</definedName>
    <definedName name="Dash_PO_Total">OFFSET(Dash_PR_Pro,0,6)</definedName>
    <definedName name="Dash_PO_Y">OFFSET(Dash_PR_Pro,0,7)</definedName>
    <definedName name="Dash_PR_M">OFFSET(Dash_PR_Pro,0,3)</definedName>
    <definedName name="Dash_PR_Pen_M">OFFSET(Dash_PR_Pro,0,13)</definedName>
    <definedName name="Dash_PR_Pen_Pro">OFFSET(Dash_PR_Pro,0,10)</definedName>
    <definedName name="Dash_PR_Pen_Total">OFFSET(Dash_PR_Pro,0,11)</definedName>
    <definedName name="Dash_PR_Pen_Y">OFFSET(Dash_PR_Pro,0,12)</definedName>
    <definedName name="Dash_PR_Pro">OFFSET([1]PR_PO_Dashboard!$A$1,0,0,1000)</definedName>
    <definedName name="Dash_PR_Total">OFFSET(Dash_PR_Pro,0,1)</definedName>
    <definedName name="Dash_PR_Y">OFFSET(Dash_PR_Pro,0,2)</definedName>
    <definedName name="Dash_Urgent_PR_M">OFFSET(Dash_Urgent_PR_Pro,0,3)</definedName>
    <definedName name="Dash_Urgent_PR_Pro">OFFSET([1]PR_PO_Dashboard!$AV$1,0,0,COUNTA([1]PR_PO_Dashboard!$AV$1:$AV$1000))</definedName>
    <definedName name="Dash_Urgent_PR_Total">OFFSET(Dash_Urgent_PR_Pro,0,1)</definedName>
    <definedName name="Dash_Urgent_PR_Y">OFFSET(Dash_Urgent_PR_Pro,0,2)</definedName>
    <definedName name="Dash_W7_Total">OFFSET(Dash_PR_Total,0,35,,2)</definedName>
    <definedName name="month">'[1]Master data'!$E$2:$E$13</definedName>
    <definedName name="PO_Com_line">OFFSET(Data!$AN$3,0,0,COUNTA(Data!$AN:$AN),1)</definedName>
    <definedName name="PO_Com_M">OFFSET(Data!$AO$3,0,0,COUNTA(Data!$AO:$AO),1)</definedName>
    <definedName name="PO_Com_pro">OFFSET(Data!$AM$3,0,0,COUNTA(Data!$AM:$AM)-1,1)</definedName>
    <definedName name="PO_Com_Y">OFFSET(Data!$AP$3,0,0,COUNTA(Data!$AP:$AP),1)</definedName>
    <definedName name="PO_date">OFFSET(PR_date,0,2)</definedName>
    <definedName name="PO_Line">OFFSET(PO_No,0,1)</definedName>
    <definedName name="PO_No">OFFSET(PR_No,0,2)</definedName>
    <definedName name="PO_pend_line">OFFSET(Data!$Q$3,0,0,COUNTA(Data!$Q:$Q),1)</definedName>
    <definedName name="PO_pend_M">OFFSET(Data!$R$3,0,0,COUNTA(Data!$R:$R),1)</definedName>
    <definedName name="PO_pend_pro">OFFSET(Data!$P$3,0,0,COUNTA(Data!$P:$P)-1,1)</definedName>
    <definedName name="PO_pend_Y">OFFSET(Data!$S$3,0,0,COUNTA(Data!$S:$S),1)</definedName>
    <definedName name="PO_total_line">OFFSET(Data!$G$3,0,0,COUNTA(Data!$G:$G),1)</definedName>
    <definedName name="PO_total_M">OFFSET(Data!$H$3,0,0,COUNTA(Data!$H:$H),1)</definedName>
    <definedName name="PO_total_pro">OFFSET(Data!$F$3,0,0,COUNTA(Data!$F:$F)-1,1)</definedName>
    <definedName name="PO_total_Y">OFFSET(Data!$I$3,0,0,COUNTA(Data!$I:$I),1)</definedName>
    <definedName name="PO_User">OFFSET(PR_No,0,31)</definedName>
    <definedName name="PR_date">OFFSET(PR_No,0,24)</definedName>
    <definedName name="PR_line">OFFSET(PR_No,0,1)</definedName>
    <definedName name="PR_No">OFFSET('[1]PR Status Detail'!$A$14,0,0,COUNTA('[1]PR Status Detail'!$A$14:$A$2615))</definedName>
    <definedName name="PR_pend_line">OFFSET(Data!$L$3,0,0,COUNTA(Data!$L:$L),1)</definedName>
    <definedName name="PR_pend_M">OFFSET(Data!$M$3,0,0,COUNTA(Data!$M:$M),1)</definedName>
    <definedName name="PR_pend_pro">OFFSET(Data!$K$3,0,0,COUNTA(Data!$K:$K)-1,1)</definedName>
    <definedName name="PR_pend_Y">OFFSET(Data!$N$3,0,0,COUNTA(Data!$N:$N),1)</definedName>
    <definedName name="PR_PO_avg_line">OFFSET(Data!$V$3,0,0,COUNTA(Data!$V:$V),1)</definedName>
    <definedName name="PR_PO_avg_M">OFFSET(Data!$W$3,0,0,COUNTA(Data!$W:$W),1)</definedName>
    <definedName name="PR_PO_avg_pro">OFFSET(Data!$U$3,0,0,COUNTA(Data!$U:$U)-1,1)</definedName>
    <definedName name="PR_PO_avg_Y">OFFSET(Data!$X$3,0,0,COUNTA(Data!$X:$X),1)</definedName>
    <definedName name="PR_PO_Total_line">OFFSET(Data!$AK$3,1,1,COUNTA(Data!$AK:$AK),1)</definedName>
    <definedName name="PR_PO_Total_pro">OFFSET(Data!$AJ$3,0,0,COUNTA(Data!$AJ:$AJ)-1,1)</definedName>
    <definedName name="PR_Procurement">OFFSET(PR_No,0,26)</definedName>
    <definedName name="PR_total_line">OFFSET(Data!$B$3,0,0,COUNTA(Data!$B:$B),1)</definedName>
    <definedName name="PR_total_M">OFFSET(Data!$C$3,0,0,COUNTA(Data!$C:$C),1)</definedName>
    <definedName name="PR_total_pro">OFFSET(Data!$A$3,0,0,COUNTA(Data!$A:$A)-1,1)</definedName>
    <definedName name="PR_total_Y">OFFSET(Data!$D$3,0,0,COUNTA(Data!$D:$D),1)</definedName>
    <definedName name="PR_Urgen_pro">OFFSET(Data!$Z$3,0,0,COUNTA(Data!$Z:$Z)-1,1)</definedName>
    <definedName name="PR_Urgent_Com_line">OFFSET(Data!$AF$3,0,0,COUNTA(Data!$AF:$AF),1)</definedName>
    <definedName name="PR_Urgent_Com_M">OFFSET(Data!$AG$3,0,0,COUNTA(Data!$AG:$AG),1)</definedName>
    <definedName name="PR_Urgent_Com_pro">OFFSET(Data!$AE$3,0,0,COUNTA(Data!$AE:$AE)-1,1)</definedName>
    <definedName name="PR_Urgent_Com_Y">OFFSET(Data!$AH$3,0,0,COUNTA(Data!$AH:$AH),1)</definedName>
    <definedName name="PR_Urgent_Mon">OFFSET(Data!$AB$3,0,0,COUNTA(Data!$AB:$AB),1)</definedName>
    <definedName name="PR_Urgent_Total">OFFSET(Data!$AA$3,0,0,COUNTA(Data!$AA:$AA),1)</definedName>
    <definedName name="PR_Urgent_Yea">OFFSET(Data!$AC$3,0,0,COUNTA(Data!$AC:$AC),1)</definedName>
    <definedName name="Procurement">'[1]Master data'!$A$2:$A$8</definedName>
    <definedName name="PRPOcheck_POuser">OFFSET(Data!$CJ$3,0,0,COUNTA(Data!$CJ:$CJ),1)</definedName>
    <definedName name="PRPOcheck_Pro">OFFSET(Data!$CE$3,0,0,COUNTA(Data!$CE:$CE)-1,1)</definedName>
    <definedName name="PRPOcheck_quantity">OFFSET(Data!$CG$3,0,0,COUNTA(Data!$CG:$CG),1)</definedName>
    <definedName name="year">'[1]Master data'!$F$2:$F$5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O168" i="1" l="1"/>
  <c r="BG16" i="80" l="1"/>
  <c r="BH15" i="80" s="1"/>
  <c r="BI15" i="80" s="1"/>
  <c r="BP4" i="80"/>
  <c r="BL13" i="80" s="1"/>
  <c r="BA7" i="80"/>
  <c r="BA8" i="80"/>
  <c r="BA9" i="80"/>
  <c r="BA10" i="80"/>
  <c r="BA11" i="80"/>
  <c r="BA12" i="80"/>
  <c r="BA13" i="80"/>
  <c r="BA14" i="80"/>
  <c r="BA15" i="80"/>
  <c r="BA16" i="80"/>
  <c r="BA17" i="80"/>
  <c r="BA18" i="80"/>
  <c r="BA19" i="80"/>
  <c r="BA20" i="80"/>
  <c r="BA21" i="80"/>
  <c r="BA6" i="80"/>
  <c r="N930" i="80"/>
  <c r="O930" i="80" s="1"/>
  <c r="N929" i="80"/>
  <c r="O929" i="80" s="1"/>
  <c r="N928" i="80"/>
  <c r="O928" i="80" s="1"/>
  <c r="N927" i="80"/>
  <c r="O927" i="80" s="1"/>
  <c r="N926" i="80"/>
  <c r="O926" i="80" s="1"/>
  <c r="N925" i="80"/>
  <c r="O925" i="80" s="1"/>
  <c r="N924" i="80"/>
  <c r="O924" i="80" s="1"/>
  <c r="N923" i="80"/>
  <c r="O923" i="80" s="1"/>
  <c r="N922" i="80"/>
  <c r="O922" i="80" s="1"/>
  <c r="N921" i="80"/>
  <c r="O921" i="80" s="1"/>
  <c r="N920" i="80"/>
  <c r="O920" i="80" s="1"/>
  <c r="N919" i="80"/>
  <c r="O919" i="80" s="1"/>
  <c r="N918" i="80"/>
  <c r="O918" i="80" s="1"/>
  <c r="N917" i="80"/>
  <c r="O917" i="80" s="1"/>
  <c r="N916" i="80"/>
  <c r="O916" i="80" s="1"/>
  <c r="N915" i="80"/>
  <c r="O915" i="80" s="1"/>
  <c r="N914" i="80"/>
  <c r="O914" i="80" s="1"/>
  <c r="N913" i="80"/>
  <c r="O913" i="80" s="1"/>
  <c r="N912" i="80"/>
  <c r="O912" i="80" s="1"/>
  <c r="N911" i="80"/>
  <c r="O911" i="80" s="1"/>
  <c r="N910" i="80"/>
  <c r="O910" i="80" s="1"/>
  <c r="N909" i="80"/>
  <c r="O909" i="80" s="1"/>
  <c r="N908" i="80"/>
  <c r="O908" i="80" s="1"/>
  <c r="N907" i="80"/>
  <c r="O907" i="80" s="1"/>
  <c r="N906" i="80"/>
  <c r="O906" i="80" s="1"/>
  <c r="N905" i="80"/>
  <c r="O905" i="80" s="1"/>
  <c r="N904" i="80"/>
  <c r="O904" i="80" s="1"/>
  <c r="N903" i="80"/>
  <c r="O903" i="80" s="1"/>
  <c r="N902" i="80"/>
  <c r="O902" i="80" s="1"/>
  <c r="N901" i="80"/>
  <c r="O901" i="80" s="1"/>
  <c r="N900" i="80"/>
  <c r="O900" i="80" s="1"/>
  <c r="N899" i="80"/>
  <c r="O899" i="80" s="1"/>
  <c r="N898" i="80"/>
  <c r="O898" i="80" s="1"/>
  <c r="N897" i="80"/>
  <c r="O897" i="80" s="1"/>
  <c r="N896" i="80"/>
  <c r="O896" i="80" s="1"/>
  <c r="N895" i="80"/>
  <c r="O895" i="80" s="1"/>
  <c r="N894" i="80"/>
  <c r="O894" i="80" s="1"/>
  <c r="N893" i="80"/>
  <c r="O893" i="80" s="1"/>
  <c r="N892" i="80"/>
  <c r="O892" i="80" s="1"/>
  <c r="N891" i="80"/>
  <c r="O891" i="80" s="1"/>
  <c r="N890" i="80"/>
  <c r="O890" i="80" s="1"/>
  <c r="N889" i="80"/>
  <c r="O889" i="80" s="1"/>
  <c r="N888" i="80"/>
  <c r="O888" i="80" s="1"/>
  <c r="N887" i="80"/>
  <c r="O887" i="80" s="1"/>
  <c r="N886" i="80"/>
  <c r="O886" i="80" s="1"/>
  <c r="N885" i="80"/>
  <c r="O885" i="80" s="1"/>
  <c r="N884" i="80"/>
  <c r="O884" i="80" s="1"/>
  <c r="N883" i="80"/>
  <c r="O883" i="80" s="1"/>
  <c r="N882" i="80"/>
  <c r="O882" i="80" s="1"/>
  <c r="N881" i="80"/>
  <c r="O881" i="80" s="1"/>
  <c r="N880" i="80"/>
  <c r="O880" i="80" s="1"/>
  <c r="N879" i="80"/>
  <c r="O879" i="80" s="1"/>
  <c r="N878" i="80"/>
  <c r="O878" i="80" s="1"/>
  <c r="N877" i="80"/>
  <c r="O877" i="80" s="1"/>
  <c r="N876" i="80"/>
  <c r="O876" i="80" s="1"/>
  <c r="N875" i="80"/>
  <c r="O875" i="80" s="1"/>
  <c r="N874" i="80"/>
  <c r="O874" i="80" s="1"/>
  <c r="N873" i="80"/>
  <c r="O873" i="80" s="1"/>
  <c r="N872" i="80"/>
  <c r="O872" i="80" s="1"/>
  <c r="N871" i="80"/>
  <c r="O871" i="80" s="1"/>
  <c r="N870" i="80"/>
  <c r="O870" i="80" s="1"/>
  <c r="N869" i="80"/>
  <c r="O869" i="80" s="1"/>
  <c r="N868" i="80"/>
  <c r="O868" i="80" s="1"/>
  <c r="N867" i="80"/>
  <c r="O867" i="80" s="1"/>
  <c r="N866" i="80"/>
  <c r="O866" i="80" s="1"/>
  <c r="N865" i="80"/>
  <c r="O865" i="80" s="1"/>
  <c r="N864" i="80"/>
  <c r="O864" i="80" s="1"/>
  <c r="N863" i="80"/>
  <c r="O863" i="80" s="1"/>
  <c r="N862" i="80"/>
  <c r="O862" i="80" s="1"/>
  <c r="N861" i="80"/>
  <c r="O861" i="80" s="1"/>
  <c r="N860" i="80"/>
  <c r="O860" i="80" s="1"/>
  <c r="N859" i="80"/>
  <c r="O859" i="80" s="1"/>
  <c r="N858" i="80"/>
  <c r="O858" i="80" s="1"/>
  <c r="N857" i="80"/>
  <c r="O857" i="80" s="1"/>
  <c r="N856" i="80"/>
  <c r="O856" i="80" s="1"/>
  <c r="N855" i="80"/>
  <c r="O855" i="80" s="1"/>
  <c r="N854" i="80"/>
  <c r="O854" i="80" s="1"/>
  <c r="N853" i="80"/>
  <c r="O853" i="80" s="1"/>
  <c r="N852" i="80"/>
  <c r="O852" i="80" s="1"/>
  <c r="N851" i="80"/>
  <c r="O851" i="80" s="1"/>
  <c r="N850" i="80"/>
  <c r="O850" i="80" s="1"/>
  <c r="N849" i="80"/>
  <c r="O849" i="80" s="1"/>
  <c r="N848" i="80"/>
  <c r="O848" i="80" s="1"/>
  <c r="N847" i="80"/>
  <c r="O847" i="80" s="1"/>
  <c r="N846" i="80"/>
  <c r="O846" i="80" s="1"/>
  <c r="N845" i="80"/>
  <c r="O845" i="80" s="1"/>
  <c r="N844" i="80"/>
  <c r="O844" i="80" s="1"/>
  <c r="N843" i="80"/>
  <c r="O843" i="80" s="1"/>
  <c r="N842" i="80"/>
  <c r="O842" i="80" s="1"/>
  <c r="N841" i="80"/>
  <c r="O841" i="80" s="1"/>
  <c r="N840" i="80"/>
  <c r="O840" i="80" s="1"/>
  <c r="N839" i="80"/>
  <c r="O839" i="80" s="1"/>
  <c r="N838" i="80"/>
  <c r="O838" i="80" s="1"/>
  <c r="N837" i="80"/>
  <c r="O837" i="80" s="1"/>
  <c r="N836" i="80"/>
  <c r="O836" i="80" s="1"/>
  <c r="N835" i="80"/>
  <c r="O835" i="80" s="1"/>
  <c r="N834" i="80"/>
  <c r="O834" i="80" s="1"/>
  <c r="N833" i="80"/>
  <c r="O833" i="80" s="1"/>
  <c r="N832" i="80"/>
  <c r="O832" i="80" s="1"/>
  <c r="N831" i="80"/>
  <c r="O831" i="80" s="1"/>
  <c r="N830" i="80"/>
  <c r="O830" i="80" s="1"/>
  <c r="N829" i="80"/>
  <c r="O829" i="80" s="1"/>
  <c r="N828" i="80"/>
  <c r="O828" i="80" s="1"/>
  <c r="N827" i="80"/>
  <c r="O827" i="80" s="1"/>
  <c r="N826" i="80"/>
  <c r="O826" i="80" s="1"/>
  <c r="N825" i="80"/>
  <c r="O825" i="80" s="1"/>
  <c r="N824" i="80"/>
  <c r="O824" i="80" s="1"/>
  <c r="N823" i="80"/>
  <c r="O823" i="80" s="1"/>
  <c r="N822" i="80"/>
  <c r="O822" i="80" s="1"/>
  <c r="N821" i="80"/>
  <c r="O821" i="80" s="1"/>
  <c r="N820" i="80"/>
  <c r="O820" i="80" s="1"/>
  <c r="N819" i="80"/>
  <c r="O819" i="80" s="1"/>
  <c r="N818" i="80"/>
  <c r="O818" i="80" s="1"/>
  <c r="N817" i="80"/>
  <c r="O817" i="80" s="1"/>
  <c r="N816" i="80"/>
  <c r="O816" i="80" s="1"/>
  <c r="N815" i="80"/>
  <c r="O815" i="80" s="1"/>
  <c r="N814" i="80"/>
  <c r="O814" i="80" s="1"/>
  <c r="N813" i="80"/>
  <c r="O813" i="80" s="1"/>
  <c r="N812" i="80"/>
  <c r="O812" i="80" s="1"/>
  <c r="N811" i="80"/>
  <c r="O811" i="80" s="1"/>
  <c r="N810" i="80"/>
  <c r="O810" i="80" s="1"/>
  <c r="N809" i="80"/>
  <c r="O809" i="80" s="1"/>
  <c r="N808" i="80"/>
  <c r="O808" i="80" s="1"/>
  <c r="N807" i="80"/>
  <c r="O807" i="80" s="1"/>
  <c r="N806" i="80"/>
  <c r="O806" i="80" s="1"/>
  <c r="N805" i="80"/>
  <c r="O805" i="80" s="1"/>
  <c r="N804" i="80"/>
  <c r="O804" i="80" s="1"/>
  <c r="N803" i="80"/>
  <c r="O803" i="80" s="1"/>
  <c r="N802" i="80"/>
  <c r="O802" i="80" s="1"/>
  <c r="N801" i="80"/>
  <c r="O801" i="80" s="1"/>
  <c r="N800" i="80"/>
  <c r="O800" i="80" s="1"/>
  <c r="N799" i="80"/>
  <c r="O799" i="80" s="1"/>
  <c r="N798" i="80"/>
  <c r="O798" i="80" s="1"/>
  <c r="N797" i="80"/>
  <c r="O797" i="80" s="1"/>
  <c r="N796" i="80"/>
  <c r="O796" i="80" s="1"/>
  <c r="N795" i="80"/>
  <c r="O795" i="80" s="1"/>
  <c r="N794" i="80"/>
  <c r="O794" i="80" s="1"/>
  <c r="N793" i="80"/>
  <c r="O793" i="80" s="1"/>
  <c r="N792" i="80"/>
  <c r="O792" i="80" s="1"/>
  <c r="N791" i="80"/>
  <c r="O791" i="80" s="1"/>
  <c r="N790" i="80"/>
  <c r="O790" i="80" s="1"/>
  <c r="N789" i="80"/>
  <c r="O789" i="80" s="1"/>
  <c r="N788" i="80"/>
  <c r="O788" i="80" s="1"/>
  <c r="N787" i="80"/>
  <c r="O787" i="80" s="1"/>
  <c r="N786" i="80"/>
  <c r="O786" i="80" s="1"/>
  <c r="N785" i="80"/>
  <c r="O785" i="80" s="1"/>
  <c r="N784" i="80"/>
  <c r="O784" i="80" s="1"/>
  <c r="N783" i="80"/>
  <c r="O783" i="80" s="1"/>
  <c r="N782" i="80"/>
  <c r="O782" i="80" s="1"/>
  <c r="N781" i="80"/>
  <c r="O781" i="80" s="1"/>
  <c r="N780" i="80"/>
  <c r="O780" i="80" s="1"/>
  <c r="N779" i="80"/>
  <c r="O779" i="80" s="1"/>
  <c r="N778" i="80"/>
  <c r="O778" i="80" s="1"/>
  <c r="N777" i="80"/>
  <c r="O777" i="80" s="1"/>
  <c r="N776" i="80"/>
  <c r="O776" i="80" s="1"/>
  <c r="N775" i="80"/>
  <c r="O775" i="80" s="1"/>
  <c r="N774" i="80"/>
  <c r="O774" i="80" s="1"/>
  <c r="N773" i="80"/>
  <c r="O773" i="80" s="1"/>
  <c r="N772" i="80"/>
  <c r="O772" i="80" s="1"/>
  <c r="N771" i="80"/>
  <c r="O771" i="80" s="1"/>
  <c r="N770" i="80"/>
  <c r="O770" i="80" s="1"/>
  <c r="N769" i="80"/>
  <c r="O769" i="80" s="1"/>
  <c r="N768" i="80"/>
  <c r="O768" i="80" s="1"/>
  <c r="N767" i="80"/>
  <c r="O767" i="80" s="1"/>
  <c r="N766" i="80"/>
  <c r="O766" i="80" s="1"/>
  <c r="N765" i="80"/>
  <c r="O765" i="80" s="1"/>
  <c r="N764" i="80"/>
  <c r="O764" i="80" s="1"/>
  <c r="N763" i="80"/>
  <c r="O763" i="80" s="1"/>
  <c r="N762" i="80"/>
  <c r="O762" i="80" s="1"/>
  <c r="N761" i="80"/>
  <c r="O761" i="80" s="1"/>
  <c r="N760" i="80"/>
  <c r="O760" i="80" s="1"/>
  <c r="N759" i="80"/>
  <c r="O759" i="80" s="1"/>
  <c r="N758" i="80"/>
  <c r="O758" i="80" s="1"/>
  <c r="N757" i="80"/>
  <c r="O757" i="80" s="1"/>
  <c r="N756" i="80"/>
  <c r="O756" i="80" s="1"/>
  <c r="N755" i="80"/>
  <c r="O755" i="80" s="1"/>
  <c r="N754" i="80"/>
  <c r="O754" i="80" s="1"/>
  <c r="N753" i="80"/>
  <c r="O753" i="80" s="1"/>
  <c r="N752" i="80"/>
  <c r="O752" i="80" s="1"/>
  <c r="N751" i="80"/>
  <c r="O751" i="80" s="1"/>
  <c r="N750" i="80"/>
  <c r="O750" i="80" s="1"/>
  <c r="N749" i="80"/>
  <c r="O749" i="80" s="1"/>
  <c r="N748" i="80"/>
  <c r="O748" i="80" s="1"/>
  <c r="N747" i="80"/>
  <c r="O747" i="80" s="1"/>
  <c r="N746" i="80"/>
  <c r="O746" i="80" s="1"/>
  <c r="N745" i="80"/>
  <c r="O745" i="80" s="1"/>
  <c r="N744" i="80"/>
  <c r="O744" i="80" s="1"/>
  <c r="N743" i="80"/>
  <c r="O743" i="80" s="1"/>
  <c r="N742" i="80"/>
  <c r="O742" i="80" s="1"/>
  <c r="N741" i="80"/>
  <c r="O741" i="80" s="1"/>
  <c r="N740" i="80"/>
  <c r="O740" i="80" s="1"/>
  <c r="N739" i="80"/>
  <c r="O739" i="80" s="1"/>
  <c r="N738" i="80"/>
  <c r="O738" i="80" s="1"/>
  <c r="N737" i="80"/>
  <c r="O737" i="80" s="1"/>
  <c r="N736" i="80"/>
  <c r="O736" i="80" s="1"/>
  <c r="N735" i="80"/>
  <c r="O735" i="80" s="1"/>
  <c r="N734" i="80"/>
  <c r="O734" i="80" s="1"/>
  <c r="N733" i="80"/>
  <c r="O733" i="80" s="1"/>
  <c r="N732" i="80"/>
  <c r="O732" i="80" s="1"/>
  <c r="N731" i="80"/>
  <c r="O731" i="80" s="1"/>
  <c r="N730" i="80"/>
  <c r="O730" i="80" s="1"/>
  <c r="N729" i="80"/>
  <c r="O729" i="80" s="1"/>
  <c r="N728" i="80"/>
  <c r="O728" i="80" s="1"/>
  <c r="N727" i="80"/>
  <c r="O727" i="80" s="1"/>
  <c r="N726" i="80"/>
  <c r="O726" i="80" s="1"/>
  <c r="N725" i="80"/>
  <c r="O725" i="80" s="1"/>
  <c r="N724" i="80"/>
  <c r="O724" i="80" s="1"/>
  <c r="N723" i="80"/>
  <c r="O723" i="80" s="1"/>
  <c r="N722" i="80"/>
  <c r="O722" i="80" s="1"/>
  <c r="N721" i="80"/>
  <c r="O721" i="80" s="1"/>
  <c r="N720" i="80"/>
  <c r="O720" i="80" s="1"/>
  <c r="N719" i="80"/>
  <c r="O719" i="80" s="1"/>
  <c r="N718" i="80"/>
  <c r="O718" i="80" s="1"/>
  <c r="N717" i="80"/>
  <c r="O717" i="80" s="1"/>
  <c r="N716" i="80"/>
  <c r="O716" i="80" s="1"/>
  <c r="N715" i="80"/>
  <c r="O715" i="80" s="1"/>
  <c r="N714" i="80"/>
  <c r="O714" i="80" s="1"/>
  <c r="N713" i="80"/>
  <c r="O713" i="80" s="1"/>
  <c r="N712" i="80"/>
  <c r="O712" i="80" s="1"/>
  <c r="N711" i="80"/>
  <c r="O711" i="80" s="1"/>
  <c r="N710" i="80"/>
  <c r="O710" i="80" s="1"/>
  <c r="N709" i="80"/>
  <c r="O709" i="80" s="1"/>
  <c r="N708" i="80"/>
  <c r="O708" i="80" s="1"/>
  <c r="N707" i="80"/>
  <c r="O707" i="80" s="1"/>
  <c r="N706" i="80"/>
  <c r="O706" i="80" s="1"/>
  <c r="N705" i="80"/>
  <c r="O705" i="80" s="1"/>
  <c r="N704" i="80"/>
  <c r="O704" i="80" s="1"/>
  <c r="N703" i="80"/>
  <c r="O703" i="80" s="1"/>
  <c r="N702" i="80"/>
  <c r="O702" i="80" s="1"/>
  <c r="N701" i="80"/>
  <c r="O701" i="80" s="1"/>
  <c r="N700" i="80"/>
  <c r="O700" i="80" s="1"/>
  <c r="N699" i="80"/>
  <c r="O699" i="80" s="1"/>
  <c r="N698" i="80"/>
  <c r="O698" i="80" s="1"/>
  <c r="N697" i="80"/>
  <c r="O697" i="80" s="1"/>
  <c r="N696" i="80"/>
  <c r="O696" i="80" s="1"/>
  <c r="N695" i="80"/>
  <c r="O695" i="80" s="1"/>
  <c r="N694" i="80"/>
  <c r="O694" i="80" s="1"/>
  <c r="N693" i="80"/>
  <c r="O693" i="80" s="1"/>
  <c r="N692" i="80"/>
  <c r="O692" i="80" s="1"/>
  <c r="N691" i="80"/>
  <c r="O691" i="80" s="1"/>
  <c r="N690" i="80"/>
  <c r="O690" i="80" s="1"/>
  <c r="N689" i="80"/>
  <c r="O689" i="80" s="1"/>
  <c r="N688" i="80"/>
  <c r="O688" i="80" s="1"/>
  <c r="N687" i="80"/>
  <c r="O687" i="80" s="1"/>
  <c r="N686" i="80"/>
  <c r="O686" i="80" s="1"/>
  <c r="N685" i="80"/>
  <c r="O685" i="80" s="1"/>
  <c r="N684" i="80"/>
  <c r="O684" i="80" s="1"/>
  <c r="N683" i="80"/>
  <c r="O683" i="80" s="1"/>
  <c r="N682" i="80"/>
  <c r="O682" i="80" s="1"/>
  <c r="N681" i="80"/>
  <c r="O681" i="80" s="1"/>
  <c r="N680" i="80"/>
  <c r="O680" i="80" s="1"/>
  <c r="N679" i="80"/>
  <c r="O679" i="80" s="1"/>
  <c r="N678" i="80"/>
  <c r="O678" i="80" s="1"/>
  <c r="N677" i="80"/>
  <c r="O677" i="80" s="1"/>
  <c r="N676" i="80"/>
  <c r="O676" i="80" s="1"/>
  <c r="N675" i="80"/>
  <c r="O675" i="80" s="1"/>
  <c r="N674" i="80"/>
  <c r="O674" i="80" s="1"/>
  <c r="N673" i="80"/>
  <c r="O673" i="80" s="1"/>
  <c r="N672" i="80"/>
  <c r="O672" i="80" s="1"/>
  <c r="N671" i="80"/>
  <c r="O671" i="80" s="1"/>
  <c r="N670" i="80"/>
  <c r="O670" i="80" s="1"/>
  <c r="N669" i="80"/>
  <c r="O669" i="80" s="1"/>
  <c r="N668" i="80"/>
  <c r="O668" i="80" s="1"/>
  <c r="N667" i="80"/>
  <c r="O667" i="80" s="1"/>
  <c r="N666" i="80"/>
  <c r="O666" i="80" s="1"/>
  <c r="N665" i="80"/>
  <c r="O665" i="80" s="1"/>
  <c r="N664" i="80"/>
  <c r="O664" i="80" s="1"/>
  <c r="N663" i="80"/>
  <c r="O663" i="80" s="1"/>
  <c r="N662" i="80"/>
  <c r="O662" i="80" s="1"/>
  <c r="N661" i="80"/>
  <c r="O661" i="80" s="1"/>
  <c r="N660" i="80"/>
  <c r="O660" i="80" s="1"/>
  <c r="N659" i="80"/>
  <c r="O659" i="80" s="1"/>
  <c r="N658" i="80"/>
  <c r="O658" i="80" s="1"/>
  <c r="N657" i="80"/>
  <c r="O657" i="80" s="1"/>
  <c r="N656" i="80"/>
  <c r="O656" i="80" s="1"/>
  <c r="N655" i="80"/>
  <c r="O655" i="80" s="1"/>
  <c r="N654" i="80"/>
  <c r="O654" i="80" s="1"/>
  <c r="N653" i="80"/>
  <c r="O653" i="80" s="1"/>
  <c r="N652" i="80"/>
  <c r="O652" i="80" s="1"/>
  <c r="N651" i="80"/>
  <c r="O651" i="80" s="1"/>
  <c r="N650" i="80"/>
  <c r="O650" i="80" s="1"/>
  <c r="N649" i="80"/>
  <c r="O649" i="80" s="1"/>
  <c r="N648" i="80"/>
  <c r="O648" i="80" s="1"/>
  <c r="N647" i="80"/>
  <c r="O647" i="80" s="1"/>
  <c r="N646" i="80"/>
  <c r="O646" i="80" s="1"/>
  <c r="N645" i="80"/>
  <c r="O645" i="80" s="1"/>
  <c r="N644" i="80"/>
  <c r="O644" i="80" s="1"/>
  <c r="N643" i="80"/>
  <c r="O643" i="80" s="1"/>
  <c r="N642" i="80"/>
  <c r="O642" i="80" s="1"/>
  <c r="N641" i="80"/>
  <c r="O641" i="80" s="1"/>
  <c r="N640" i="80"/>
  <c r="O640" i="80" s="1"/>
  <c r="N639" i="80"/>
  <c r="O639" i="80" s="1"/>
  <c r="N638" i="80"/>
  <c r="O638" i="80" s="1"/>
  <c r="N637" i="80"/>
  <c r="O637" i="80" s="1"/>
  <c r="N636" i="80"/>
  <c r="O636" i="80" s="1"/>
  <c r="N635" i="80"/>
  <c r="O635" i="80" s="1"/>
  <c r="N634" i="80"/>
  <c r="O634" i="80" s="1"/>
  <c r="N633" i="80"/>
  <c r="O633" i="80" s="1"/>
  <c r="N632" i="80"/>
  <c r="O632" i="80" s="1"/>
  <c r="N631" i="80"/>
  <c r="O631" i="80" s="1"/>
  <c r="N630" i="80"/>
  <c r="O630" i="80" s="1"/>
  <c r="N629" i="80"/>
  <c r="O629" i="80" s="1"/>
  <c r="N628" i="80"/>
  <c r="O628" i="80" s="1"/>
  <c r="N627" i="80"/>
  <c r="O627" i="80" s="1"/>
  <c r="N626" i="80"/>
  <c r="O626" i="80" s="1"/>
  <c r="N625" i="80"/>
  <c r="O625" i="80" s="1"/>
  <c r="N624" i="80"/>
  <c r="O624" i="80" s="1"/>
  <c r="N623" i="80"/>
  <c r="O623" i="80" s="1"/>
  <c r="N622" i="80"/>
  <c r="O622" i="80" s="1"/>
  <c r="N621" i="80"/>
  <c r="O621" i="80" s="1"/>
  <c r="N620" i="80"/>
  <c r="O620" i="80" s="1"/>
  <c r="N619" i="80"/>
  <c r="O619" i="80" s="1"/>
  <c r="N618" i="80"/>
  <c r="O618" i="80" s="1"/>
  <c r="N617" i="80"/>
  <c r="O617" i="80" s="1"/>
  <c r="N616" i="80"/>
  <c r="O616" i="80" s="1"/>
  <c r="N615" i="80"/>
  <c r="O615" i="80" s="1"/>
  <c r="N614" i="80"/>
  <c r="O614" i="80" s="1"/>
  <c r="N613" i="80"/>
  <c r="O613" i="80" s="1"/>
  <c r="N612" i="80"/>
  <c r="O612" i="80" s="1"/>
  <c r="N611" i="80"/>
  <c r="O611" i="80" s="1"/>
  <c r="N610" i="80"/>
  <c r="O610" i="80" s="1"/>
  <c r="N609" i="80"/>
  <c r="O609" i="80" s="1"/>
  <c r="N608" i="80"/>
  <c r="O608" i="80" s="1"/>
  <c r="N607" i="80"/>
  <c r="O607" i="80" s="1"/>
  <c r="N606" i="80"/>
  <c r="O606" i="80" s="1"/>
  <c r="N605" i="80"/>
  <c r="O605" i="80" s="1"/>
  <c r="N604" i="80"/>
  <c r="O604" i="80" s="1"/>
  <c r="N603" i="80"/>
  <c r="O603" i="80" s="1"/>
  <c r="N602" i="80"/>
  <c r="O602" i="80" s="1"/>
  <c r="N601" i="80"/>
  <c r="O601" i="80" s="1"/>
  <c r="N600" i="80"/>
  <c r="O600" i="80" s="1"/>
  <c r="N599" i="80"/>
  <c r="O599" i="80" s="1"/>
  <c r="N598" i="80"/>
  <c r="O598" i="80" s="1"/>
  <c r="N597" i="80"/>
  <c r="O597" i="80" s="1"/>
  <c r="N596" i="80"/>
  <c r="O596" i="80" s="1"/>
  <c r="N595" i="80"/>
  <c r="O595" i="80" s="1"/>
  <c r="N594" i="80"/>
  <c r="O594" i="80" s="1"/>
  <c r="N593" i="80"/>
  <c r="O593" i="80" s="1"/>
  <c r="N592" i="80"/>
  <c r="O592" i="80" s="1"/>
  <c r="N591" i="80"/>
  <c r="O591" i="80" s="1"/>
  <c r="N590" i="80"/>
  <c r="O590" i="80" s="1"/>
  <c r="N589" i="80"/>
  <c r="O589" i="80" s="1"/>
  <c r="N588" i="80"/>
  <c r="O588" i="80" s="1"/>
  <c r="N587" i="80"/>
  <c r="O587" i="80" s="1"/>
  <c r="N586" i="80"/>
  <c r="O586" i="80" s="1"/>
  <c r="N585" i="80"/>
  <c r="O585" i="80" s="1"/>
  <c r="N584" i="80"/>
  <c r="O584" i="80" s="1"/>
  <c r="N583" i="80"/>
  <c r="O583" i="80" s="1"/>
  <c r="N582" i="80"/>
  <c r="O582" i="80" s="1"/>
  <c r="N581" i="80"/>
  <c r="O581" i="80" s="1"/>
  <c r="N580" i="80"/>
  <c r="O580" i="80" s="1"/>
  <c r="N579" i="80"/>
  <c r="O579" i="80" s="1"/>
  <c r="N578" i="80"/>
  <c r="O578" i="80" s="1"/>
  <c r="N577" i="80"/>
  <c r="O577" i="80" s="1"/>
  <c r="N576" i="80"/>
  <c r="O576" i="80" s="1"/>
  <c r="N575" i="80"/>
  <c r="O575" i="80" s="1"/>
  <c r="N574" i="80"/>
  <c r="O574" i="80" s="1"/>
  <c r="N573" i="80"/>
  <c r="O573" i="80" s="1"/>
  <c r="N572" i="80"/>
  <c r="O572" i="80" s="1"/>
  <c r="N571" i="80"/>
  <c r="O571" i="80" s="1"/>
  <c r="N570" i="80"/>
  <c r="O570" i="80" s="1"/>
  <c r="N569" i="80"/>
  <c r="O569" i="80" s="1"/>
  <c r="N568" i="80"/>
  <c r="O568" i="80" s="1"/>
  <c r="N567" i="80"/>
  <c r="O567" i="80" s="1"/>
  <c r="N566" i="80"/>
  <c r="O566" i="80" s="1"/>
  <c r="N565" i="80"/>
  <c r="O565" i="80" s="1"/>
  <c r="N564" i="80"/>
  <c r="O564" i="80" s="1"/>
  <c r="N563" i="80"/>
  <c r="O563" i="80" s="1"/>
  <c r="N562" i="80"/>
  <c r="O562" i="80" s="1"/>
  <c r="N561" i="80"/>
  <c r="O561" i="80" s="1"/>
  <c r="N560" i="80"/>
  <c r="O560" i="80" s="1"/>
  <c r="N559" i="80"/>
  <c r="O559" i="80" s="1"/>
  <c r="N558" i="80"/>
  <c r="O558" i="80" s="1"/>
  <c r="N557" i="80"/>
  <c r="O557" i="80" s="1"/>
  <c r="N556" i="80"/>
  <c r="O556" i="80" s="1"/>
  <c r="N555" i="80"/>
  <c r="O555" i="80" s="1"/>
  <c r="N554" i="80"/>
  <c r="O554" i="80" s="1"/>
  <c r="N553" i="80"/>
  <c r="O553" i="80" s="1"/>
  <c r="N552" i="80"/>
  <c r="O552" i="80" s="1"/>
  <c r="N551" i="80"/>
  <c r="O551" i="80" s="1"/>
  <c r="N550" i="80"/>
  <c r="O550" i="80" s="1"/>
  <c r="N549" i="80"/>
  <c r="O549" i="80" s="1"/>
  <c r="N548" i="80"/>
  <c r="O548" i="80" s="1"/>
  <c r="N547" i="80"/>
  <c r="O547" i="80" s="1"/>
  <c r="N546" i="80"/>
  <c r="O546" i="80" s="1"/>
  <c r="N545" i="80"/>
  <c r="O545" i="80" s="1"/>
  <c r="N544" i="80"/>
  <c r="O544" i="80" s="1"/>
  <c r="N543" i="80"/>
  <c r="O543" i="80" s="1"/>
  <c r="N542" i="80"/>
  <c r="O542" i="80" s="1"/>
  <c r="N541" i="80"/>
  <c r="O541" i="80" s="1"/>
  <c r="N540" i="80"/>
  <c r="O540" i="80" s="1"/>
  <c r="N539" i="80"/>
  <c r="O539" i="80" s="1"/>
  <c r="N538" i="80"/>
  <c r="O538" i="80" s="1"/>
  <c r="N537" i="80"/>
  <c r="O537" i="80" s="1"/>
  <c r="N536" i="80"/>
  <c r="O536" i="80" s="1"/>
  <c r="N535" i="80"/>
  <c r="O535" i="80" s="1"/>
  <c r="N534" i="80"/>
  <c r="O534" i="80" s="1"/>
  <c r="N533" i="80"/>
  <c r="O533" i="80" s="1"/>
  <c r="N532" i="80"/>
  <c r="O532" i="80" s="1"/>
  <c r="N531" i="80"/>
  <c r="O531" i="80" s="1"/>
  <c r="N530" i="80"/>
  <c r="O530" i="80" s="1"/>
  <c r="N529" i="80"/>
  <c r="O529" i="80" s="1"/>
  <c r="N528" i="80"/>
  <c r="O528" i="80" s="1"/>
  <c r="N527" i="80"/>
  <c r="O527" i="80" s="1"/>
  <c r="N526" i="80"/>
  <c r="O526" i="80" s="1"/>
  <c r="N525" i="80"/>
  <c r="O525" i="80" s="1"/>
  <c r="N524" i="80"/>
  <c r="O524" i="80" s="1"/>
  <c r="N523" i="80"/>
  <c r="O523" i="80" s="1"/>
  <c r="N522" i="80"/>
  <c r="O522" i="80" s="1"/>
  <c r="N521" i="80"/>
  <c r="O521" i="80" s="1"/>
  <c r="N520" i="80"/>
  <c r="O520" i="80" s="1"/>
  <c r="N519" i="80"/>
  <c r="O519" i="80" s="1"/>
  <c r="N518" i="80"/>
  <c r="O518" i="80" s="1"/>
  <c r="N517" i="80"/>
  <c r="O517" i="80" s="1"/>
  <c r="N516" i="80"/>
  <c r="O516" i="80" s="1"/>
  <c r="N515" i="80"/>
  <c r="O515" i="80" s="1"/>
  <c r="N514" i="80"/>
  <c r="O514" i="80" s="1"/>
  <c r="N513" i="80"/>
  <c r="O513" i="80" s="1"/>
  <c r="N512" i="80"/>
  <c r="O512" i="80" s="1"/>
  <c r="N511" i="80"/>
  <c r="O511" i="80" s="1"/>
  <c r="N510" i="80"/>
  <c r="O510" i="80" s="1"/>
  <c r="N509" i="80"/>
  <c r="O509" i="80" s="1"/>
  <c r="N508" i="80"/>
  <c r="O508" i="80" s="1"/>
  <c r="N507" i="80"/>
  <c r="O507" i="80" s="1"/>
  <c r="N506" i="80"/>
  <c r="O506" i="80" s="1"/>
  <c r="N505" i="80"/>
  <c r="O505" i="80" s="1"/>
  <c r="N504" i="80"/>
  <c r="O504" i="80" s="1"/>
  <c r="N503" i="80"/>
  <c r="O503" i="80" s="1"/>
  <c r="N502" i="80"/>
  <c r="O502" i="80" s="1"/>
  <c r="N501" i="80"/>
  <c r="O501" i="80" s="1"/>
  <c r="N500" i="80"/>
  <c r="O500" i="80" s="1"/>
  <c r="N499" i="80"/>
  <c r="O499" i="80" s="1"/>
  <c r="N498" i="80"/>
  <c r="O498" i="80" s="1"/>
  <c r="N497" i="80"/>
  <c r="O497" i="80" s="1"/>
  <c r="N496" i="80"/>
  <c r="O496" i="80" s="1"/>
  <c r="N495" i="80"/>
  <c r="O495" i="80" s="1"/>
  <c r="N494" i="80"/>
  <c r="O494" i="80" s="1"/>
  <c r="N493" i="80"/>
  <c r="O493" i="80" s="1"/>
  <c r="N492" i="80"/>
  <c r="O492" i="80" s="1"/>
  <c r="N491" i="80"/>
  <c r="O491" i="80" s="1"/>
  <c r="N490" i="80"/>
  <c r="O490" i="80" s="1"/>
  <c r="N489" i="80"/>
  <c r="O489" i="80" s="1"/>
  <c r="N488" i="80"/>
  <c r="O488" i="80" s="1"/>
  <c r="N487" i="80"/>
  <c r="O487" i="80" s="1"/>
  <c r="N486" i="80"/>
  <c r="O486" i="80" s="1"/>
  <c r="N485" i="80"/>
  <c r="O485" i="80" s="1"/>
  <c r="N484" i="80"/>
  <c r="O484" i="80" s="1"/>
  <c r="N483" i="80"/>
  <c r="O483" i="80" s="1"/>
  <c r="N482" i="80"/>
  <c r="O482" i="80" s="1"/>
  <c r="N481" i="80"/>
  <c r="O481" i="80" s="1"/>
  <c r="N480" i="80"/>
  <c r="O480" i="80" s="1"/>
  <c r="N479" i="80"/>
  <c r="O479" i="80" s="1"/>
  <c r="N478" i="80"/>
  <c r="O478" i="80" s="1"/>
  <c r="N477" i="80"/>
  <c r="O477" i="80" s="1"/>
  <c r="N476" i="80"/>
  <c r="O476" i="80" s="1"/>
  <c r="N475" i="80"/>
  <c r="O475" i="80" s="1"/>
  <c r="N474" i="80"/>
  <c r="O474" i="80" s="1"/>
  <c r="N473" i="80"/>
  <c r="O473" i="80" s="1"/>
  <c r="N472" i="80"/>
  <c r="O472" i="80" s="1"/>
  <c r="N471" i="80"/>
  <c r="O471" i="80" s="1"/>
  <c r="N470" i="80"/>
  <c r="O470" i="80" s="1"/>
  <c r="N469" i="80"/>
  <c r="O469" i="80" s="1"/>
  <c r="N468" i="80"/>
  <c r="O468" i="80" s="1"/>
  <c r="N467" i="80"/>
  <c r="O467" i="80" s="1"/>
  <c r="N466" i="80"/>
  <c r="O466" i="80" s="1"/>
  <c r="N465" i="80"/>
  <c r="O465" i="80" s="1"/>
  <c r="N464" i="80"/>
  <c r="O464" i="80" s="1"/>
  <c r="N463" i="80"/>
  <c r="O463" i="80" s="1"/>
  <c r="N462" i="80"/>
  <c r="O462" i="80" s="1"/>
  <c r="N461" i="80"/>
  <c r="O461" i="80" s="1"/>
  <c r="N460" i="80"/>
  <c r="O460" i="80" s="1"/>
  <c r="N459" i="80"/>
  <c r="O459" i="80" s="1"/>
  <c r="N458" i="80"/>
  <c r="O458" i="80" s="1"/>
  <c r="N457" i="80"/>
  <c r="O457" i="80" s="1"/>
  <c r="N456" i="80"/>
  <c r="O456" i="80" s="1"/>
  <c r="N455" i="80"/>
  <c r="O455" i="80" s="1"/>
  <c r="N454" i="80"/>
  <c r="O454" i="80" s="1"/>
  <c r="N453" i="80"/>
  <c r="O453" i="80" s="1"/>
  <c r="N452" i="80"/>
  <c r="O452" i="80" s="1"/>
  <c r="N451" i="80"/>
  <c r="O451" i="80" s="1"/>
  <c r="N450" i="80"/>
  <c r="O450" i="80" s="1"/>
  <c r="N449" i="80"/>
  <c r="O449" i="80" s="1"/>
  <c r="N448" i="80"/>
  <c r="O448" i="80" s="1"/>
  <c r="N447" i="80"/>
  <c r="O447" i="80" s="1"/>
  <c r="N446" i="80"/>
  <c r="O446" i="80" s="1"/>
  <c r="N445" i="80"/>
  <c r="O445" i="80" s="1"/>
  <c r="N444" i="80"/>
  <c r="O444" i="80" s="1"/>
  <c r="N443" i="80"/>
  <c r="O443" i="80" s="1"/>
  <c r="N442" i="80"/>
  <c r="O442" i="80" s="1"/>
  <c r="N441" i="80"/>
  <c r="O441" i="80" s="1"/>
  <c r="N440" i="80"/>
  <c r="O440" i="80" s="1"/>
  <c r="N439" i="80"/>
  <c r="O439" i="80" s="1"/>
  <c r="N438" i="80"/>
  <c r="O438" i="80" s="1"/>
  <c r="N437" i="80"/>
  <c r="O437" i="80" s="1"/>
  <c r="N436" i="80"/>
  <c r="O436" i="80" s="1"/>
  <c r="N435" i="80"/>
  <c r="O435" i="80" s="1"/>
  <c r="N434" i="80"/>
  <c r="O434" i="80" s="1"/>
  <c r="N433" i="80"/>
  <c r="O433" i="80" s="1"/>
  <c r="N432" i="80"/>
  <c r="O432" i="80" s="1"/>
  <c r="N431" i="80"/>
  <c r="O431" i="80" s="1"/>
  <c r="N430" i="80"/>
  <c r="O430" i="80" s="1"/>
  <c r="N429" i="80"/>
  <c r="O429" i="80" s="1"/>
  <c r="N428" i="80"/>
  <c r="O428" i="80" s="1"/>
  <c r="N427" i="80"/>
  <c r="O427" i="80" s="1"/>
  <c r="N426" i="80"/>
  <c r="O426" i="80" s="1"/>
  <c r="N425" i="80"/>
  <c r="O425" i="80" s="1"/>
  <c r="N424" i="80"/>
  <c r="O424" i="80" s="1"/>
  <c r="N423" i="80"/>
  <c r="O423" i="80" s="1"/>
  <c r="N422" i="80"/>
  <c r="O422" i="80" s="1"/>
  <c r="N421" i="80"/>
  <c r="O421" i="80" s="1"/>
  <c r="N420" i="80"/>
  <c r="O420" i="80" s="1"/>
  <c r="N419" i="80"/>
  <c r="O419" i="80" s="1"/>
  <c r="N418" i="80"/>
  <c r="O418" i="80" s="1"/>
  <c r="N417" i="80"/>
  <c r="O417" i="80" s="1"/>
  <c r="N416" i="80"/>
  <c r="O416" i="80" s="1"/>
  <c r="N415" i="80"/>
  <c r="O415" i="80" s="1"/>
  <c r="N414" i="80"/>
  <c r="O414" i="80" s="1"/>
  <c r="N413" i="80"/>
  <c r="O413" i="80" s="1"/>
  <c r="N412" i="80"/>
  <c r="O412" i="80" s="1"/>
  <c r="N411" i="80"/>
  <c r="O411" i="80" s="1"/>
  <c r="N410" i="80"/>
  <c r="O410" i="80" s="1"/>
  <c r="N409" i="80"/>
  <c r="O409" i="80" s="1"/>
  <c r="N408" i="80"/>
  <c r="O408" i="80" s="1"/>
  <c r="N407" i="80"/>
  <c r="O407" i="80" s="1"/>
  <c r="N406" i="80"/>
  <c r="O406" i="80" s="1"/>
  <c r="N405" i="80"/>
  <c r="O405" i="80" s="1"/>
  <c r="N404" i="80"/>
  <c r="O404" i="80" s="1"/>
  <c r="N403" i="80"/>
  <c r="O403" i="80" s="1"/>
  <c r="N402" i="80"/>
  <c r="O402" i="80" s="1"/>
  <c r="N401" i="80"/>
  <c r="O401" i="80" s="1"/>
  <c r="N400" i="80"/>
  <c r="O400" i="80" s="1"/>
  <c r="N399" i="80"/>
  <c r="O399" i="80" s="1"/>
  <c r="N398" i="80"/>
  <c r="O398" i="80" s="1"/>
  <c r="N397" i="80"/>
  <c r="O397" i="80" s="1"/>
  <c r="N396" i="80"/>
  <c r="O396" i="80" s="1"/>
  <c r="N395" i="80"/>
  <c r="O395" i="80" s="1"/>
  <c r="N394" i="80"/>
  <c r="O394" i="80" s="1"/>
  <c r="N393" i="80"/>
  <c r="O393" i="80" s="1"/>
  <c r="N392" i="80"/>
  <c r="O392" i="80" s="1"/>
  <c r="N391" i="80"/>
  <c r="O391" i="80" s="1"/>
  <c r="N390" i="80"/>
  <c r="O390" i="80" s="1"/>
  <c r="N389" i="80"/>
  <c r="O389" i="80" s="1"/>
  <c r="N388" i="80"/>
  <c r="O388" i="80" s="1"/>
  <c r="N387" i="80"/>
  <c r="O387" i="80" s="1"/>
  <c r="N386" i="80"/>
  <c r="O386" i="80" s="1"/>
  <c r="N385" i="80"/>
  <c r="O385" i="80" s="1"/>
  <c r="N384" i="80"/>
  <c r="O384" i="80" s="1"/>
  <c r="N383" i="80"/>
  <c r="O383" i="80" s="1"/>
  <c r="N382" i="80"/>
  <c r="O382" i="80" s="1"/>
  <c r="N381" i="80"/>
  <c r="O381" i="80" s="1"/>
  <c r="N380" i="80"/>
  <c r="O380" i="80" s="1"/>
  <c r="N379" i="80"/>
  <c r="O379" i="80" s="1"/>
  <c r="N378" i="80"/>
  <c r="O378" i="80" s="1"/>
  <c r="N377" i="80"/>
  <c r="O377" i="80" s="1"/>
  <c r="N376" i="80"/>
  <c r="O376" i="80" s="1"/>
  <c r="N375" i="80"/>
  <c r="O375" i="80" s="1"/>
  <c r="N374" i="80"/>
  <c r="O374" i="80" s="1"/>
  <c r="N373" i="80"/>
  <c r="O373" i="80" s="1"/>
  <c r="N372" i="80"/>
  <c r="O372" i="80" s="1"/>
  <c r="N371" i="80"/>
  <c r="O371" i="80" s="1"/>
  <c r="N370" i="80"/>
  <c r="O370" i="80" s="1"/>
  <c r="N369" i="80"/>
  <c r="O369" i="80" s="1"/>
  <c r="N368" i="80"/>
  <c r="O368" i="80" s="1"/>
  <c r="N367" i="80"/>
  <c r="O367" i="80" s="1"/>
  <c r="N366" i="80"/>
  <c r="O366" i="80" s="1"/>
  <c r="N365" i="80"/>
  <c r="O365" i="80" s="1"/>
  <c r="N364" i="80"/>
  <c r="O364" i="80" s="1"/>
  <c r="N363" i="80"/>
  <c r="O363" i="80" s="1"/>
  <c r="N362" i="80"/>
  <c r="O362" i="80" s="1"/>
  <c r="N361" i="80"/>
  <c r="O361" i="80" s="1"/>
  <c r="N360" i="80"/>
  <c r="O360" i="80" s="1"/>
  <c r="N359" i="80"/>
  <c r="O359" i="80" s="1"/>
  <c r="N358" i="80"/>
  <c r="O358" i="80" s="1"/>
  <c r="N357" i="80"/>
  <c r="O357" i="80" s="1"/>
  <c r="N356" i="80"/>
  <c r="O356" i="80" s="1"/>
  <c r="N355" i="80"/>
  <c r="O355" i="80" s="1"/>
  <c r="N354" i="80"/>
  <c r="O354" i="80" s="1"/>
  <c r="N353" i="80"/>
  <c r="O353" i="80" s="1"/>
  <c r="N352" i="80"/>
  <c r="O352" i="80" s="1"/>
  <c r="N351" i="80"/>
  <c r="O351" i="80" s="1"/>
  <c r="N350" i="80"/>
  <c r="O350" i="80" s="1"/>
  <c r="N349" i="80"/>
  <c r="O349" i="80" s="1"/>
  <c r="N348" i="80"/>
  <c r="O348" i="80" s="1"/>
  <c r="N347" i="80"/>
  <c r="O347" i="80" s="1"/>
  <c r="N346" i="80"/>
  <c r="O346" i="80" s="1"/>
  <c r="N345" i="80"/>
  <c r="O345" i="80" s="1"/>
  <c r="N344" i="80"/>
  <c r="O344" i="80" s="1"/>
  <c r="N343" i="80"/>
  <c r="O343" i="80" s="1"/>
  <c r="N342" i="80"/>
  <c r="O342" i="80" s="1"/>
  <c r="N341" i="80"/>
  <c r="O341" i="80" s="1"/>
  <c r="N340" i="80"/>
  <c r="O340" i="80" s="1"/>
  <c r="N339" i="80"/>
  <c r="O339" i="80" s="1"/>
  <c r="N338" i="80"/>
  <c r="O338" i="80" s="1"/>
  <c r="N337" i="80"/>
  <c r="O337" i="80" s="1"/>
  <c r="N336" i="80"/>
  <c r="O336" i="80" s="1"/>
  <c r="N335" i="80"/>
  <c r="O335" i="80" s="1"/>
  <c r="N334" i="80"/>
  <c r="O334" i="80" s="1"/>
  <c r="N333" i="80"/>
  <c r="O333" i="80" s="1"/>
  <c r="N332" i="80"/>
  <c r="O332" i="80" s="1"/>
  <c r="N331" i="80"/>
  <c r="O331" i="80" s="1"/>
  <c r="N330" i="80"/>
  <c r="O330" i="80" s="1"/>
  <c r="N329" i="80"/>
  <c r="O329" i="80" s="1"/>
  <c r="N328" i="80"/>
  <c r="O328" i="80" s="1"/>
  <c r="N327" i="80"/>
  <c r="O327" i="80" s="1"/>
  <c r="N326" i="80"/>
  <c r="O326" i="80" s="1"/>
  <c r="N325" i="80"/>
  <c r="O325" i="80" s="1"/>
  <c r="N324" i="80"/>
  <c r="O324" i="80" s="1"/>
  <c r="N323" i="80"/>
  <c r="O323" i="80" s="1"/>
  <c r="N322" i="80"/>
  <c r="O322" i="80" s="1"/>
  <c r="N321" i="80"/>
  <c r="O321" i="80" s="1"/>
  <c r="N320" i="80"/>
  <c r="O320" i="80" s="1"/>
  <c r="N319" i="80"/>
  <c r="O319" i="80" s="1"/>
  <c r="N318" i="80"/>
  <c r="O318" i="80" s="1"/>
  <c r="N317" i="80"/>
  <c r="O317" i="80" s="1"/>
  <c r="N316" i="80"/>
  <c r="O316" i="80" s="1"/>
  <c r="N315" i="80"/>
  <c r="O315" i="80" s="1"/>
  <c r="N314" i="80"/>
  <c r="O314" i="80" s="1"/>
  <c r="N313" i="80"/>
  <c r="O313" i="80" s="1"/>
  <c r="N312" i="80"/>
  <c r="O312" i="80" s="1"/>
  <c r="N311" i="80"/>
  <c r="O311" i="80" s="1"/>
  <c r="N310" i="80"/>
  <c r="O310" i="80" s="1"/>
  <c r="N309" i="80"/>
  <c r="O309" i="80" s="1"/>
  <c r="N308" i="80"/>
  <c r="O308" i="80" s="1"/>
  <c r="N307" i="80"/>
  <c r="O307" i="80" s="1"/>
  <c r="N306" i="80"/>
  <c r="O306" i="80" s="1"/>
  <c r="N305" i="80"/>
  <c r="O305" i="80" s="1"/>
  <c r="N304" i="80"/>
  <c r="O304" i="80" s="1"/>
  <c r="N303" i="80"/>
  <c r="O303" i="80" s="1"/>
  <c r="N302" i="80"/>
  <c r="O302" i="80" s="1"/>
  <c r="N301" i="80"/>
  <c r="O301" i="80" s="1"/>
  <c r="N300" i="80"/>
  <c r="O300" i="80" s="1"/>
  <c r="N299" i="80"/>
  <c r="O299" i="80" s="1"/>
  <c r="N298" i="80"/>
  <c r="O298" i="80" s="1"/>
  <c r="N297" i="80"/>
  <c r="O297" i="80" s="1"/>
  <c r="N296" i="80"/>
  <c r="O296" i="80" s="1"/>
  <c r="N295" i="80"/>
  <c r="O295" i="80" s="1"/>
  <c r="N294" i="80"/>
  <c r="O294" i="80" s="1"/>
  <c r="N293" i="80"/>
  <c r="O293" i="80" s="1"/>
  <c r="N292" i="80"/>
  <c r="O292" i="80" s="1"/>
  <c r="N291" i="80"/>
  <c r="O291" i="80" s="1"/>
  <c r="N290" i="80"/>
  <c r="O290" i="80" s="1"/>
  <c r="N289" i="80"/>
  <c r="O289" i="80" s="1"/>
  <c r="N288" i="80"/>
  <c r="O288" i="80" s="1"/>
  <c r="N287" i="80"/>
  <c r="O287" i="80" s="1"/>
  <c r="N286" i="80"/>
  <c r="O286" i="80" s="1"/>
  <c r="N285" i="80"/>
  <c r="O285" i="80" s="1"/>
  <c r="N284" i="80"/>
  <c r="O284" i="80" s="1"/>
  <c r="N283" i="80"/>
  <c r="O283" i="80" s="1"/>
  <c r="N282" i="80"/>
  <c r="O282" i="80" s="1"/>
  <c r="N281" i="80"/>
  <c r="O281" i="80" s="1"/>
  <c r="N280" i="80"/>
  <c r="O280" i="80" s="1"/>
  <c r="N279" i="80"/>
  <c r="O279" i="80" s="1"/>
  <c r="N278" i="80"/>
  <c r="O278" i="80" s="1"/>
  <c r="N277" i="80"/>
  <c r="O277" i="80" s="1"/>
  <c r="N276" i="80"/>
  <c r="O276" i="80" s="1"/>
  <c r="N275" i="80"/>
  <c r="O275" i="80" s="1"/>
  <c r="N274" i="80"/>
  <c r="O274" i="80" s="1"/>
  <c r="N273" i="80"/>
  <c r="O273" i="80" s="1"/>
  <c r="N272" i="80"/>
  <c r="O272" i="80" s="1"/>
  <c r="N271" i="80"/>
  <c r="O271" i="80" s="1"/>
  <c r="N270" i="80"/>
  <c r="O270" i="80" s="1"/>
  <c r="N269" i="80"/>
  <c r="O269" i="80" s="1"/>
  <c r="N268" i="80"/>
  <c r="O268" i="80" s="1"/>
  <c r="N267" i="80"/>
  <c r="O267" i="80" s="1"/>
  <c r="N266" i="80"/>
  <c r="O266" i="80" s="1"/>
  <c r="N265" i="80"/>
  <c r="O265" i="80" s="1"/>
  <c r="N264" i="80"/>
  <c r="O264" i="80" s="1"/>
  <c r="N263" i="80"/>
  <c r="O263" i="80" s="1"/>
  <c r="N262" i="80"/>
  <c r="O262" i="80" s="1"/>
  <c r="N261" i="80"/>
  <c r="O261" i="80" s="1"/>
  <c r="N260" i="80"/>
  <c r="O260" i="80" s="1"/>
  <c r="N259" i="80"/>
  <c r="O259" i="80" s="1"/>
  <c r="N258" i="80"/>
  <c r="O258" i="80" s="1"/>
  <c r="N257" i="80"/>
  <c r="O257" i="80" s="1"/>
  <c r="N256" i="80"/>
  <c r="O256" i="80" s="1"/>
  <c r="N255" i="80"/>
  <c r="O255" i="80" s="1"/>
  <c r="N254" i="80"/>
  <c r="O254" i="80" s="1"/>
  <c r="N253" i="80"/>
  <c r="O253" i="80" s="1"/>
  <c r="N252" i="80"/>
  <c r="O252" i="80" s="1"/>
  <c r="N251" i="80"/>
  <c r="O251" i="80" s="1"/>
  <c r="N250" i="80"/>
  <c r="O250" i="80" s="1"/>
  <c r="N249" i="80"/>
  <c r="O249" i="80" s="1"/>
  <c r="N248" i="80"/>
  <c r="O248" i="80" s="1"/>
  <c r="N247" i="80"/>
  <c r="O247" i="80" s="1"/>
  <c r="N246" i="80"/>
  <c r="O246" i="80" s="1"/>
  <c r="N245" i="80"/>
  <c r="O245" i="80" s="1"/>
  <c r="N244" i="80"/>
  <c r="O244" i="80" s="1"/>
  <c r="N243" i="80"/>
  <c r="O243" i="80" s="1"/>
  <c r="N242" i="80"/>
  <c r="O242" i="80" s="1"/>
  <c r="N241" i="80"/>
  <c r="O241" i="80" s="1"/>
  <c r="N240" i="80"/>
  <c r="O240" i="80" s="1"/>
  <c r="N239" i="80"/>
  <c r="O239" i="80" s="1"/>
  <c r="N238" i="80"/>
  <c r="O238" i="80" s="1"/>
  <c r="N237" i="80"/>
  <c r="O237" i="80" s="1"/>
  <c r="N236" i="80"/>
  <c r="O236" i="80" s="1"/>
  <c r="N235" i="80"/>
  <c r="O235" i="80" s="1"/>
  <c r="N234" i="80"/>
  <c r="O234" i="80" s="1"/>
  <c r="N233" i="80"/>
  <c r="O233" i="80" s="1"/>
  <c r="N232" i="80"/>
  <c r="O232" i="80" s="1"/>
  <c r="N231" i="80"/>
  <c r="O231" i="80" s="1"/>
  <c r="N230" i="80"/>
  <c r="O230" i="80" s="1"/>
  <c r="N229" i="80"/>
  <c r="O229" i="80" s="1"/>
  <c r="N228" i="80"/>
  <c r="O228" i="80" s="1"/>
  <c r="N227" i="80"/>
  <c r="O227" i="80" s="1"/>
  <c r="N226" i="80"/>
  <c r="O226" i="80" s="1"/>
  <c r="N225" i="80"/>
  <c r="O225" i="80" s="1"/>
  <c r="N224" i="80"/>
  <c r="O224" i="80" s="1"/>
  <c r="N223" i="80"/>
  <c r="O223" i="80" s="1"/>
  <c r="N222" i="80"/>
  <c r="O222" i="80" s="1"/>
  <c r="N221" i="80"/>
  <c r="O221" i="80" s="1"/>
  <c r="N220" i="80"/>
  <c r="O220" i="80" s="1"/>
  <c r="N219" i="80"/>
  <c r="O219" i="80" s="1"/>
  <c r="N218" i="80"/>
  <c r="O218" i="80" s="1"/>
  <c r="N217" i="80"/>
  <c r="O217" i="80" s="1"/>
  <c r="N216" i="80"/>
  <c r="O216" i="80" s="1"/>
  <c r="N215" i="80"/>
  <c r="O215" i="80" s="1"/>
  <c r="N214" i="80"/>
  <c r="O214" i="80" s="1"/>
  <c r="N213" i="80"/>
  <c r="O213" i="80" s="1"/>
  <c r="N212" i="80"/>
  <c r="O212" i="80" s="1"/>
  <c r="N211" i="80"/>
  <c r="O211" i="80" s="1"/>
  <c r="N210" i="80"/>
  <c r="O210" i="80" s="1"/>
  <c r="N209" i="80"/>
  <c r="O209" i="80" s="1"/>
  <c r="N208" i="80"/>
  <c r="O208" i="80" s="1"/>
  <c r="N207" i="80"/>
  <c r="O207" i="80" s="1"/>
  <c r="N206" i="80"/>
  <c r="O206" i="80" s="1"/>
  <c r="N205" i="80"/>
  <c r="O205" i="80" s="1"/>
  <c r="N204" i="80"/>
  <c r="O204" i="80" s="1"/>
  <c r="N203" i="80"/>
  <c r="O203" i="80" s="1"/>
  <c r="N202" i="80"/>
  <c r="O202" i="80" s="1"/>
  <c r="N201" i="80"/>
  <c r="O201" i="80" s="1"/>
  <c r="N200" i="80"/>
  <c r="O200" i="80" s="1"/>
  <c r="N199" i="80"/>
  <c r="O199" i="80" s="1"/>
  <c r="N198" i="80"/>
  <c r="O198" i="80" s="1"/>
  <c r="N197" i="80"/>
  <c r="O197" i="80" s="1"/>
  <c r="N196" i="80"/>
  <c r="O196" i="80" s="1"/>
  <c r="N195" i="80"/>
  <c r="O195" i="80" s="1"/>
  <c r="N194" i="80"/>
  <c r="O194" i="80" s="1"/>
  <c r="N193" i="80"/>
  <c r="O193" i="80" s="1"/>
  <c r="N192" i="80"/>
  <c r="O192" i="80" s="1"/>
  <c r="N191" i="80"/>
  <c r="O191" i="80" s="1"/>
  <c r="N190" i="80"/>
  <c r="O190" i="80" s="1"/>
  <c r="N189" i="80"/>
  <c r="O189" i="80" s="1"/>
  <c r="N188" i="80"/>
  <c r="O188" i="80" s="1"/>
  <c r="N187" i="80"/>
  <c r="O187" i="80" s="1"/>
  <c r="N186" i="80"/>
  <c r="O186" i="80" s="1"/>
  <c r="N185" i="80"/>
  <c r="O185" i="80" s="1"/>
  <c r="N184" i="80"/>
  <c r="O184" i="80" s="1"/>
  <c r="N183" i="80"/>
  <c r="O183" i="80" s="1"/>
  <c r="N182" i="80"/>
  <c r="O182" i="80" s="1"/>
  <c r="N181" i="80"/>
  <c r="O181" i="80" s="1"/>
  <c r="N180" i="80"/>
  <c r="O180" i="80" s="1"/>
  <c r="N179" i="80"/>
  <c r="O179" i="80" s="1"/>
  <c r="N178" i="80"/>
  <c r="O178" i="80" s="1"/>
  <c r="N177" i="80"/>
  <c r="O177" i="80" s="1"/>
  <c r="N176" i="80"/>
  <c r="O176" i="80" s="1"/>
  <c r="N175" i="80"/>
  <c r="O175" i="80" s="1"/>
  <c r="N174" i="80"/>
  <c r="O174" i="80" s="1"/>
  <c r="N173" i="80"/>
  <c r="O173" i="80" s="1"/>
  <c r="N172" i="80"/>
  <c r="O172" i="80" s="1"/>
  <c r="N171" i="80"/>
  <c r="O171" i="80" s="1"/>
  <c r="N170" i="80"/>
  <c r="O170" i="80" s="1"/>
  <c r="N169" i="80"/>
  <c r="O169" i="80" s="1"/>
  <c r="N168" i="80"/>
  <c r="O168" i="80" s="1"/>
  <c r="N167" i="80"/>
  <c r="O167" i="80" s="1"/>
  <c r="N166" i="80"/>
  <c r="O166" i="80" s="1"/>
  <c r="N165" i="80"/>
  <c r="O165" i="80" s="1"/>
  <c r="N164" i="80"/>
  <c r="O164" i="80" s="1"/>
  <c r="N163" i="80"/>
  <c r="O163" i="80" s="1"/>
  <c r="N162" i="80"/>
  <c r="O162" i="80" s="1"/>
  <c r="N161" i="80"/>
  <c r="O161" i="80" s="1"/>
  <c r="N160" i="80"/>
  <c r="O160" i="80" s="1"/>
  <c r="N159" i="80"/>
  <c r="O159" i="80" s="1"/>
  <c r="N158" i="80"/>
  <c r="O158" i="80" s="1"/>
  <c r="N157" i="80"/>
  <c r="O157" i="80" s="1"/>
  <c r="N156" i="80"/>
  <c r="O156" i="80" s="1"/>
  <c r="N155" i="80"/>
  <c r="O155" i="80" s="1"/>
  <c r="N154" i="80"/>
  <c r="O154" i="80" s="1"/>
  <c r="N153" i="80"/>
  <c r="O153" i="80" s="1"/>
  <c r="N152" i="80"/>
  <c r="O152" i="80" s="1"/>
  <c r="N151" i="80"/>
  <c r="O151" i="80" s="1"/>
  <c r="N150" i="80"/>
  <c r="O150" i="80" s="1"/>
  <c r="N149" i="80"/>
  <c r="O149" i="80" s="1"/>
  <c r="N148" i="80"/>
  <c r="O148" i="80" s="1"/>
  <c r="N147" i="80"/>
  <c r="O147" i="80" s="1"/>
  <c r="N146" i="80"/>
  <c r="O146" i="80" s="1"/>
  <c r="N145" i="80"/>
  <c r="O145" i="80" s="1"/>
  <c r="N144" i="80"/>
  <c r="O144" i="80" s="1"/>
  <c r="N143" i="80"/>
  <c r="O143" i="80" s="1"/>
  <c r="N142" i="80"/>
  <c r="O142" i="80" s="1"/>
  <c r="N141" i="80"/>
  <c r="O141" i="80" s="1"/>
  <c r="N140" i="80"/>
  <c r="O140" i="80" s="1"/>
  <c r="N139" i="80"/>
  <c r="O139" i="80" s="1"/>
  <c r="N138" i="80"/>
  <c r="O138" i="80" s="1"/>
  <c r="N137" i="80"/>
  <c r="O137" i="80" s="1"/>
  <c r="N136" i="80"/>
  <c r="O136" i="80" s="1"/>
  <c r="N135" i="80"/>
  <c r="O135" i="80" s="1"/>
  <c r="N134" i="80"/>
  <c r="O134" i="80" s="1"/>
  <c r="N133" i="80"/>
  <c r="O133" i="80" s="1"/>
  <c r="N132" i="80"/>
  <c r="O132" i="80" s="1"/>
  <c r="N131" i="80"/>
  <c r="O131" i="80" s="1"/>
  <c r="N130" i="80"/>
  <c r="O130" i="80" s="1"/>
  <c r="N129" i="80"/>
  <c r="O129" i="80" s="1"/>
  <c r="N128" i="80"/>
  <c r="O128" i="80" s="1"/>
  <c r="N127" i="80"/>
  <c r="O127" i="80" s="1"/>
  <c r="N126" i="80"/>
  <c r="O126" i="80" s="1"/>
  <c r="N125" i="80"/>
  <c r="O125" i="80" s="1"/>
  <c r="N124" i="80"/>
  <c r="O124" i="80" s="1"/>
  <c r="N123" i="80"/>
  <c r="O123" i="80" s="1"/>
  <c r="N122" i="80"/>
  <c r="O122" i="80" s="1"/>
  <c r="N121" i="80"/>
  <c r="O121" i="80" s="1"/>
  <c r="N120" i="80"/>
  <c r="O120" i="80" s="1"/>
  <c r="N119" i="80"/>
  <c r="O119" i="80" s="1"/>
  <c r="N118" i="80"/>
  <c r="O118" i="80" s="1"/>
  <c r="N117" i="80"/>
  <c r="O117" i="80" s="1"/>
  <c r="N116" i="80"/>
  <c r="O116" i="80" s="1"/>
  <c r="N115" i="80"/>
  <c r="O115" i="80" s="1"/>
  <c r="N114" i="80"/>
  <c r="O114" i="80" s="1"/>
  <c r="N113" i="80"/>
  <c r="O113" i="80" s="1"/>
  <c r="N112" i="80"/>
  <c r="O112" i="80" s="1"/>
  <c r="N111" i="80"/>
  <c r="O111" i="80" s="1"/>
  <c r="N110" i="80"/>
  <c r="O110" i="80" s="1"/>
  <c r="N109" i="80"/>
  <c r="O109" i="80" s="1"/>
  <c r="N108" i="80"/>
  <c r="O108" i="80" s="1"/>
  <c r="N107" i="80"/>
  <c r="O107" i="80" s="1"/>
  <c r="N106" i="80"/>
  <c r="O106" i="80" s="1"/>
  <c r="N105" i="80"/>
  <c r="O105" i="80" s="1"/>
  <c r="N104" i="80"/>
  <c r="O104" i="80" s="1"/>
  <c r="N103" i="80"/>
  <c r="O103" i="80" s="1"/>
  <c r="N102" i="80"/>
  <c r="O102" i="80" s="1"/>
  <c r="N101" i="80"/>
  <c r="O101" i="80" s="1"/>
  <c r="N100" i="80"/>
  <c r="O100" i="80" s="1"/>
  <c r="N99" i="80"/>
  <c r="O99" i="80" s="1"/>
  <c r="N98" i="80"/>
  <c r="O98" i="80" s="1"/>
  <c r="N97" i="80"/>
  <c r="O97" i="80" s="1"/>
  <c r="N96" i="80"/>
  <c r="O96" i="80" s="1"/>
  <c r="N95" i="80"/>
  <c r="O95" i="80" s="1"/>
  <c r="N94" i="80"/>
  <c r="O94" i="80" s="1"/>
  <c r="N93" i="80"/>
  <c r="O93" i="80" s="1"/>
  <c r="N92" i="80"/>
  <c r="O92" i="80" s="1"/>
  <c r="N91" i="80"/>
  <c r="O91" i="80" s="1"/>
  <c r="N90" i="80"/>
  <c r="O90" i="80" s="1"/>
  <c r="N89" i="80"/>
  <c r="O89" i="80" s="1"/>
  <c r="N88" i="80"/>
  <c r="O88" i="80" s="1"/>
  <c r="N87" i="80"/>
  <c r="O87" i="80" s="1"/>
  <c r="N86" i="80"/>
  <c r="O86" i="80" s="1"/>
  <c r="N85" i="80"/>
  <c r="O85" i="80" s="1"/>
  <c r="N84" i="80"/>
  <c r="O84" i="80" s="1"/>
  <c r="N83" i="80"/>
  <c r="O83" i="80" s="1"/>
  <c r="N82" i="80"/>
  <c r="O82" i="80" s="1"/>
  <c r="N81" i="80"/>
  <c r="O81" i="80" s="1"/>
  <c r="N80" i="80"/>
  <c r="O80" i="80" s="1"/>
  <c r="N79" i="80"/>
  <c r="O79" i="80" s="1"/>
  <c r="N78" i="80"/>
  <c r="O78" i="80" s="1"/>
  <c r="N77" i="80"/>
  <c r="O77" i="80" s="1"/>
  <c r="N76" i="80"/>
  <c r="O76" i="80" s="1"/>
  <c r="N75" i="80"/>
  <c r="O75" i="80" s="1"/>
  <c r="N74" i="80"/>
  <c r="O74" i="80" s="1"/>
  <c r="N73" i="80"/>
  <c r="O73" i="80" s="1"/>
  <c r="N72" i="80"/>
  <c r="O72" i="80" s="1"/>
  <c r="N71" i="80"/>
  <c r="O71" i="80" s="1"/>
  <c r="N70" i="80"/>
  <c r="O70" i="80" s="1"/>
  <c r="N69" i="80"/>
  <c r="O69" i="80" s="1"/>
  <c r="N68" i="80"/>
  <c r="O68" i="80" s="1"/>
  <c r="N67" i="80"/>
  <c r="O67" i="80" s="1"/>
  <c r="N66" i="80"/>
  <c r="O66" i="80" s="1"/>
  <c r="N65" i="80"/>
  <c r="O65" i="80" s="1"/>
  <c r="N64" i="80"/>
  <c r="O64" i="80" s="1"/>
  <c r="N63" i="80"/>
  <c r="O63" i="80" s="1"/>
  <c r="N62" i="80"/>
  <c r="O62" i="80" s="1"/>
  <c r="N61" i="80"/>
  <c r="O61" i="80" s="1"/>
  <c r="N60" i="80"/>
  <c r="O60" i="80" s="1"/>
  <c r="N59" i="80"/>
  <c r="O59" i="80" s="1"/>
  <c r="N58" i="80"/>
  <c r="O58" i="80" s="1"/>
  <c r="N57" i="80"/>
  <c r="O57" i="80" s="1"/>
  <c r="N56" i="80"/>
  <c r="O56" i="80" s="1"/>
  <c r="N55" i="80"/>
  <c r="O55" i="80" s="1"/>
  <c r="N54" i="80"/>
  <c r="O54" i="80" s="1"/>
  <c r="N53" i="80"/>
  <c r="O53" i="80" s="1"/>
  <c r="N52" i="80"/>
  <c r="O52" i="80" s="1"/>
  <c r="N51" i="80"/>
  <c r="O51" i="80" s="1"/>
  <c r="N50" i="80"/>
  <c r="O50" i="80" s="1"/>
  <c r="N49" i="80"/>
  <c r="O49" i="80" s="1"/>
  <c r="N48" i="80"/>
  <c r="O48" i="80" s="1"/>
  <c r="N47" i="80"/>
  <c r="O47" i="80" s="1"/>
  <c r="N46" i="80"/>
  <c r="O46" i="80" s="1"/>
  <c r="N45" i="80"/>
  <c r="O45" i="80" s="1"/>
  <c r="N44" i="80"/>
  <c r="O44" i="80" s="1"/>
  <c r="N43" i="80"/>
  <c r="O43" i="80" s="1"/>
  <c r="N42" i="80"/>
  <c r="O42" i="80" s="1"/>
  <c r="N41" i="80"/>
  <c r="O41" i="80" s="1"/>
  <c r="N40" i="80"/>
  <c r="O40" i="80" s="1"/>
  <c r="N39" i="80"/>
  <c r="O39" i="80" s="1"/>
  <c r="N38" i="80"/>
  <c r="O38" i="80" s="1"/>
  <c r="N37" i="80"/>
  <c r="O37" i="80" s="1"/>
  <c r="N36" i="80"/>
  <c r="O36" i="80" s="1"/>
  <c r="N35" i="80"/>
  <c r="O35" i="80" s="1"/>
  <c r="N34" i="80"/>
  <c r="O34" i="80" s="1"/>
  <c r="N33" i="80"/>
  <c r="O33" i="80" s="1"/>
  <c r="N32" i="80"/>
  <c r="O32" i="80" s="1"/>
  <c r="N31" i="80"/>
  <c r="O31" i="80" s="1"/>
  <c r="N30" i="80"/>
  <c r="O30" i="80" s="1"/>
  <c r="N29" i="80"/>
  <c r="O29" i="80" s="1"/>
  <c r="N28" i="80"/>
  <c r="O28" i="80" s="1"/>
  <c r="N27" i="80"/>
  <c r="O27" i="80" s="1"/>
  <c r="N26" i="80"/>
  <c r="O26" i="80" s="1"/>
  <c r="N25" i="80"/>
  <c r="O25" i="80" s="1"/>
  <c r="N24" i="80"/>
  <c r="O24" i="80" s="1"/>
  <c r="N23" i="80"/>
  <c r="O23" i="80" s="1"/>
  <c r="N22" i="80"/>
  <c r="O22" i="80" s="1"/>
  <c r="N21" i="80"/>
  <c r="O21" i="80" s="1"/>
  <c r="N20" i="80"/>
  <c r="O20" i="80" s="1"/>
  <c r="N19" i="80"/>
  <c r="O19" i="80" s="1"/>
  <c r="N18" i="80"/>
  <c r="O18" i="80" s="1"/>
  <c r="N17" i="80"/>
  <c r="O17" i="80" s="1"/>
  <c r="N16" i="80"/>
  <c r="O16" i="80" s="1"/>
  <c r="N15" i="80"/>
  <c r="O15" i="80" s="1"/>
  <c r="N14" i="80"/>
  <c r="O14" i="80" s="1"/>
  <c r="N13" i="80"/>
  <c r="O13" i="80" s="1"/>
  <c r="N12" i="80"/>
  <c r="O12" i="80" s="1"/>
  <c r="N11" i="80"/>
  <c r="O11" i="80" s="1"/>
  <c r="N10" i="80"/>
  <c r="O10" i="80" s="1"/>
  <c r="N9" i="80"/>
  <c r="O9" i="80" s="1"/>
  <c r="N8" i="80"/>
  <c r="O8" i="80" s="1"/>
  <c r="N7" i="80"/>
  <c r="O7" i="80" s="1"/>
  <c r="N6" i="80"/>
  <c r="O6" i="80" s="1"/>
  <c r="N5" i="80"/>
  <c r="O5" i="80" s="1"/>
  <c r="N4" i="80"/>
  <c r="O4" i="80" s="1"/>
  <c r="L4" i="80"/>
  <c r="M4" i="80" s="1"/>
  <c r="BH4" i="80" l="1"/>
  <c r="BI4" i="80" s="1"/>
  <c r="BE4" i="80" s="1"/>
  <c r="BD4" i="80" s="1"/>
  <c r="BH7" i="80"/>
  <c r="BI7" i="80" s="1"/>
  <c r="BH6" i="80"/>
  <c r="BI6" i="80" s="1"/>
  <c r="BH8" i="80"/>
  <c r="BI8" i="80" s="1"/>
  <c r="BE8" i="80" s="1"/>
  <c r="BD8" i="80" s="1"/>
  <c r="BH10" i="80"/>
  <c r="BI10" i="80" s="1"/>
  <c r="BH11" i="80"/>
  <c r="BI11" i="80" s="1"/>
  <c r="BE11" i="80" s="1"/>
  <c r="BD11" i="80" s="1"/>
  <c r="BL6" i="80"/>
  <c r="BM6" i="80" s="1"/>
  <c r="BL4" i="80"/>
  <c r="BM4" i="80" s="1"/>
  <c r="BH12" i="80"/>
  <c r="BI12" i="80" s="1"/>
  <c r="BE12" i="80" s="1"/>
  <c r="BD12" i="80" s="1"/>
  <c r="BL10" i="80"/>
  <c r="BL11" i="80"/>
  <c r="BJ14" i="80"/>
  <c r="BL7" i="80"/>
  <c r="BL8" i="80"/>
  <c r="BM8" i="80" s="1"/>
  <c r="BL12" i="80"/>
  <c r="BH5" i="80"/>
  <c r="BI5" i="80" s="1"/>
  <c r="BE5" i="80" s="1"/>
  <c r="BD5" i="80" s="1"/>
  <c r="BH9" i="80"/>
  <c r="BI9" i="80" s="1"/>
  <c r="BE9" i="80" s="1"/>
  <c r="BD9" i="80" s="1"/>
  <c r="BH13" i="80"/>
  <c r="BI13" i="80" s="1"/>
  <c r="BM13" i="80" s="1"/>
  <c r="BL5" i="80"/>
  <c r="BL9" i="80"/>
  <c r="BH14" i="80"/>
  <c r="BI14" i="80" s="1"/>
  <c r="BM7" i="80"/>
  <c r="BJ15" i="80"/>
  <c r="BK15" i="80" s="1"/>
  <c r="BE6" i="80"/>
  <c r="BD6" i="80" s="1"/>
  <c r="BE7" i="80"/>
  <c r="BD7" i="80" s="1"/>
  <c r="BE10" i="80"/>
  <c r="BD10" i="80" s="1"/>
  <c r="BL15" i="80"/>
  <c r="BM15" i="80" s="1"/>
  <c r="BJ13" i="80"/>
  <c r="BL14" i="80"/>
  <c r="BM14" i="80" s="1"/>
  <c r="BJ4" i="80"/>
  <c r="BK4" i="80" s="1"/>
  <c r="BJ5" i="80"/>
  <c r="BJ6" i="80"/>
  <c r="BK6" i="80" s="1"/>
  <c r="BJ7" i="80"/>
  <c r="BK7" i="80" s="1"/>
  <c r="BJ8" i="80"/>
  <c r="BK8" i="80" s="1"/>
  <c r="BJ9" i="80"/>
  <c r="BJ10" i="80"/>
  <c r="BK10" i="80" s="1"/>
  <c r="BJ11" i="80"/>
  <c r="BK11" i="80" s="1"/>
  <c r="BJ12" i="80"/>
  <c r="BK12" i="80" s="1"/>
  <c r="P4" i="80"/>
  <c r="L5" i="80"/>
  <c r="BK5" i="80" l="1"/>
  <c r="BM10" i="80"/>
  <c r="BK13" i="80"/>
  <c r="BM11" i="80"/>
  <c r="BK14" i="80"/>
  <c r="BM12" i="80"/>
  <c r="BK9" i="80"/>
  <c r="BJ17" i="80" s="1"/>
  <c r="BM9" i="80"/>
  <c r="BM5" i="80"/>
  <c r="BD15" i="80"/>
  <c r="L6" i="80"/>
  <c r="M5" i="80"/>
  <c r="P5" i="80" s="1"/>
  <c r="BM17" i="80" l="1"/>
  <c r="M6" i="80"/>
  <c r="P6" i="80" s="1"/>
  <c r="L7" i="80"/>
  <c r="M7" i="80" l="1"/>
  <c r="P7" i="80" s="1"/>
  <c r="L8" i="80"/>
  <c r="L9" i="80" l="1"/>
  <c r="M8" i="80"/>
  <c r="P8" i="80" s="1"/>
  <c r="M9" i="80" l="1"/>
  <c r="P9" i="80" s="1"/>
  <c r="L10" i="80"/>
  <c r="L11" i="80" l="1"/>
  <c r="M10" i="80"/>
  <c r="P10" i="80" s="1"/>
  <c r="BQ181" i="1"/>
  <c r="BQ182" i="1"/>
  <c r="BQ180" i="1"/>
  <c r="BL156" i="1"/>
  <c r="BV167" i="1"/>
  <c r="BU167" i="1"/>
  <c r="BT167" i="1"/>
  <c r="BS167" i="1"/>
  <c r="BR167" i="1"/>
  <c r="BQ167" i="1"/>
  <c r="BP167" i="1"/>
  <c r="BO169" i="1"/>
  <c r="BO170" i="1"/>
  <c r="BX169" i="1" s="1" a="1"/>
  <c r="BX169" i="1" s="1"/>
  <c r="BO171" i="1"/>
  <c r="BX170" i="1" s="1" a="1"/>
  <c r="BX170" i="1" s="1"/>
  <c r="BO172" i="1"/>
  <c r="BO173" i="1"/>
  <c r="BO174" i="1"/>
  <c r="AZ8" i="1"/>
  <c r="AV8" i="1"/>
  <c r="AW8" i="1"/>
  <c r="AX8" i="1"/>
  <c r="AY8" i="1"/>
  <c r="BA8" i="1"/>
  <c r="BB8" i="1"/>
  <c r="BC8" i="1"/>
  <c r="BD8" i="1"/>
  <c r="BE8" i="1"/>
  <c r="BF8" i="1"/>
  <c r="BG8" i="1"/>
  <c r="AV5" i="1"/>
  <c r="AW5" i="1"/>
  <c r="AX5" i="1"/>
  <c r="AY5" i="1"/>
  <c r="AZ5" i="1"/>
  <c r="BA5" i="1"/>
  <c r="BB5" i="1"/>
  <c r="BC5" i="1"/>
  <c r="BD5" i="1"/>
  <c r="BE5" i="1"/>
  <c r="BF5" i="1"/>
  <c r="BG5" i="1"/>
  <c r="AV4" i="1"/>
  <c r="BL5" i="1"/>
  <c r="BR5" i="1" s="1"/>
  <c r="BL17" i="1"/>
  <c r="BO17" i="1" s="1"/>
  <c r="AW4" i="1"/>
  <c r="AX4" i="1"/>
  <c r="AY4" i="1"/>
  <c r="AZ4" i="1"/>
  <c r="BA4" i="1"/>
  <c r="BB4" i="1"/>
  <c r="BC4" i="1"/>
  <c r="BD4" i="1"/>
  <c r="BE4" i="1"/>
  <c r="BF4" i="1"/>
  <c r="BG4" i="1"/>
  <c r="BL31" i="1"/>
  <c r="BL29" i="1"/>
  <c r="BO29" i="1" s="1"/>
  <c r="BL30" i="1"/>
  <c r="BR30" i="1" s="1"/>
  <c r="BL32" i="1"/>
  <c r="BO32" i="1" s="1"/>
  <c r="BL43" i="1"/>
  <c r="BO43" i="1" s="1"/>
  <c r="BL42" i="1"/>
  <c r="BP42" i="1" s="1"/>
  <c r="BO42" i="1"/>
  <c r="BL45" i="1"/>
  <c r="BQ45" i="1" s="1"/>
  <c r="BL41" i="1"/>
  <c r="BP41" i="1" s="1"/>
  <c r="AW7" i="1"/>
  <c r="AV7" i="1"/>
  <c r="AX7" i="1"/>
  <c r="AY7" i="1"/>
  <c r="AZ7" i="1"/>
  <c r="BA7" i="1"/>
  <c r="BB7" i="1"/>
  <c r="BC7" i="1"/>
  <c r="BD7" i="1"/>
  <c r="BE7" i="1"/>
  <c r="BF7" i="1"/>
  <c r="BG7" i="1"/>
  <c r="AW6" i="1"/>
  <c r="AV6" i="1"/>
  <c r="AX6" i="1"/>
  <c r="AY6" i="1"/>
  <c r="AZ6" i="1"/>
  <c r="BA6" i="1"/>
  <c r="BB6" i="1"/>
  <c r="BC6" i="1"/>
  <c r="BD6" i="1"/>
  <c r="BE6" i="1"/>
  <c r="BF6" i="1"/>
  <c r="BG6" i="1"/>
  <c r="BL6" i="1"/>
  <c r="BP6" i="1" s="1"/>
  <c r="BL18" i="1"/>
  <c r="BO18" i="1" s="1"/>
  <c r="BL7" i="1"/>
  <c r="BU7" i="1" s="1"/>
  <c r="BL19" i="1"/>
  <c r="BR19" i="1" s="1"/>
  <c r="BL55" i="1"/>
  <c r="BZ55" i="1" s="1"/>
  <c r="BZ141" i="1" s="1"/>
  <c r="BL54" i="1"/>
  <c r="BU54" i="1" s="1"/>
  <c r="BU140" i="1" s="1"/>
  <c r="BL53" i="1"/>
  <c r="BT53" i="1" s="1"/>
  <c r="BT138" i="1" s="1" a="1"/>
  <c r="BT138" i="1" s="1"/>
  <c r="BL56" i="1"/>
  <c r="BQ56" i="1" s="1"/>
  <c r="BL57" i="1"/>
  <c r="BT57" i="1" s="1"/>
  <c r="BL58" i="1"/>
  <c r="BO58" i="1" s="1"/>
  <c r="BL59" i="1"/>
  <c r="BX59" i="1" s="1"/>
  <c r="BL144" i="1"/>
  <c r="BL145" i="1"/>
  <c r="BL143" i="1"/>
  <c r="BL66" i="1"/>
  <c r="BV66" i="1" s="1"/>
  <c r="BL78" i="1"/>
  <c r="BR78" i="1" s="1"/>
  <c r="AW10" i="1"/>
  <c r="AW11" i="1"/>
  <c r="AX10" i="1"/>
  <c r="AX11" i="1"/>
  <c r="AY10" i="1"/>
  <c r="AY11" i="1"/>
  <c r="AZ10" i="1"/>
  <c r="AZ11" i="1"/>
  <c r="BA10" i="1"/>
  <c r="BA11" i="1"/>
  <c r="BB10" i="1"/>
  <c r="BB11" i="1"/>
  <c r="BC10" i="1"/>
  <c r="BC11" i="1"/>
  <c r="BD10" i="1"/>
  <c r="BD11" i="1"/>
  <c r="BE10" i="1"/>
  <c r="BE11" i="1"/>
  <c r="BF10" i="1"/>
  <c r="BF11" i="1"/>
  <c r="BG10" i="1"/>
  <c r="BG11" i="1"/>
  <c r="AV10" i="1"/>
  <c r="AV11" i="1"/>
  <c r="BL140" i="1"/>
  <c r="BL141" i="1"/>
  <c r="BL139" i="1"/>
  <c r="BQ43" i="1"/>
  <c r="BX43" i="1"/>
  <c r="BQ42" i="1"/>
  <c r="BR42" i="1"/>
  <c r="BT42" i="1"/>
  <c r="BU42" i="1"/>
  <c r="BV42" i="1"/>
  <c r="BW42" i="1"/>
  <c r="BX42" i="1"/>
  <c r="BZ42" i="1"/>
  <c r="BL33" i="1"/>
  <c r="BT33" i="1" s="1"/>
  <c r="BL124" i="1"/>
  <c r="BL126" i="1"/>
  <c r="BL122" i="1"/>
  <c r="BL109" i="1"/>
  <c r="BL111" i="1"/>
  <c r="BL107" i="1"/>
  <c r="BL67" i="1"/>
  <c r="BP67" i="1" s="1"/>
  <c r="BL79" i="1"/>
  <c r="BR79" i="1" s="1"/>
  <c r="BL65" i="1"/>
  <c r="BT65" i="1" s="1"/>
  <c r="BL77" i="1"/>
  <c r="BR77" i="1" s="1"/>
  <c r="BL150" i="1"/>
  <c r="BL151" i="1"/>
  <c r="BL149" i="1"/>
  <c r="BL93" i="1"/>
  <c r="BL95" i="1"/>
  <c r="BL91" i="1"/>
  <c r="AW9" i="1"/>
  <c r="AW20" i="1" s="1"/>
  <c r="AX9" i="1"/>
  <c r="AX20" i="1" s="1"/>
  <c r="AY9" i="1"/>
  <c r="AY20" i="1" s="1"/>
  <c r="AZ9" i="1"/>
  <c r="AZ20" i="1" s="1"/>
  <c r="BA9" i="1"/>
  <c r="BA20" i="1" s="1"/>
  <c r="BB9" i="1"/>
  <c r="BB20" i="1" s="1"/>
  <c r="BC9" i="1"/>
  <c r="BC20" i="1" s="1"/>
  <c r="BD9" i="1"/>
  <c r="BD20" i="1" s="1"/>
  <c r="BE9" i="1"/>
  <c r="BE20" i="1" s="1"/>
  <c r="BF9" i="1"/>
  <c r="BF20" i="1" s="1"/>
  <c r="BG9" i="1"/>
  <c r="BG20" i="1" s="1"/>
  <c r="AV9" i="1"/>
  <c r="BL80" i="1"/>
  <c r="BR80" i="1" s="1"/>
  <c r="BL81" i="1"/>
  <c r="BV81" i="1" s="1"/>
  <c r="BL82" i="1"/>
  <c r="BV82" i="1" s="1"/>
  <c r="BL83" i="1"/>
  <c r="BQ83" i="1" s="1"/>
  <c r="BM156" i="1"/>
  <c r="BL9" i="1"/>
  <c r="BZ9" i="1" s="1"/>
  <c r="BL68" i="1"/>
  <c r="BW68" i="1" s="1"/>
  <c r="BL69" i="1"/>
  <c r="BU69" i="1" s="1"/>
  <c r="BL70" i="1"/>
  <c r="BR70" i="1" s="1"/>
  <c r="BL71" i="1"/>
  <c r="BQ71" i="1" s="1"/>
  <c r="BM157" i="1"/>
  <c r="BM158" i="1"/>
  <c r="BM159" i="1"/>
  <c r="BM160" i="1"/>
  <c r="BM161" i="1"/>
  <c r="BM162" i="1"/>
  <c r="BL157" i="1"/>
  <c r="BL158" i="1"/>
  <c r="BL159" i="1"/>
  <c r="BL160" i="1"/>
  <c r="BL161" i="1"/>
  <c r="BL162" i="1"/>
  <c r="BL44" i="1"/>
  <c r="BP44" i="1" s="1"/>
  <c r="BL46" i="1"/>
  <c r="BW46" i="1" s="1"/>
  <c r="BL47" i="1"/>
  <c r="BP47" i="1" s="1"/>
  <c r="BL34" i="1"/>
  <c r="BP34" i="1" s="1"/>
  <c r="BL35" i="1"/>
  <c r="BQ35" i="1" s="1"/>
  <c r="BL20" i="1"/>
  <c r="BO20" i="1" s="1"/>
  <c r="BL21" i="1"/>
  <c r="BU21" i="1" s="1"/>
  <c r="BL22" i="1"/>
  <c r="BX22" i="1" s="1"/>
  <c r="BL23" i="1"/>
  <c r="BU23" i="1" s="1"/>
  <c r="BL8" i="1"/>
  <c r="BP8" i="1" s="1"/>
  <c r="BL10" i="1"/>
  <c r="BS10" i="1" s="1"/>
  <c r="BL11" i="1"/>
  <c r="BP11" i="1" s="1"/>
  <c r="BU32" i="1"/>
  <c r="BZ59" i="1"/>
  <c r="BR32" i="1"/>
  <c r="BT32" i="1"/>
  <c r="BZ32" i="1"/>
  <c r="BS32" i="1"/>
  <c r="BY32" i="1"/>
  <c r="BQ32" i="1"/>
  <c r="BX32" i="1"/>
  <c r="BP32" i="1"/>
  <c r="BW32" i="1"/>
  <c r="BV32" i="1"/>
  <c r="BO68" i="1"/>
  <c r="L12" i="80" l="1"/>
  <c r="M11" i="80"/>
  <c r="P11" i="80" s="1"/>
  <c r="BZ43" i="1"/>
  <c r="BW43" i="1"/>
  <c r="BX126" i="1" s="1"/>
  <c r="BX127" i="1" s="1"/>
  <c r="BZ68" i="1"/>
  <c r="BT68" i="1"/>
  <c r="BR43" i="1"/>
  <c r="BR126" i="1" s="1"/>
  <c r="BR127" i="1" s="1"/>
  <c r="BS57" i="1"/>
  <c r="BY35" i="1"/>
  <c r="BX33" i="1"/>
  <c r="BV33" i="1"/>
  <c r="BZ58" i="1"/>
  <c r="BU58" i="1"/>
  <c r="BP58" i="1"/>
  <c r="BX56" i="1"/>
  <c r="BO22" i="1"/>
  <c r="BP56" i="1"/>
  <c r="BT56" i="1"/>
  <c r="BR22" i="1"/>
  <c r="BW54" i="1"/>
  <c r="BW140" i="1" s="1"/>
  <c r="BS22" i="1"/>
  <c r="BR82" i="1"/>
  <c r="BY68" i="1"/>
  <c r="BS35" i="1"/>
  <c r="BY23" i="1"/>
  <c r="BO65" i="1"/>
  <c r="BQ69" i="1"/>
  <c r="BX44" i="1"/>
  <c r="BY9" i="1"/>
  <c r="BU82" i="1"/>
  <c r="BX167" i="1" a="1"/>
  <c r="BX167" i="1" s="1"/>
  <c r="BW23" i="1"/>
  <c r="BP82" i="1"/>
  <c r="BW65" i="1"/>
  <c r="BX173" i="1" a="1"/>
  <c r="BX173" i="1" s="1"/>
  <c r="BV44" i="1"/>
  <c r="BQ23" i="1"/>
  <c r="BX172" i="1" a="1"/>
  <c r="BX172" i="1" s="1"/>
  <c r="BX171" i="1" a="1"/>
  <c r="BX171" i="1" s="1"/>
  <c r="BQ44" i="1"/>
  <c r="BX168" i="1" a="1"/>
  <c r="BX168" i="1" s="1"/>
  <c r="BU71" i="1"/>
  <c r="BP68" i="1"/>
  <c r="BX82" i="1"/>
  <c r="BW53" i="1"/>
  <c r="BW139" i="1" s="1"/>
  <c r="BV70" i="1"/>
  <c r="BX45" i="1"/>
  <c r="BT82" i="1"/>
  <c r="BR69" i="1"/>
  <c r="BV45" i="1"/>
  <c r="BW45" i="1"/>
  <c r="BZ69" i="1"/>
  <c r="BX21" i="1"/>
  <c r="BT45" i="1"/>
  <c r="BV69" i="1"/>
  <c r="BS45" i="1"/>
  <c r="BO69" i="1"/>
  <c r="BR45" i="1"/>
  <c r="BX69" i="1"/>
  <c r="BR23" i="1"/>
  <c r="BY45" i="1"/>
  <c r="BS82" i="1"/>
  <c r="BT19" i="1"/>
  <c r="BP57" i="1"/>
  <c r="BW57" i="1"/>
  <c r="BR47" i="1"/>
  <c r="BX57" i="1"/>
  <c r="BT47" i="1"/>
  <c r="BT71" i="1"/>
  <c r="BS44" i="1"/>
  <c r="BS71" i="1"/>
  <c r="BU53" i="1"/>
  <c r="BU139" i="1" s="1"/>
  <c r="BY57" i="1"/>
  <c r="BW71" i="1"/>
  <c r="BR57" i="1"/>
  <c r="BZ71" i="1"/>
  <c r="BY10" i="1"/>
  <c r="BW83" i="1"/>
  <c r="BO54" i="1"/>
  <c r="BO140" i="1" s="1"/>
  <c r="BO47" i="1"/>
  <c r="BX71" i="1"/>
  <c r="BZ57" i="1"/>
  <c r="BP71" i="1"/>
  <c r="BZ21" i="1"/>
  <c r="BT79" i="1"/>
  <c r="BV22" i="1"/>
  <c r="BS68" i="1"/>
  <c r="BU70" i="1"/>
  <c r="BW58" i="1"/>
  <c r="BS58" i="1"/>
  <c r="BY54" i="1"/>
  <c r="BY140" i="1" s="1"/>
  <c r="BQ19" i="1"/>
  <c r="BV68" i="1"/>
  <c r="BW70" i="1"/>
  <c r="BX58" i="1"/>
  <c r="BY22" i="1"/>
  <c r="BW22" i="1"/>
  <c r="BT22" i="1"/>
  <c r="BR54" i="1"/>
  <c r="BR140" i="1" s="1"/>
  <c r="BQ58" i="1"/>
  <c r="BZ22" i="1"/>
  <c r="BP22" i="1"/>
  <c r="BS46" i="1"/>
  <c r="BQ68" i="1"/>
  <c r="BX68" i="1"/>
  <c r="BU68" i="1"/>
  <c r="BV46" i="1"/>
  <c r="BY58" i="1"/>
  <c r="BU22" i="1"/>
  <c r="BQ22" i="1"/>
  <c r="BR68" i="1"/>
  <c r="BQ46" i="1"/>
  <c r="BV58" i="1"/>
  <c r="BR58" i="1"/>
  <c r="BT58" i="1"/>
  <c r="BR21" i="1"/>
  <c r="BP10" i="1"/>
  <c r="BX83" i="1"/>
  <c r="BO81" i="1"/>
  <c r="BS53" i="1"/>
  <c r="BS139" i="1" s="1"/>
  <c r="BY19" i="1"/>
  <c r="BR35" i="1"/>
  <c r="BT70" i="1"/>
  <c r="BZ46" i="1"/>
  <c r="BT46" i="1"/>
  <c r="BX70" i="1"/>
  <c r="BT23" i="1"/>
  <c r="BT43" i="1"/>
  <c r="BV19" i="1"/>
  <c r="BY18" i="1"/>
  <c r="BS43" i="1"/>
  <c r="BO53" i="1"/>
  <c r="BO139" i="1" s="1"/>
  <c r="BU19" i="1"/>
  <c r="BU95" i="1" s="1"/>
  <c r="BT18" i="1"/>
  <c r="BO35" i="1"/>
  <c r="BX35" i="1"/>
  <c r="BU46" i="1"/>
  <c r="BU80" i="1"/>
  <c r="BR18" i="1"/>
  <c r="BY69" i="1"/>
  <c r="BO70" i="1"/>
  <c r="BY46" i="1"/>
  <c r="BW35" i="1"/>
  <c r="BZ44" i="1"/>
  <c r="BW44" i="1"/>
  <c r="BZ23" i="1"/>
  <c r="BO23" i="1"/>
  <c r="BV35" i="1"/>
  <c r="BY56" i="1"/>
  <c r="BU83" i="1"/>
  <c r="BS80" i="1"/>
  <c r="BY43" i="1"/>
  <c r="BY126" i="1" s="1"/>
  <c r="BY127" i="1" s="1"/>
  <c r="BP43" i="1"/>
  <c r="BQ126" i="1" s="1"/>
  <c r="BQ127" i="1" s="1"/>
  <c r="BV53" i="1"/>
  <c r="BV138" i="1" s="1" a="1"/>
  <c r="BV138" i="1" s="1"/>
  <c r="BS19" i="1"/>
  <c r="BQ18" i="1"/>
  <c r="BU35" i="1"/>
  <c r="BQ80" i="1"/>
  <c r="BY70" i="1"/>
  <c r="BP35" i="1"/>
  <c r="BS69" i="1"/>
  <c r="BZ70" i="1"/>
  <c r="BP46" i="1"/>
  <c r="BW69" i="1"/>
  <c r="BP70" i="1"/>
  <c r="BT44" i="1"/>
  <c r="BV23" i="1"/>
  <c r="BT34" i="1"/>
  <c r="BQ8" i="1"/>
  <c r="BV43" i="1"/>
  <c r="BX19" i="1"/>
  <c r="BZ35" i="1"/>
  <c r="BT35" i="1"/>
  <c r="BS70" i="1"/>
  <c r="BX46" i="1"/>
  <c r="BR46" i="1"/>
  <c r="BU44" i="1"/>
  <c r="BU43" i="1"/>
  <c r="BW19" i="1"/>
  <c r="BZ18" i="1"/>
  <c r="BU47" i="1"/>
  <c r="BV59" i="1"/>
  <c r="BQ59" i="1"/>
  <c r="BP45" i="1"/>
  <c r="BU56" i="1"/>
  <c r="BO46" i="1"/>
  <c r="BV8" i="1"/>
  <c r="BT10" i="1"/>
  <c r="BR83" i="1"/>
  <c r="BX77" i="1"/>
  <c r="BQ77" i="1"/>
  <c r="BR67" i="1"/>
  <c r="BR151" i="1" s="1"/>
  <c r="BV18" i="1"/>
  <c r="BT41" i="1"/>
  <c r="BS47" i="1"/>
  <c r="BX47" i="1"/>
  <c r="BO71" i="1"/>
  <c r="BY59" i="1"/>
  <c r="BS56" i="1"/>
  <c r="BS8" i="1"/>
  <c r="BQ10" i="1"/>
  <c r="BP83" i="1"/>
  <c r="BR81" i="1"/>
  <c r="BW77" i="1"/>
  <c r="BP77" i="1"/>
  <c r="BS42" i="1"/>
  <c r="BS124" i="1" s="1"/>
  <c r="BS125" i="1" s="1"/>
  <c r="BO59" i="1"/>
  <c r="BV55" i="1"/>
  <c r="BV141" i="1" s="1"/>
  <c r="BU18" i="1"/>
  <c r="BS41" i="1"/>
  <c r="BY47" i="1"/>
  <c r="BV47" i="1"/>
  <c r="BV71" i="1"/>
  <c r="BW59" i="1"/>
  <c r="BS59" i="1"/>
  <c r="BU45" i="1"/>
  <c r="BZ56" i="1"/>
  <c r="BR71" i="1"/>
  <c r="BT59" i="1"/>
  <c r="BO10" i="1"/>
  <c r="BZ83" i="1"/>
  <c r="BW82" i="1"/>
  <c r="BU77" i="1"/>
  <c r="BP65" i="1"/>
  <c r="BY42" i="1"/>
  <c r="BY124" i="1" s="1"/>
  <c r="BY125" i="1" s="1"/>
  <c r="BX78" i="1"/>
  <c r="BS18" i="1"/>
  <c r="BO45" i="1"/>
  <c r="BQ20" i="1"/>
  <c r="BZ10" i="1"/>
  <c r="BM163" i="1"/>
  <c r="BO159" i="1" s="1"/>
  <c r="BO77" i="1"/>
  <c r="BT77" i="1"/>
  <c r="BT149" i="1" s="1"/>
  <c r="BR59" i="1"/>
  <c r="BS77" i="1"/>
  <c r="BZ67" i="1"/>
  <c r="BZ47" i="1"/>
  <c r="BW47" i="1"/>
  <c r="BW56" i="1"/>
  <c r="BW10" i="1"/>
  <c r="BZ65" i="1"/>
  <c r="BS65" i="1"/>
  <c r="BV67" i="1"/>
  <c r="BP59" i="1"/>
  <c r="BU59" i="1"/>
  <c r="BY71" i="1"/>
  <c r="BZ45" i="1"/>
  <c r="BV56" i="1"/>
  <c r="BQ47" i="1"/>
  <c r="BY8" i="1"/>
  <c r="BU10" i="1"/>
  <c r="BT83" i="1"/>
  <c r="BY77" i="1"/>
  <c r="BR65" i="1"/>
  <c r="BR149" i="1" s="1"/>
  <c r="BW18" i="1"/>
  <c r="BH11" i="1"/>
  <c r="BH10" i="1"/>
  <c r="BH9" i="1"/>
  <c r="BA23" i="1"/>
  <c r="AV20" i="1"/>
  <c r="AV26" i="1"/>
  <c r="AV25" i="1"/>
  <c r="BP124" i="1"/>
  <c r="BP125" i="1" s="1"/>
  <c r="BO124" i="1"/>
  <c r="BO125" i="1" s="1"/>
  <c r="BO126" i="1"/>
  <c r="BO127" i="1" s="1"/>
  <c r="BQ33" i="1"/>
  <c r="BU33" i="1"/>
  <c r="BW33" i="1"/>
  <c r="BY20" i="1"/>
  <c r="BR34" i="1"/>
  <c r="BW9" i="1"/>
  <c r="BY80" i="1"/>
  <c r="BO80" i="1"/>
  <c r="BS79" i="1"/>
  <c r="BT78" i="1"/>
  <c r="BZ53" i="1"/>
  <c r="BZ139" i="1" s="1"/>
  <c r="BR53" i="1"/>
  <c r="BR139" i="1" s="1"/>
  <c r="BS55" i="1"/>
  <c r="BS141" i="1" s="1"/>
  <c r="BP19" i="1"/>
  <c r="BY30" i="1"/>
  <c r="BY33" i="1"/>
  <c r="BW20" i="1"/>
  <c r="BO34" i="1"/>
  <c r="BU9" i="1"/>
  <c r="BX80" i="1"/>
  <c r="BR66" i="1"/>
  <c r="BR150" i="1" s="1"/>
  <c r="BY53" i="1"/>
  <c r="BY139" i="1" s="1"/>
  <c r="BQ53" i="1"/>
  <c r="BR55" i="1"/>
  <c r="BR141" i="1" s="1"/>
  <c r="BO19" i="1"/>
  <c r="BW41" i="1"/>
  <c r="BQ30" i="1"/>
  <c r="BR109" i="1" s="1"/>
  <c r="BR110" i="1" s="1"/>
  <c r="BQ57" i="1"/>
  <c r="BV20" i="1"/>
  <c r="BS33" i="1"/>
  <c r="BX8" i="1"/>
  <c r="BR9" i="1"/>
  <c r="BR10" i="1"/>
  <c r="BV80" i="1"/>
  <c r="BY79" i="1"/>
  <c r="BQ79" i="1"/>
  <c r="BP78" i="1"/>
  <c r="BX53" i="1"/>
  <c r="BX138" i="1" s="1" a="1"/>
  <c r="BX138" i="1" s="1"/>
  <c r="BP53" i="1"/>
  <c r="BP138" i="1" s="1" a="1"/>
  <c r="BP138" i="1" s="1"/>
  <c r="BY55" i="1"/>
  <c r="BY141" i="1" s="1"/>
  <c r="BQ55" i="1"/>
  <c r="BQ141" i="1" s="1"/>
  <c r="BV29" i="1"/>
  <c r="BT20" i="1"/>
  <c r="BR33" i="1"/>
  <c r="BQ9" i="1"/>
  <c r="BX79" i="1"/>
  <c r="BP79" i="1"/>
  <c r="BP151" i="1" s="1"/>
  <c r="BX55" i="1"/>
  <c r="BX141" i="1" s="1"/>
  <c r="BO55" i="1"/>
  <c r="BO141" i="1" s="1"/>
  <c r="BY5" i="1"/>
  <c r="BS20" i="1"/>
  <c r="BZ34" i="1"/>
  <c r="BO9" i="1"/>
  <c r="BW79" i="1"/>
  <c r="BO79" i="1"/>
  <c r="BO57" i="1"/>
  <c r="BW55" i="1"/>
  <c r="BW141" i="1" s="1"/>
  <c r="BP55" i="1"/>
  <c r="BP141" i="1" s="1"/>
  <c r="BQ5" i="1"/>
  <c r="BW6" i="1"/>
  <c r="BV17" i="1"/>
  <c r="BX34" i="1"/>
  <c r="BU57" i="1"/>
  <c r="BW34" i="1"/>
  <c r="BV57" i="1"/>
  <c r="BX10" i="1"/>
  <c r="BS11" i="1"/>
  <c r="BZ82" i="1"/>
  <c r="BP80" i="1"/>
  <c r="BV65" i="1"/>
  <c r="BU79" i="1"/>
  <c r="BS54" i="1"/>
  <c r="BS140" i="1" s="1"/>
  <c r="BU55" i="1"/>
  <c r="BU141" i="1" s="1"/>
  <c r="BZ19" i="1"/>
  <c r="BX18" i="1"/>
  <c r="BP18" i="1"/>
  <c r="BP94" i="1" s="1"/>
  <c r="BO6" i="1"/>
  <c r="BO94" i="1" s="1"/>
  <c r="BT55" i="1"/>
  <c r="BT141" i="1" s="1"/>
  <c r="BT7" i="1"/>
  <c r="BC23" i="1"/>
  <c r="BE22" i="1"/>
  <c r="BA22" i="1"/>
  <c r="BE25" i="1"/>
  <c r="AW25" i="1"/>
  <c r="BA26" i="1"/>
  <c r="BG22" i="1"/>
  <c r="AY22" i="1"/>
  <c r="AZ26" i="1"/>
  <c r="BE23" i="1"/>
  <c r="AW23" i="1"/>
  <c r="AY23" i="1"/>
  <c r="BE21" i="1"/>
  <c r="AW21" i="1"/>
  <c r="BG21" i="1"/>
  <c r="BG23" i="1"/>
  <c r="BD21" i="1"/>
  <c r="AW22" i="1"/>
  <c r="BG25" i="1"/>
  <c r="AY25" i="1"/>
  <c r="BC26" i="1"/>
  <c r="BB22" i="1"/>
  <c r="BB26" i="1"/>
  <c r="BB21" i="1"/>
  <c r="BH7" i="1"/>
  <c r="BH6" i="1"/>
  <c r="BF25" i="1"/>
  <c r="BB23" i="1"/>
  <c r="AX25" i="1"/>
  <c r="BD25" i="1"/>
  <c r="BA21" i="1"/>
  <c r="AY21" i="1"/>
  <c r="BA25" i="1"/>
  <c r="AV21" i="1"/>
  <c r="BE24" i="1"/>
  <c r="BA24" i="1"/>
  <c r="AW24" i="1"/>
  <c r="AZ22" i="1"/>
  <c r="BC21" i="1"/>
  <c r="BT139" i="1"/>
  <c r="BF24" i="1"/>
  <c r="BC22" i="1"/>
  <c r="AZ25" i="1"/>
  <c r="BD26" i="1"/>
  <c r="AW26" i="1"/>
  <c r="BD23" i="1"/>
  <c r="AV23" i="1"/>
  <c r="BD22" i="1"/>
  <c r="BX124" i="1"/>
  <c r="BX125" i="1" s="1"/>
  <c r="BE26" i="1"/>
  <c r="AV22" i="1"/>
  <c r="BW124" i="1"/>
  <c r="BW125" i="1" s="1"/>
  <c r="BG24" i="1"/>
  <c r="BC24" i="1"/>
  <c r="AY24" i="1"/>
  <c r="BB25" i="1"/>
  <c r="BF26" i="1"/>
  <c r="AY26" i="1"/>
  <c r="BF21" i="1"/>
  <c r="AX21" i="1"/>
  <c r="BB24" i="1"/>
  <c r="AX24" i="1"/>
  <c r="AX22" i="1"/>
  <c r="BV124" i="1"/>
  <c r="BV125" i="1" s="1"/>
  <c r="AV24" i="1"/>
  <c r="BD24" i="1"/>
  <c r="AZ24" i="1"/>
  <c r="BU124" i="1"/>
  <c r="BU125" i="1" s="1"/>
  <c r="BG26" i="1"/>
  <c r="AX23" i="1"/>
  <c r="BC25" i="1"/>
  <c r="BQ124" i="1"/>
  <c r="BQ125" i="1" s="1"/>
  <c r="AX26" i="1"/>
  <c r="AZ21" i="1"/>
  <c r="BM32" i="1"/>
  <c r="AZ23" i="1"/>
  <c r="BR124" i="1"/>
  <c r="BR125" i="1" s="1"/>
  <c r="BF23" i="1"/>
  <c r="BF22" i="1"/>
  <c r="BH4" i="1"/>
  <c r="BH5" i="1"/>
  <c r="BO162" i="1"/>
  <c r="BO158" i="1"/>
  <c r="BT21" i="1"/>
  <c r="BV21" i="1"/>
  <c r="BQ21" i="1"/>
  <c r="BY21" i="1"/>
  <c r="BQ11" i="1"/>
  <c r="BP20" i="1"/>
  <c r="BX20" i="1"/>
  <c r="BR20" i="1"/>
  <c r="BZ20" i="1"/>
  <c r="BU20" i="1"/>
  <c r="BV9" i="1"/>
  <c r="BP9" i="1"/>
  <c r="BX9" i="1"/>
  <c r="BS9" i="1"/>
  <c r="BW81" i="1"/>
  <c r="BP81" i="1"/>
  <c r="BX81" i="1"/>
  <c r="BQ81" i="1"/>
  <c r="BY81" i="1"/>
  <c r="BT81" i="1"/>
  <c r="BU81" i="1"/>
  <c r="BW21" i="1"/>
  <c r="BQ70" i="1"/>
  <c r="BZ81" i="1"/>
  <c r="BU11" i="1"/>
  <c r="BO11" i="1"/>
  <c r="BW11" i="1"/>
  <c r="BR11" i="1"/>
  <c r="BZ11" i="1"/>
  <c r="BQ34" i="1"/>
  <c r="BY34" i="1"/>
  <c r="BS34" i="1"/>
  <c r="BV34" i="1"/>
  <c r="BH8" i="1"/>
  <c r="BS21" i="1"/>
  <c r="BY11" i="1"/>
  <c r="BS81" i="1"/>
  <c r="BX11" i="1"/>
  <c r="BR8" i="1"/>
  <c r="BZ8" i="1"/>
  <c r="BT8" i="1"/>
  <c r="BO8" i="1"/>
  <c r="BW8" i="1"/>
  <c r="BP21" i="1"/>
  <c r="BV11" i="1"/>
  <c r="BP23" i="1"/>
  <c r="BX23" i="1"/>
  <c r="BS23" i="1"/>
  <c r="BR44" i="1"/>
  <c r="BO44" i="1"/>
  <c r="BY44" i="1"/>
  <c r="BP69" i="1"/>
  <c r="BT69" i="1"/>
  <c r="BO66" i="1"/>
  <c r="BS66" i="1"/>
  <c r="BW66" i="1"/>
  <c r="BP66" i="1"/>
  <c r="BT66" i="1"/>
  <c r="BX66" i="1"/>
  <c r="BQ66" i="1"/>
  <c r="BU66" i="1"/>
  <c r="BY66" i="1"/>
  <c r="BO107" i="1"/>
  <c r="BO108" i="1" s="1"/>
  <c r="BO21" i="1"/>
  <c r="BU34" i="1"/>
  <c r="BU8" i="1"/>
  <c r="BT9" i="1"/>
  <c r="BT11" i="1"/>
  <c r="BZ66" i="1"/>
  <c r="BT31" i="1"/>
  <c r="BU31" i="1"/>
  <c r="BV31" i="1"/>
  <c r="BO31" i="1"/>
  <c r="BW31" i="1"/>
  <c r="BP31" i="1"/>
  <c r="BX31" i="1"/>
  <c r="BQ31" i="1"/>
  <c r="BY31" i="1"/>
  <c r="BR31" i="1"/>
  <c r="BZ31" i="1"/>
  <c r="BS31" i="1"/>
  <c r="BW67" i="1"/>
  <c r="BS67" i="1"/>
  <c r="BY78" i="1"/>
  <c r="BU78" i="1"/>
  <c r="BQ78" i="1"/>
  <c r="BT54" i="1"/>
  <c r="BV41" i="1"/>
  <c r="BV6" i="1"/>
  <c r="BS7" i="1"/>
  <c r="BX30" i="1"/>
  <c r="BP30" i="1"/>
  <c r="BU29" i="1"/>
  <c r="BX5" i="1"/>
  <c r="BP5" i="1"/>
  <c r="BU17" i="1"/>
  <c r="BZ33" i="1"/>
  <c r="BR56" i="1"/>
  <c r="BV10" i="1"/>
  <c r="BV83" i="1"/>
  <c r="BY82" i="1"/>
  <c r="BQ82" i="1"/>
  <c r="BW80" i="1"/>
  <c r="BO82" i="1"/>
  <c r="BZ77" i="1"/>
  <c r="BV77" i="1"/>
  <c r="BZ79" i="1"/>
  <c r="BV79" i="1"/>
  <c r="BO67" i="1"/>
  <c r="BO33" i="1"/>
  <c r="BO56" i="1"/>
  <c r="BX54" i="1"/>
  <c r="BP54" i="1"/>
  <c r="BU41" i="1"/>
  <c r="BO41" i="1"/>
  <c r="BU6" i="1"/>
  <c r="BZ7" i="1"/>
  <c r="BR7" i="1"/>
  <c r="BW30" i="1"/>
  <c r="BO30" i="1"/>
  <c r="BT29" i="1"/>
  <c r="BW5" i="1"/>
  <c r="BO5" i="1"/>
  <c r="BO92" i="1" s="1"/>
  <c r="BT17" i="1"/>
  <c r="BP33" i="1"/>
  <c r="BT6" i="1"/>
  <c r="BY7" i="1"/>
  <c r="BQ7" i="1"/>
  <c r="BV30" i="1"/>
  <c r="BS29" i="1"/>
  <c r="BV5" i="1"/>
  <c r="BS17" i="1"/>
  <c r="BS6" i="1"/>
  <c r="BX7" i="1"/>
  <c r="BP7" i="1"/>
  <c r="BU30" i="1"/>
  <c r="BZ29" i="1"/>
  <c r="BR29" i="1"/>
  <c r="BU5" i="1"/>
  <c r="BZ17" i="1"/>
  <c r="BR17" i="1"/>
  <c r="BS83" i="1"/>
  <c r="BT80" i="1"/>
  <c r="BO83" i="1"/>
  <c r="BY65" i="1"/>
  <c r="BU65" i="1"/>
  <c r="BQ65" i="1"/>
  <c r="BY67" i="1"/>
  <c r="BU67" i="1"/>
  <c r="BQ67" i="1"/>
  <c r="BW78" i="1"/>
  <c r="BS78" i="1"/>
  <c r="BO78" i="1"/>
  <c r="BV54" i="1"/>
  <c r="BZ41" i="1"/>
  <c r="BR41" i="1"/>
  <c r="BZ6" i="1"/>
  <c r="BR6" i="1"/>
  <c r="BW7" i="1"/>
  <c r="BO7" i="1"/>
  <c r="BT30" i="1"/>
  <c r="BY29" i="1"/>
  <c r="BQ29" i="1"/>
  <c r="BT5" i="1"/>
  <c r="BY17" i="1"/>
  <c r="BQ17" i="1"/>
  <c r="BZ54" i="1"/>
  <c r="BQ54" i="1"/>
  <c r="BY41" i="1"/>
  <c r="BQ41" i="1"/>
  <c r="BY6" i="1"/>
  <c r="BQ6" i="1"/>
  <c r="BV7" i="1"/>
  <c r="BS30" i="1"/>
  <c r="BS109" i="1" s="1"/>
  <c r="BS110" i="1" s="1"/>
  <c r="BX29" i="1"/>
  <c r="BP29" i="1"/>
  <c r="BS5" i="1"/>
  <c r="BX17" i="1"/>
  <c r="BP17" i="1"/>
  <c r="BY83" i="1"/>
  <c r="BZ80" i="1"/>
  <c r="BX65" i="1"/>
  <c r="BX67" i="1"/>
  <c r="BT67" i="1"/>
  <c r="BZ78" i="1"/>
  <c r="BV78" i="1"/>
  <c r="BV150" i="1" s="1"/>
  <c r="BX41" i="1"/>
  <c r="BX6" i="1"/>
  <c r="BZ30" i="1"/>
  <c r="BW29" i="1"/>
  <c r="BZ5" i="1"/>
  <c r="BW17" i="1"/>
  <c r="BW126" i="1" l="1"/>
  <c r="BW127" i="1" s="1"/>
  <c r="BS126" i="1"/>
  <c r="BS127" i="1" s="1"/>
  <c r="M12" i="80"/>
  <c r="P12" i="80" s="1"/>
  <c r="L13" i="80"/>
  <c r="BW149" i="1"/>
  <c r="BO157" i="1"/>
  <c r="BO160" i="1"/>
  <c r="BO156" i="1"/>
  <c r="BP156" i="1" s="1"/>
  <c r="BO161" i="1"/>
  <c r="BW138" i="1" a="1"/>
  <c r="BW138" i="1" s="1"/>
  <c r="BO149" i="1"/>
  <c r="BI11" i="1"/>
  <c r="BI10" i="1"/>
  <c r="BT97" i="1"/>
  <c r="BZ126" i="1"/>
  <c r="BZ127" i="1" s="1"/>
  <c r="BS138" i="1" a="1"/>
  <c r="BS138" i="1" s="1"/>
  <c r="BU138" i="1" a="1"/>
  <c r="BU138" i="1" s="1"/>
  <c r="BO138" i="1" a="1"/>
  <c r="BO138" i="1" s="1"/>
  <c r="BM58" i="1"/>
  <c r="BV126" i="1"/>
  <c r="BV127" i="1" s="1"/>
  <c r="BM22" i="1"/>
  <c r="BM68" i="1"/>
  <c r="BU97" i="1"/>
  <c r="BV139" i="1"/>
  <c r="BU96" i="1"/>
  <c r="BT151" i="1"/>
  <c r="BM70" i="1"/>
  <c r="BU126" i="1"/>
  <c r="BU127" i="1" s="1"/>
  <c r="BM35" i="1"/>
  <c r="BT126" i="1"/>
  <c r="BT127" i="1" s="1"/>
  <c r="BP126" i="1"/>
  <c r="BP127" i="1" s="1"/>
  <c r="BM43" i="1"/>
  <c r="BM46" i="1"/>
  <c r="BP48" i="1"/>
  <c r="BX150" i="1"/>
  <c r="BR84" i="1"/>
  <c r="BT124" i="1"/>
  <c r="BT125" i="1" s="1"/>
  <c r="BT122" i="1"/>
  <c r="BT123" i="1" s="1"/>
  <c r="BT48" i="1"/>
  <c r="BU93" i="1"/>
  <c r="BZ124" i="1"/>
  <c r="BZ125" i="1" s="1"/>
  <c r="BZ151" i="1"/>
  <c r="BW93" i="1"/>
  <c r="BS149" i="1"/>
  <c r="BM59" i="1"/>
  <c r="BP149" i="1"/>
  <c r="BM45" i="1"/>
  <c r="BM71" i="1"/>
  <c r="BV72" i="1"/>
  <c r="BM47" i="1"/>
  <c r="BS48" i="1"/>
  <c r="BM42" i="1"/>
  <c r="BW48" i="1"/>
  <c r="BR72" i="1"/>
  <c r="AV14" i="1"/>
  <c r="AV13" i="1"/>
  <c r="AW14" i="1"/>
  <c r="BD14" i="1"/>
  <c r="BA14" i="1"/>
  <c r="AX14" i="1"/>
  <c r="BG13" i="1"/>
  <c r="BF14" i="1"/>
  <c r="BB14" i="1"/>
  <c r="AZ14" i="1"/>
  <c r="BC14" i="1"/>
  <c r="AY14" i="1"/>
  <c r="BE14" i="1"/>
  <c r="BG14" i="1"/>
  <c r="AZ13" i="1"/>
  <c r="BE13" i="1"/>
  <c r="BA13" i="1"/>
  <c r="BB13" i="1"/>
  <c r="AX13" i="1"/>
  <c r="BC13" i="1"/>
  <c r="BY138" i="1" a="1"/>
  <c r="BY138" i="1" s="1"/>
  <c r="BF13" i="1"/>
  <c r="AW13" i="1"/>
  <c r="AY13" i="1"/>
  <c r="BD13" i="1"/>
  <c r="BX151" i="1"/>
  <c r="BW151" i="1"/>
  <c r="BS151" i="1"/>
  <c r="BY151" i="1"/>
  <c r="BM10" i="1"/>
  <c r="BV24" i="1"/>
  <c r="BY60" i="1"/>
  <c r="BY132" i="1" s="1"/>
  <c r="BS60" i="1"/>
  <c r="BS131" i="1" s="1"/>
  <c r="BZ138" i="1" a="1"/>
  <c r="BZ138" i="1" s="1"/>
  <c r="BX139" i="1"/>
  <c r="BR60" i="1"/>
  <c r="BR132" i="1" s="1"/>
  <c r="BM19" i="1"/>
  <c r="BQ151" i="1"/>
  <c r="BR138" i="1" a="1"/>
  <c r="BR138" i="1" s="1"/>
  <c r="BW94" i="1"/>
  <c r="BZ143" i="1"/>
  <c r="BW60" i="1"/>
  <c r="BW132" i="1" s="1"/>
  <c r="BX84" i="1"/>
  <c r="BW143" i="1"/>
  <c r="BQ143" i="1"/>
  <c r="BP139" i="1"/>
  <c r="BT143" i="1"/>
  <c r="BV143" i="1"/>
  <c r="BR143" i="1"/>
  <c r="BY143" i="1"/>
  <c r="BZ109" i="1"/>
  <c r="BZ110" i="1" s="1"/>
  <c r="BU151" i="1"/>
  <c r="BO143" i="1"/>
  <c r="BQ139" i="1"/>
  <c r="BX143" i="1"/>
  <c r="BS143" i="1"/>
  <c r="BQ138" i="1" a="1"/>
  <c r="BQ138" i="1" s="1"/>
  <c r="BU143" i="1"/>
  <c r="BP143" i="1"/>
  <c r="BM53" i="1"/>
  <c r="BM57" i="1"/>
  <c r="BT96" i="1"/>
  <c r="BU60" i="1"/>
  <c r="BU132" i="1" s="1"/>
  <c r="BO93" i="1"/>
  <c r="BT95" i="1"/>
  <c r="BP93" i="1"/>
  <c r="BZ145" i="1"/>
  <c r="BY145" i="1"/>
  <c r="BP145" i="1"/>
  <c r="BS145" i="1"/>
  <c r="BO145" i="1"/>
  <c r="BV145" i="1"/>
  <c r="BU145" i="1"/>
  <c r="BW145" i="1"/>
  <c r="BM18" i="1"/>
  <c r="BR145" i="1"/>
  <c r="BX145" i="1"/>
  <c r="BM55" i="1"/>
  <c r="BT145" i="1"/>
  <c r="BQ145" i="1"/>
  <c r="BU84" i="1"/>
  <c r="BW84" i="1"/>
  <c r="AV18" i="1"/>
  <c r="AW18" i="1" s="1"/>
  <c r="BS111" i="1"/>
  <c r="BS112" i="1" s="1"/>
  <c r="BV111" i="1"/>
  <c r="BV112" i="1" s="1"/>
  <c r="BS84" i="1"/>
  <c r="BM83" i="1"/>
  <c r="BM82" i="1"/>
  <c r="BZ111" i="1"/>
  <c r="BZ112" i="1" s="1"/>
  <c r="BM29" i="1"/>
  <c r="BW109" i="1"/>
  <c r="BW110" i="1" s="1"/>
  <c r="BM69" i="1"/>
  <c r="BT109" i="1"/>
  <c r="BT110" i="1" s="1"/>
  <c r="BM6" i="1"/>
  <c r="BM17" i="1"/>
  <c r="BM44" i="1"/>
  <c r="BR111" i="1"/>
  <c r="BR112" i="1" s="1"/>
  <c r="BU111" i="1"/>
  <c r="BU112" i="1" s="1"/>
  <c r="BY150" i="1"/>
  <c r="BM23" i="1"/>
  <c r="BM34" i="1"/>
  <c r="BZ140" i="1"/>
  <c r="BZ144" i="1"/>
  <c r="BZ60" i="1"/>
  <c r="BY91" i="1"/>
  <c r="BY92" i="1"/>
  <c r="BY24" i="1"/>
  <c r="BZ94" i="1"/>
  <c r="BZ93" i="1"/>
  <c r="BR24" i="1"/>
  <c r="BR92" i="1"/>
  <c r="BS94" i="1"/>
  <c r="BS93" i="1"/>
  <c r="BZ97" i="1"/>
  <c r="BZ95" i="1"/>
  <c r="BZ96" i="1"/>
  <c r="BM67" i="1"/>
  <c r="BO151" i="1"/>
  <c r="BU107" i="1"/>
  <c r="BU108" i="1" s="1"/>
  <c r="BU36" i="1"/>
  <c r="BV107" i="1"/>
  <c r="BV108" i="1" s="1"/>
  <c r="BY111" i="1"/>
  <c r="BY112" i="1" s="1"/>
  <c r="BT111" i="1"/>
  <c r="BT112" i="1" s="1"/>
  <c r="BW150" i="1"/>
  <c r="BW72" i="1"/>
  <c r="BM9" i="1"/>
  <c r="BZ91" i="1"/>
  <c r="BZ12" i="1"/>
  <c r="BW95" i="1"/>
  <c r="BW97" i="1"/>
  <c r="BW96" i="1"/>
  <c r="BM80" i="1"/>
  <c r="BT84" i="1"/>
  <c r="BW36" i="1"/>
  <c r="BW107" i="1"/>
  <c r="BW108" i="1" s="1"/>
  <c r="BV97" i="1"/>
  <c r="BV96" i="1"/>
  <c r="BV95" i="1"/>
  <c r="BX94" i="1"/>
  <c r="BX93" i="1"/>
  <c r="BQ93" i="1"/>
  <c r="BQ12" i="1"/>
  <c r="BT12" i="1"/>
  <c r="BT91" i="1"/>
  <c r="BR48" i="1"/>
  <c r="BS122" i="1"/>
  <c r="BS123" i="1" s="1"/>
  <c r="BR122" i="1"/>
  <c r="BR123" i="1" s="1"/>
  <c r="BZ24" i="1"/>
  <c r="BZ92" i="1"/>
  <c r="BS24" i="1"/>
  <c r="BS92" i="1"/>
  <c r="BT92" i="1"/>
  <c r="BT24" i="1"/>
  <c r="BV151" i="1"/>
  <c r="BM79" i="1"/>
  <c r="BQ109" i="1"/>
  <c r="BQ110" i="1" s="1"/>
  <c r="BP109" i="1"/>
  <c r="BP110" i="1" s="1"/>
  <c r="BY84" i="1"/>
  <c r="BQ111" i="1"/>
  <c r="BQ112" i="1" s="1"/>
  <c r="BU94" i="1"/>
  <c r="BS72" i="1"/>
  <c r="BS150" i="1"/>
  <c r="BX122" i="1"/>
  <c r="BX123" i="1" s="1"/>
  <c r="BX48" i="1"/>
  <c r="BP24" i="1"/>
  <c r="BP92" i="1"/>
  <c r="BY94" i="1"/>
  <c r="BY12" i="1"/>
  <c r="BY93" i="1"/>
  <c r="BQ107" i="1"/>
  <c r="BQ108" i="1" s="1"/>
  <c r="BQ36" i="1"/>
  <c r="BZ122" i="1"/>
  <c r="BZ123" i="1" s="1"/>
  <c r="BZ48" i="1"/>
  <c r="BQ149" i="1"/>
  <c r="BM65" i="1"/>
  <c r="BQ72" i="1"/>
  <c r="BU12" i="1"/>
  <c r="BU91" i="1"/>
  <c r="BV12" i="1"/>
  <c r="BV91" i="1"/>
  <c r="BM5" i="1"/>
  <c r="BO91" i="1"/>
  <c r="BO12" i="1"/>
  <c r="BO122" i="1"/>
  <c r="BO123" i="1" s="1"/>
  <c r="BP122" i="1"/>
  <c r="BP123" i="1" s="1"/>
  <c r="BO48" i="1"/>
  <c r="BM41" i="1"/>
  <c r="BX109" i="1"/>
  <c r="BX110" i="1" s="1"/>
  <c r="BY109" i="1"/>
  <c r="BY110" i="1" s="1"/>
  <c r="BX111" i="1"/>
  <c r="BX112" i="1" s="1"/>
  <c r="BZ72" i="1"/>
  <c r="BZ150" i="1"/>
  <c r="BO150" i="1"/>
  <c r="BO72" i="1"/>
  <c r="BM66" i="1"/>
  <c r="BQ94" i="1"/>
  <c r="BM11" i="1"/>
  <c r="BX107" i="1"/>
  <c r="BX108" i="1" s="1"/>
  <c r="BX36" i="1"/>
  <c r="BX24" i="1"/>
  <c r="BX92" i="1"/>
  <c r="BQ48" i="1"/>
  <c r="BQ122" i="1"/>
  <c r="BQ123" i="1" s="1"/>
  <c r="BY36" i="1"/>
  <c r="BY107" i="1"/>
  <c r="BY108" i="1" s="1"/>
  <c r="BV144" i="1"/>
  <c r="BV60" i="1"/>
  <c r="BV140" i="1"/>
  <c r="BU149" i="1"/>
  <c r="BU72" i="1"/>
  <c r="BR36" i="1"/>
  <c r="BR107" i="1"/>
  <c r="BR108" i="1" s="1"/>
  <c r="BS36" i="1"/>
  <c r="BS107" i="1"/>
  <c r="BS108" i="1" s="1"/>
  <c r="BW91" i="1"/>
  <c r="BW12" i="1"/>
  <c r="BU48" i="1"/>
  <c r="BU122" i="1"/>
  <c r="BU123" i="1" s="1"/>
  <c r="BV84" i="1"/>
  <c r="BV149" i="1"/>
  <c r="BM77" i="1"/>
  <c r="BS97" i="1"/>
  <c r="BS95" i="1"/>
  <c r="BS96" i="1"/>
  <c r="BP111" i="1"/>
  <c r="BP112" i="1" s="1"/>
  <c r="BU150" i="1"/>
  <c r="BR91" i="1"/>
  <c r="BY122" i="1"/>
  <c r="BY123" i="1" s="1"/>
  <c r="BY48" i="1"/>
  <c r="BO84" i="1"/>
  <c r="BM78" i="1"/>
  <c r="BY149" i="1"/>
  <c r="BY72" i="1"/>
  <c r="BZ36" i="1"/>
  <c r="BZ107" i="1"/>
  <c r="BZ108" i="1" s="1"/>
  <c r="BV109" i="1"/>
  <c r="BV110" i="1" s="1"/>
  <c r="BV36" i="1"/>
  <c r="BT36" i="1"/>
  <c r="BT107" i="1"/>
  <c r="BT108" i="1" s="1"/>
  <c r="BP140" i="1"/>
  <c r="BU144" i="1"/>
  <c r="BO144" i="1"/>
  <c r="BW144" i="1"/>
  <c r="BS144" i="1"/>
  <c r="BY144" i="1"/>
  <c r="BP144" i="1"/>
  <c r="BM54" i="1"/>
  <c r="BP60" i="1"/>
  <c r="BR144" i="1"/>
  <c r="BZ149" i="1"/>
  <c r="BZ84" i="1"/>
  <c r="BV93" i="1"/>
  <c r="BV94" i="1"/>
  <c r="BV92" i="1"/>
  <c r="BW111" i="1"/>
  <c r="BW112" i="1" s="1"/>
  <c r="BQ150" i="1"/>
  <c r="BM81" i="1"/>
  <c r="BP84" i="1"/>
  <c r="BW92" i="1"/>
  <c r="BW24" i="1"/>
  <c r="BP36" i="1"/>
  <c r="BP107" i="1"/>
  <c r="BP108" i="1" s="1"/>
  <c r="BQ140" i="1"/>
  <c r="BQ60" i="1"/>
  <c r="BQ144" i="1"/>
  <c r="BM7" i="1"/>
  <c r="BO96" i="1"/>
  <c r="BO95" i="1"/>
  <c r="BO97" i="1"/>
  <c r="BU109" i="1"/>
  <c r="BU110" i="1" s="1"/>
  <c r="BQ95" i="1"/>
  <c r="BQ96" i="1"/>
  <c r="BQ97" i="1"/>
  <c r="BM30" i="1"/>
  <c r="BO109" i="1"/>
  <c r="BO110" i="1" s="1"/>
  <c r="BO36" i="1"/>
  <c r="BX140" i="1"/>
  <c r="BX60" i="1"/>
  <c r="BX144" i="1"/>
  <c r="BU24" i="1"/>
  <c r="BU92" i="1"/>
  <c r="BW122" i="1"/>
  <c r="BW123" i="1" s="1"/>
  <c r="BV48" i="1"/>
  <c r="BV122" i="1"/>
  <c r="BV123" i="1" s="1"/>
  <c r="BO111" i="1"/>
  <c r="BO112" i="1" s="1"/>
  <c r="BM31" i="1"/>
  <c r="BY96" i="1"/>
  <c r="BY95" i="1"/>
  <c r="BY97" i="1"/>
  <c r="BO60" i="1"/>
  <c r="BM56" i="1"/>
  <c r="BP12" i="1"/>
  <c r="BP91" i="1"/>
  <c r="BT140" i="1"/>
  <c r="BT144" i="1"/>
  <c r="BT60" i="1"/>
  <c r="BT150" i="1"/>
  <c r="BT72" i="1"/>
  <c r="BM8" i="1"/>
  <c r="BM20" i="1"/>
  <c r="BS91" i="1"/>
  <c r="BS12" i="1"/>
  <c r="BP95" i="1"/>
  <c r="BP97" i="1"/>
  <c r="BP96" i="1"/>
  <c r="BX72" i="1"/>
  <c r="BX149" i="1"/>
  <c r="BQ92" i="1"/>
  <c r="BQ91" i="1"/>
  <c r="BQ24" i="1"/>
  <c r="BR93" i="1"/>
  <c r="BR12" i="1"/>
  <c r="BR94" i="1"/>
  <c r="BX97" i="1"/>
  <c r="BX96" i="1"/>
  <c r="BX95" i="1"/>
  <c r="BT93" i="1"/>
  <c r="BT94" i="1"/>
  <c r="BR97" i="1"/>
  <c r="BR96" i="1"/>
  <c r="BR95" i="1"/>
  <c r="BM33" i="1"/>
  <c r="BX12" i="1"/>
  <c r="BX91" i="1"/>
  <c r="BQ84" i="1"/>
  <c r="BO24" i="1"/>
  <c r="BM21" i="1"/>
  <c r="BP150" i="1"/>
  <c r="BP72" i="1"/>
  <c r="BP157" i="1" l="1"/>
  <c r="BP158" i="1" s="1"/>
  <c r="BP159" i="1" s="1"/>
  <c r="BP160" i="1" s="1"/>
  <c r="BP161" i="1" s="1"/>
  <c r="BP162" i="1" s="1"/>
  <c r="L14" i="80"/>
  <c r="M13" i="80"/>
  <c r="P13" i="80" s="1"/>
  <c r="BK21" i="1"/>
  <c r="BK19" i="1"/>
  <c r="BK20" i="1"/>
  <c r="BR131" i="1"/>
  <c r="BY131" i="1"/>
  <c r="BS132" i="1"/>
  <c r="BU131" i="1"/>
  <c r="BW131" i="1"/>
  <c r="BM36" i="1"/>
  <c r="BV131" i="1"/>
  <c r="BV132" i="1"/>
  <c r="BM12" i="1"/>
  <c r="BT132" i="1"/>
  <c r="BT131" i="1"/>
  <c r="BQ132" i="1"/>
  <c r="BQ131" i="1"/>
  <c r="BZ131" i="1"/>
  <c r="BZ132" i="1"/>
  <c r="BO132" i="1"/>
  <c r="BO131" i="1"/>
  <c r="BM60" i="1"/>
  <c r="BM24" i="1"/>
  <c r="BP131" i="1"/>
  <c r="BP132" i="1"/>
  <c r="BX131" i="1"/>
  <c r="BX132" i="1"/>
  <c r="BM84" i="1"/>
  <c r="BM72" i="1"/>
  <c r="BM48" i="1"/>
  <c r="M14" i="80" l="1"/>
  <c r="P14" i="80" s="1"/>
  <c r="L15" i="80"/>
  <c r="BY134" i="1"/>
  <c r="BY136" i="1" s="1"/>
  <c r="BQ134" i="1"/>
  <c r="BQ136" i="1" s="1"/>
  <c r="BT133" i="1"/>
  <c r="BT135" i="1" s="1"/>
  <c r="BT134" i="1"/>
  <c r="BT136" i="1" s="1"/>
  <c r="BR134" i="1"/>
  <c r="BR136" i="1" s="1"/>
  <c r="BO133" i="1"/>
  <c r="BO135" i="1" s="1"/>
  <c r="BU133" i="1"/>
  <c r="BU135" i="1" s="1"/>
  <c r="BS133" i="1"/>
  <c r="BS135" i="1" s="1"/>
  <c r="BW133" i="1"/>
  <c r="BW135" i="1" s="1"/>
  <c r="BX134" i="1"/>
  <c r="BX136" i="1" s="1"/>
  <c r="BO134" i="1"/>
  <c r="BO136" i="1" s="1"/>
  <c r="BU134" i="1"/>
  <c r="BU136" i="1" s="1"/>
  <c r="BW134" i="1"/>
  <c r="BW136" i="1" s="1"/>
  <c r="BS134" i="1"/>
  <c r="BS136" i="1" s="1"/>
  <c r="BP134" i="1"/>
  <c r="BP136" i="1" s="1"/>
  <c r="BZ134" i="1"/>
  <c r="BZ136" i="1" s="1"/>
  <c r="BV134" i="1"/>
  <c r="BV136" i="1" s="1"/>
  <c r="BP133" i="1"/>
  <c r="BP135" i="1" s="1"/>
  <c r="BZ133" i="1"/>
  <c r="BZ135" i="1" s="1"/>
  <c r="BV133" i="1"/>
  <c r="BV135" i="1" s="1"/>
  <c r="BX133" i="1"/>
  <c r="BX135" i="1" s="1"/>
  <c r="BY133" i="1"/>
  <c r="BY135" i="1" s="1"/>
  <c r="BQ133" i="1"/>
  <c r="BQ135" i="1" s="1"/>
  <c r="BR133" i="1"/>
  <c r="BR135" i="1" s="1"/>
  <c r="M15" i="80" l="1"/>
  <c r="P15" i="80" s="1"/>
  <c r="L16" i="80"/>
  <c r="L17" i="80" l="1"/>
  <c r="M16" i="80"/>
  <c r="P16" i="80" s="1"/>
  <c r="M17" i="80" l="1"/>
  <c r="P17" i="80" s="1"/>
  <c r="L18" i="80"/>
  <c r="L19" i="80" l="1"/>
  <c r="M18" i="80"/>
  <c r="P18" i="80" s="1"/>
  <c r="L20" i="80" l="1"/>
  <c r="M19" i="80"/>
  <c r="P19" i="80" s="1"/>
  <c r="M20" i="80" l="1"/>
  <c r="P20" i="80" s="1"/>
  <c r="L21" i="80"/>
  <c r="L22" i="80" l="1"/>
  <c r="M21" i="80"/>
  <c r="P21" i="80" s="1"/>
  <c r="M22" i="80" l="1"/>
  <c r="P22" i="80" s="1"/>
  <c r="L23" i="80"/>
  <c r="M23" i="80" l="1"/>
  <c r="P23" i="80" s="1"/>
  <c r="L24" i="80"/>
  <c r="L25" i="80" l="1"/>
  <c r="M24" i="80"/>
  <c r="P24" i="80" s="1"/>
  <c r="M25" i="80" l="1"/>
  <c r="P25" i="80" s="1"/>
  <c r="L26" i="80"/>
  <c r="L27" i="80" l="1"/>
  <c r="M26" i="80"/>
  <c r="P26" i="80" s="1"/>
  <c r="L28" i="80" l="1"/>
  <c r="M27" i="80"/>
  <c r="P27" i="80" s="1"/>
  <c r="M28" i="80" l="1"/>
  <c r="P28" i="80" s="1"/>
  <c r="L29" i="80"/>
  <c r="L30" i="80" l="1"/>
  <c r="M29" i="80"/>
  <c r="P29" i="80" s="1"/>
  <c r="M30" i="80" l="1"/>
  <c r="P30" i="80" s="1"/>
  <c r="L31" i="80"/>
  <c r="L32" i="80" l="1"/>
  <c r="M31" i="80"/>
  <c r="P31" i="80" s="1"/>
  <c r="M32" i="80" l="1"/>
  <c r="P32" i="80" s="1"/>
  <c r="L33" i="80"/>
  <c r="L34" i="80" l="1"/>
  <c r="M33" i="80"/>
  <c r="P33" i="80" s="1"/>
  <c r="M34" i="80" l="1"/>
  <c r="P34" i="80" s="1"/>
  <c r="L35" i="80"/>
  <c r="M35" i="80" l="1"/>
  <c r="P35" i="80" s="1"/>
  <c r="L36" i="80"/>
  <c r="L37" i="80" l="1"/>
  <c r="M36" i="80"/>
  <c r="P36" i="80" s="1"/>
  <c r="L38" i="80" l="1"/>
  <c r="M37" i="80"/>
  <c r="P37" i="80" s="1"/>
  <c r="M38" i="80" l="1"/>
  <c r="P38" i="80" s="1"/>
  <c r="L39" i="80"/>
  <c r="L40" i="80" l="1"/>
  <c r="M39" i="80"/>
  <c r="P39" i="80" s="1"/>
  <c r="M40" i="80" l="1"/>
  <c r="P40" i="80" s="1"/>
  <c r="L41" i="80"/>
  <c r="M41" i="80" l="1"/>
  <c r="P41" i="80" s="1"/>
  <c r="L42" i="80"/>
  <c r="M42" i="80" l="1"/>
  <c r="P42" i="80" s="1"/>
  <c r="L43" i="80"/>
  <c r="L44" i="80" l="1"/>
  <c r="M43" i="80"/>
  <c r="P43" i="80" s="1"/>
  <c r="L45" i="80" l="1"/>
  <c r="M44" i="80"/>
  <c r="P44" i="80" s="1"/>
  <c r="L46" i="80" l="1"/>
  <c r="M45" i="80"/>
  <c r="P45" i="80" s="1"/>
  <c r="L47" i="80" l="1"/>
  <c r="M46" i="80"/>
  <c r="P46" i="80" s="1"/>
  <c r="L48" i="80" l="1"/>
  <c r="M47" i="80"/>
  <c r="P47" i="80" s="1"/>
  <c r="M48" i="80" l="1"/>
  <c r="P48" i="80" s="1"/>
  <c r="L49" i="80"/>
  <c r="M49" i="80" l="1"/>
  <c r="P49" i="80" s="1"/>
  <c r="L50" i="80"/>
  <c r="M50" i="80" l="1"/>
  <c r="P50" i="80" s="1"/>
  <c r="L51" i="80"/>
  <c r="L52" i="80" l="1"/>
  <c r="M51" i="80"/>
  <c r="P51" i="80" s="1"/>
  <c r="L53" i="80" l="1"/>
  <c r="M52" i="80"/>
  <c r="P52" i="80" s="1"/>
  <c r="L54" i="80" l="1"/>
  <c r="M53" i="80"/>
  <c r="P53" i="80" s="1"/>
  <c r="L55" i="80" l="1"/>
  <c r="M54" i="80"/>
  <c r="P54" i="80" s="1"/>
  <c r="L56" i="80" l="1"/>
  <c r="M55" i="80"/>
  <c r="P55" i="80" s="1"/>
  <c r="M56" i="80" l="1"/>
  <c r="P56" i="80" s="1"/>
  <c r="L57" i="80"/>
  <c r="M57" i="80" l="1"/>
  <c r="P57" i="80" s="1"/>
  <c r="L58" i="80"/>
  <c r="M58" i="80" l="1"/>
  <c r="P58" i="80" s="1"/>
  <c r="L59" i="80"/>
  <c r="L60" i="80" l="1"/>
  <c r="M59" i="80"/>
  <c r="P59" i="80" s="1"/>
  <c r="L61" i="80" l="1"/>
  <c r="M60" i="80"/>
  <c r="P60" i="80" s="1"/>
  <c r="L62" i="80" l="1"/>
  <c r="M61" i="80"/>
  <c r="P61" i="80" s="1"/>
  <c r="L63" i="80" l="1"/>
  <c r="M62" i="80"/>
  <c r="P62" i="80" s="1"/>
  <c r="L64" i="80" l="1"/>
  <c r="M63" i="80"/>
  <c r="P63" i="80" s="1"/>
  <c r="M64" i="80" l="1"/>
  <c r="P64" i="80" s="1"/>
  <c r="L65" i="80"/>
  <c r="M65" i="80" l="1"/>
  <c r="P65" i="80" s="1"/>
  <c r="L66" i="80"/>
  <c r="M66" i="80" l="1"/>
  <c r="P66" i="80" s="1"/>
  <c r="L67" i="80"/>
  <c r="L68" i="80" l="1"/>
  <c r="M67" i="80"/>
  <c r="P67" i="80" s="1"/>
  <c r="L69" i="80" l="1"/>
  <c r="M68" i="80"/>
  <c r="P68" i="80" s="1"/>
  <c r="L70" i="80" l="1"/>
  <c r="M69" i="80"/>
  <c r="P69" i="80" s="1"/>
  <c r="M70" i="80" l="1"/>
  <c r="P70" i="80" s="1"/>
  <c r="L71" i="80"/>
  <c r="L72" i="80" l="1"/>
  <c r="M71" i="80"/>
  <c r="P71" i="80" s="1"/>
  <c r="M72" i="80" l="1"/>
  <c r="P72" i="80" s="1"/>
  <c r="L73" i="80"/>
  <c r="M73" i="80" l="1"/>
  <c r="P73" i="80" s="1"/>
  <c r="L74" i="80"/>
  <c r="M74" i="80" l="1"/>
  <c r="P74" i="80" s="1"/>
  <c r="L75" i="80"/>
  <c r="L76" i="80" l="1"/>
  <c r="M75" i="80"/>
  <c r="P75" i="80" s="1"/>
  <c r="L77" i="80" l="1"/>
  <c r="M76" i="80"/>
  <c r="P76" i="80" s="1"/>
  <c r="L78" i="80" l="1"/>
  <c r="M77" i="80"/>
  <c r="P77" i="80" s="1"/>
  <c r="L79" i="80" l="1"/>
  <c r="M78" i="80"/>
  <c r="P78" i="80" s="1"/>
  <c r="L80" i="80" l="1"/>
  <c r="M79" i="80"/>
  <c r="P79" i="80" s="1"/>
  <c r="M80" i="80" l="1"/>
  <c r="P80" i="80" s="1"/>
  <c r="L81" i="80"/>
  <c r="M81" i="80" l="1"/>
  <c r="P81" i="80" s="1"/>
  <c r="L82" i="80"/>
  <c r="M82" i="80" l="1"/>
  <c r="P82" i="80" s="1"/>
  <c r="L83" i="80"/>
  <c r="L84" i="80" l="1"/>
  <c r="M83" i="80"/>
  <c r="P83" i="80" s="1"/>
  <c r="L85" i="80" l="1"/>
  <c r="M84" i="80"/>
  <c r="P84" i="80" s="1"/>
  <c r="L86" i="80" l="1"/>
  <c r="M85" i="80"/>
  <c r="P85" i="80" s="1"/>
  <c r="L87" i="80" l="1"/>
  <c r="M86" i="80"/>
  <c r="P86" i="80" s="1"/>
  <c r="L88" i="80" l="1"/>
  <c r="M87" i="80"/>
  <c r="P87" i="80" s="1"/>
  <c r="M88" i="80" l="1"/>
  <c r="P88" i="80" s="1"/>
  <c r="L89" i="80"/>
  <c r="M89" i="80" l="1"/>
  <c r="P89" i="80" s="1"/>
  <c r="L90" i="80"/>
  <c r="M90" i="80" l="1"/>
  <c r="P90" i="80" s="1"/>
  <c r="L91" i="80"/>
  <c r="L92" i="80" l="1"/>
  <c r="M91" i="80"/>
  <c r="P91" i="80" s="1"/>
  <c r="L93" i="80" l="1"/>
  <c r="M92" i="80"/>
  <c r="P92" i="80" s="1"/>
  <c r="L94" i="80" l="1"/>
  <c r="M93" i="80"/>
  <c r="P93" i="80" s="1"/>
  <c r="M94" i="80" l="1"/>
  <c r="P94" i="80" s="1"/>
  <c r="L95" i="80"/>
  <c r="L96" i="80" l="1"/>
  <c r="M95" i="80"/>
  <c r="P95" i="80" s="1"/>
  <c r="M96" i="80" l="1"/>
  <c r="P96" i="80" s="1"/>
  <c r="L97" i="80"/>
  <c r="M97" i="80" l="1"/>
  <c r="P97" i="80" s="1"/>
  <c r="L98" i="80"/>
  <c r="L99" i="80" l="1"/>
  <c r="M98" i="80"/>
  <c r="P98" i="80" s="1"/>
  <c r="L100" i="80" l="1"/>
  <c r="M99" i="80"/>
  <c r="P99" i="80" s="1"/>
  <c r="L101" i="80" l="1"/>
  <c r="M100" i="80"/>
  <c r="P100" i="80" s="1"/>
  <c r="L102" i="80" l="1"/>
  <c r="M101" i="80"/>
  <c r="P101" i="80" s="1"/>
  <c r="M102" i="80" l="1"/>
  <c r="P102" i="80" s="1"/>
  <c r="L103" i="80"/>
  <c r="L104" i="80" l="1"/>
  <c r="M103" i="80"/>
  <c r="P103" i="80" s="1"/>
  <c r="M104" i="80" l="1"/>
  <c r="P104" i="80" s="1"/>
  <c r="L105" i="80"/>
  <c r="M105" i="80" l="1"/>
  <c r="P105" i="80" s="1"/>
  <c r="L106" i="80"/>
  <c r="L107" i="80" l="1"/>
  <c r="M106" i="80"/>
  <c r="P106" i="80" s="1"/>
  <c r="M107" i="80" l="1"/>
  <c r="P107" i="80" s="1"/>
  <c r="L108" i="80"/>
  <c r="L109" i="80" l="1"/>
  <c r="M108" i="80"/>
  <c r="P108" i="80" s="1"/>
  <c r="L110" i="80" l="1"/>
  <c r="M109" i="80"/>
  <c r="P109" i="80" s="1"/>
  <c r="M110" i="80" l="1"/>
  <c r="P110" i="80" s="1"/>
  <c r="L111" i="80"/>
  <c r="M111" i="80" l="1"/>
  <c r="P111" i="80" s="1"/>
  <c r="L112" i="80"/>
  <c r="M112" i="80" l="1"/>
  <c r="P112" i="80" s="1"/>
  <c r="L113" i="80"/>
  <c r="M113" i="80" l="1"/>
  <c r="P113" i="80" s="1"/>
  <c r="L114" i="80"/>
  <c r="L115" i="80" l="1"/>
  <c r="M114" i="80"/>
  <c r="P114" i="80" s="1"/>
  <c r="M115" i="80" l="1"/>
  <c r="P115" i="80" s="1"/>
  <c r="L116" i="80"/>
  <c r="L117" i="80" l="1"/>
  <c r="M116" i="80"/>
  <c r="P116" i="80" s="1"/>
  <c r="L118" i="80" l="1"/>
  <c r="M117" i="80"/>
  <c r="P117" i="80" s="1"/>
  <c r="M118" i="80" l="1"/>
  <c r="P118" i="80" s="1"/>
  <c r="L119" i="80"/>
  <c r="L120" i="80" l="1"/>
  <c r="M119" i="80"/>
  <c r="P119" i="80" s="1"/>
  <c r="M120" i="80" l="1"/>
  <c r="P120" i="80" s="1"/>
  <c r="L121" i="80"/>
  <c r="M121" i="80" l="1"/>
  <c r="P121" i="80" s="1"/>
  <c r="L122" i="80"/>
  <c r="L123" i="80" l="1"/>
  <c r="M122" i="80"/>
  <c r="P122" i="80" s="1"/>
  <c r="L124" i="80" l="1"/>
  <c r="M123" i="80"/>
  <c r="P123" i="80" s="1"/>
  <c r="L125" i="80" l="1"/>
  <c r="M124" i="80"/>
  <c r="P124" i="80" s="1"/>
  <c r="L126" i="80" l="1"/>
  <c r="M125" i="80"/>
  <c r="P125" i="80" s="1"/>
  <c r="M126" i="80" l="1"/>
  <c r="P126" i="80" s="1"/>
  <c r="L127" i="80"/>
  <c r="M127" i="80" l="1"/>
  <c r="P127" i="80" s="1"/>
  <c r="L128" i="80"/>
  <c r="M128" i="80" l="1"/>
  <c r="P128" i="80" s="1"/>
  <c r="L129" i="80"/>
  <c r="M129" i="80" l="1"/>
  <c r="P129" i="80" s="1"/>
  <c r="L130" i="80"/>
  <c r="L131" i="80" l="1"/>
  <c r="M130" i="80"/>
  <c r="P130" i="80" s="1"/>
  <c r="M131" i="80" l="1"/>
  <c r="P131" i="80" s="1"/>
  <c r="L132" i="80"/>
  <c r="L133" i="80" l="1"/>
  <c r="M132" i="80"/>
  <c r="P132" i="80" s="1"/>
  <c r="L134" i="80" l="1"/>
  <c r="M133" i="80"/>
  <c r="P133" i="80" s="1"/>
  <c r="M134" i="80" l="1"/>
  <c r="P134" i="80" s="1"/>
  <c r="L135" i="80"/>
  <c r="M135" i="80" l="1"/>
  <c r="P135" i="80" s="1"/>
  <c r="L136" i="80"/>
  <c r="M136" i="80" l="1"/>
  <c r="P136" i="80" s="1"/>
  <c r="L137" i="80"/>
  <c r="M137" i="80" l="1"/>
  <c r="P137" i="80" s="1"/>
  <c r="L138" i="80"/>
  <c r="L139" i="80" l="1"/>
  <c r="M138" i="80"/>
  <c r="P138" i="80" s="1"/>
  <c r="L140" i="80" l="1"/>
  <c r="M139" i="80"/>
  <c r="P139" i="80" s="1"/>
  <c r="L141" i="80" l="1"/>
  <c r="M140" i="80"/>
  <c r="P140" i="80" s="1"/>
  <c r="L142" i="80" l="1"/>
  <c r="M141" i="80"/>
  <c r="P141" i="80" s="1"/>
  <c r="M142" i="80" l="1"/>
  <c r="P142" i="80" s="1"/>
  <c r="L143" i="80"/>
  <c r="L144" i="80" l="1"/>
  <c r="M143" i="80"/>
  <c r="P143" i="80" s="1"/>
  <c r="M144" i="80" l="1"/>
  <c r="P144" i="80" s="1"/>
  <c r="L145" i="80"/>
  <c r="M145" i="80" l="1"/>
  <c r="P145" i="80" s="1"/>
  <c r="L146" i="80"/>
  <c r="L147" i="80" l="1"/>
  <c r="M146" i="80"/>
  <c r="P146" i="80" s="1"/>
  <c r="L148" i="80" l="1"/>
  <c r="M147" i="80"/>
  <c r="P147" i="80" s="1"/>
  <c r="L149" i="80" l="1"/>
  <c r="M148" i="80"/>
  <c r="P148" i="80" s="1"/>
  <c r="L150" i="80" l="1"/>
  <c r="M149" i="80"/>
  <c r="P149" i="80" s="1"/>
  <c r="M150" i="80" l="1"/>
  <c r="P150" i="80" s="1"/>
  <c r="L151" i="80"/>
  <c r="L152" i="80" l="1"/>
  <c r="M151" i="80"/>
  <c r="P151" i="80" s="1"/>
  <c r="M152" i="80" l="1"/>
  <c r="P152" i="80" s="1"/>
  <c r="L153" i="80"/>
  <c r="M153" i="80" l="1"/>
  <c r="P153" i="80" s="1"/>
  <c r="L154" i="80"/>
  <c r="L155" i="80" l="1"/>
  <c r="M154" i="80"/>
  <c r="P154" i="80" s="1"/>
  <c r="M155" i="80" l="1"/>
  <c r="P155" i="80" s="1"/>
  <c r="L156" i="80"/>
  <c r="L157" i="80" l="1"/>
  <c r="M156" i="80"/>
  <c r="P156" i="80" s="1"/>
  <c r="L158" i="80" l="1"/>
  <c r="M157" i="80"/>
  <c r="P157" i="80" s="1"/>
  <c r="M158" i="80" l="1"/>
  <c r="P158" i="80" s="1"/>
  <c r="L159" i="80"/>
  <c r="L160" i="80" l="1"/>
  <c r="M159" i="80"/>
  <c r="P159" i="80" s="1"/>
  <c r="M160" i="80" l="1"/>
  <c r="P160" i="80" s="1"/>
  <c r="L161" i="80"/>
  <c r="M161" i="80" l="1"/>
  <c r="P161" i="80" s="1"/>
  <c r="L162" i="80"/>
  <c r="L163" i="80" l="1"/>
  <c r="M162" i="80"/>
  <c r="P162" i="80" s="1"/>
  <c r="M163" i="80" l="1"/>
  <c r="P163" i="80" s="1"/>
  <c r="L164" i="80"/>
  <c r="L165" i="80" l="1"/>
  <c r="M164" i="80"/>
  <c r="P164" i="80" s="1"/>
  <c r="L166" i="80" l="1"/>
  <c r="M165" i="80"/>
  <c r="P165" i="80" s="1"/>
  <c r="M166" i="80" l="1"/>
  <c r="P166" i="80" s="1"/>
  <c r="L167" i="80"/>
  <c r="L168" i="80" l="1"/>
  <c r="M167" i="80"/>
  <c r="P167" i="80" s="1"/>
  <c r="M168" i="80" l="1"/>
  <c r="P168" i="80" s="1"/>
  <c r="L169" i="80"/>
  <c r="M169" i="80" l="1"/>
  <c r="P169" i="80" s="1"/>
  <c r="L170" i="80"/>
  <c r="L171" i="80" l="1"/>
  <c r="M170" i="80"/>
  <c r="P170" i="80" s="1"/>
  <c r="M171" i="80" l="1"/>
  <c r="P171" i="80" s="1"/>
  <c r="L172" i="80"/>
  <c r="L173" i="80" l="1"/>
  <c r="M172" i="80"/>
  <c r="P172" i="80" s="1"/>
  <c r="L174" i="80" l="1"/>
  <c r="M173" i="80"/>
  <c r="P173" i="80" s="1"/>
  <c r="M174" i="80" l="1"/>
  <c r="P174" i="80" s="1"/>
  <c r="L175" i="80"/>
  <c r="L176" i="80" l="1"/>
  <c r="M175" i="80"/>
  <c r="P175" i="80" s="1"/>
  <c r="M176" i="80" l="1"/>
  <c r="P176" i="80" s="1"/>
  <c r="L177" i="80"/>
  <c r="M177" i="80" l="1"/>
  <c r="P177" i="80" s="1"/>
  <c r="L178" i="80"/>
  <c r="L179" i="80" l="1"/>
  <c r="M178" i="80"/>
  <c r="P178" i="80" s="1"/>
  <c r="M179" i="80" l="1"/>
  <c r="P179" i="80" s="1"/>
  <c r="L180" i="80"/>
  <c r="L181" i="80" l="1"/>
  <c r="M180" i="80"/>
  <c r="P180" i="80" s="1"/>
  <c r="L182" i="80" l="1"/>
  <c r="M181" i="80"/>
  <c r="P181" i="80" s="1"/>
  <c r="M182" i="80" l="1"/>
  <c r="P182" i="80" s="1"/>
  <c r="L183" i="80"/>
  <c r="L184" i="80" l="1"/>
  <c r="M183" i="80"/>
  <c r="P183" i="80" s="1"/>
  <c r="M184" i="80" l="1"/>
  <c r="P184" i="80" s="1"/>
  <c r="L185" i="80"/>
  <c r="M185" i="80" l="1"/>
  <c r="P185" i="80" s="1"/>
  <c r="L186" i="80"/>
  <c r="L187" i="80" l="1"/>
  <c r="M186" i="80"/>
  <c r="P186" i="80" s="1"/>
  <c r="M187" i="80" l="1"/>
  <c r="P187" i="80" s="1"/>
  <c r="L188" i="80"/>
  <c r="L189" i="80" l="1"/>
  <c r="M188" i="80"/>
  <c r="P188" i="80" s="1"/>
  <c r="L190" i="80" l="1"/>
  <c r="M189" i="80"/>
  <c r="P189" i="80" s="1"/>
  <c r="M190" i="80" l="1"/>
  <c r="P190" i="80" s="1"/>
  <c r="L191" i="80"/>
  <c r="L192" i="80" l="1"/>
  <c r="M191" i="80"/>
  <c r="P191" i="80" s="1"/>
  <c r="M192" i="80" l="1"/>
  <c r="P192" i="80" s="1"/>
  <c r="L193" i="80"/>
  <c r="M193" i="80" l="1"/>
  <c r="P193" i="80" s="1"/>
  <c r="L194" i="80"/>
  <c r="L195" i="80" l="1"/>
  <c r="M194" i="80"/>
  <c r="P194" i="80" s="1"/>
  <c r="M195" i="80" l="1"/>
  <c r="P195" i="80" s="1"/>
  <c r="L196" i="80"/>
  <c r="L197" i="80" l="1"/>
  <c r="M196" i="80"/>
  <c r="P196" i="80" s="1"/>
  <c r="L198" i="80" l="1"/>
  <c r="M197" i="80"/>
  <c r="P197" i="80" s="1"/>
  <c r="M198" i="80" l="1"/>
  <c r="P198" i="80" s="1"/>
  <c r="L199" i="80"/>
  <c r="L200" i="80" l="1"/>
  <c r="M199" i="80"/>
  <c r="P199" i="80" s="1"/>
  <c r="M200" i="80" l="1"/>
  <c r="P200" i="80" s="1"/>
  <c r="L201" i="80"/>
  <c r="M201" i="80" l="1"/>
  <c r="P201" i="80" s="1"/>
  <c r="L202" i="80"/>
  <c r="L203" i="80" l="1"/>
  <c r="M202" i="80"/>
  <c r="P202" i="80" s="1"/>
  <c r="M203" i="80" l="1"/>
  <c r="P203" i="80" s="1"/>
  <c r="L204" i="80"/>
  <c r="L205" i="80" l="1"/>
  <c r="M204" i="80"/>
  <c r="P204" i="80" s="1"/>
  <c r="L206" i="80" l="1"/>
  <c r="M205" i="80"/>
  <c r="P205" i="80" s="1"/>
  <c r="M206" i="80" l="1"/>
  <c r="P206" i="80" s="1"/>
  <c r="L207" i="80"/>
  <c r="L208" i="80" l="1"/>
  <c r="M207" i="80"/>
  <c r="P207" i="80" s="1"/>
  <c r="M208" i="80" l="1"/>
  <c r="P208" i="80" s="1"/>
  <c r="L209" i="80"/>
  <c r="M209" i="80" l="1"/>
  <c r="P209" i="80" s="1"/>
  <c r="L210" i="80"/>
  <c r="L211" i="80" l="1"/>
  <c r="M210" i="80"/>
  <c r="P210" i="80" s="1"/>
  <c r="M211" i="80" l="1"/>
  <c r="P211" i="80" s="1"/>
  <c r="L212" i="80"/>
  <c r="L213" i="80" l="1"/>
  <c r="M212" i="80"/>
  <c r="P212" i="80" s="1"/>
  <c r="L214" i="80" l="1"/>
  <c r="M213" i="80"/>
  <c r="P213" i="80" s="1"/>
  <c r="M214" i="80" l="1"/>
  <c r="P214" i="80" s="1"/>
  <c r="L215" i="80"/>
  <c r="L216" i="80" l="1"/>
  <c r="M215" i="80"/>
  <c r="P215" i="80" s="1"/>
  <c r="M216" i="80" l="1"/>
  <c r="P216" i="80" s="1"/>
  <c r="L217" i="80"/>
  <c r="M217" i="80" l="1"/>
  <c r="P217" i="80" s="1"/>
  <c r="L218" i="80"/>
  <c r="L219" i="80" l="1"/>
  <c r="M218" i="80"/>
  <c r="P218" i="80" s="1"/>
  <c r="M219" i="80" l="1"/>
  <c r="P219" i="80" s="1"/>
  <c r="L220" i="80"/>
  <c r="L221" i="80" l="1"/>
  <c r="M220" i="80"/>
  <c r="P220" i="80" s="1"/>
  <c r="L222" i="80" l="1"/>
  <c r="M221" i="80"/>
  <c r="P221" i="80" s="1"/>
  <c r="M222" i="80" l="1"/>
  <c r="P222" i="80" s="1"/>
  <c r="L223" i="80"/>
  <c r="L224" i="80" l="1"/>
  <c r="M223" i="80"/>
  <c r="P223" i="80" s="1"/>
  <c r="M224" i="80" l="1"/>
  <c r="P224" i="80" s="1"/>
  <c r="L225" i="80"/>
  <c r="M225" i="80" l="1"/>
  <c r="P225" i="80" s="1"/>
  <c r="L226" i="80"/>
  <c r="L227" i="80" l="1"/>
  <c r="M226" i="80"/>
  <c r="P226" i="80" s="1"/>
  <c r="M227" i="80" l="1"/>
  <c r="P227" i="80" s="1"/>
  <c r="L228" i="80"/>
  <c r="L229" i="80" l="1"/>
  <c r="M228" i="80"/>
  <c r="P228" i="80" s="1"/>
  <c r="L230" i="80" l="1"/>
  <c r="M229" i="80"/>
  <c r="P229" i="80" s="1"/>
  <c r="M230" i="80" l="1"/>
  <c r="P230" i="80" s="1"/>
  <c r="L231" i="80"/>
  <c r="L232" i="80" l="1"/>
  <c r="M231" i="80"/>
  <c r="P231" i="80" s="1"/>
  <c r="M232" i="80" l="1"/>
  <c r="P232" i="80" s="1"/>
  <c r="L233" i="80"/>
  <c r="M233" i="80" l="1"/>
  <c r="P233" i="80" s="1"/>
  <c r="L234" i="80"/>
  <c r="L235" i="80" l="1"/>
  <c r="M234" i="80"/>
  <c r="P234" i="80" s="1"/>
  <c r="M235" i="80" l="1"/>
  <c r="P235" i="80" s="1"/>
  <c r="L236" i="80"/>
  <c r="L237" i="80" l="1"/>
  <c r="M236" i="80"/>
  <c r="P236" i="80" s="1"/>
  <c r="L238" i="80" l="1"/>
  <c r="M237" i="80"/>
  <c r="P237" i="80" s="1"/>
  <c r="M238" i="80" l="1"/>
  <c r="P238" i="80" s="1"/>
  <c r="L239" i="80"/>
  <c r="L240" i="80" l="1"/>
  <c r="M239" i="80"/>
  <c r="P239" i="80" s="1"/>
  <c r="M240" i="80" l="1"/>
  <c r="P240" i="80" s="1"/>
  <c r="L241" i="80"/>
  <c r="M241" i="80" l="1"/>
  <c r="P241" i="80" s="1"/>
  <c r="L242" i="80"/>
  <c r="L243" i="80" l="1"/>
  <c r="M242" i="80"/>
  <c r="P242" i="80" s="1"/>
  <c r="M243" i="80" l="1"/>
  <c r="P243" i="80" s="1"/>
  <c r="L244" i="80"/>
  <c r="L245" i="80" l="1"/>
  <c r="M244" i="80"/>
  <c r="P244" i="80" s="1"/>
  <c r="L246" i="80" l="1"/>
  <c r="M245" i="80"/>
  <c r="P245" i="80" s="1"/>
  <c r="M246" i="80" l="1"/>
  <c r="P246" i="80" s="1"/>
  <c r="L247" i="80"/>
  <c r="L248" i="80" l="1"/>
  <c r="M247" i="80"/>
  <c r="P247" i="80" s="1"/>
  <c r="M248" i="80" l="1"/>
  <c r="P248" i="80" s="1"/>
  <c r="L249" i="80"/>
  <c r="M249" i="80" l="1"/>
  <c r="P249" i="80" s="1"/>
  <c r="L250" i="80"/>
  <c r="L251" i="80" l="1"/>
  <c r="M250" i="80"/>
  <c r="P250" i="80" s="1"/>
  <c r="M251" i="80" l="1"/>
  <c r="P251" i="80" s="1"/>
  <c r="L252" i="80"/>
  <c r="L253" i="80" l="1"/>
  <c r="M252" i="80"/>
  <c r="P252" i="80" s="1"/>
  <c r="L254" i="80" l="1"/>
  <c r="M253" i="80"/>
  <c r="P253" i="80" s="1"/>
  <c r="M254" i="80" l="1"/>
  <c r="P254" i="80" s="1"/>
  <c r="L255" i="80"/>
  <c r="L256" i="80" l="1"/>
  <c r="M255" i="80"/>
  <c r="P255" i="80" s="1"/>
  <c r="M256" i="80" l="1"/>
  <c r="P256" i="80" s="1"/>
  <c r="L257" i="80"/>
  <c r="M257" i="80" l="1"/>
  <c r="P257" i="80" s="1"/>
  <c r="L258" i="80"/>
  <c r="L259" i="80" l="1"/>
  <c r="M258" i="80"/>
  <c r="P258" i="80" s="1"/>
  <c r="M259" i="80" l="1"/>
  <c r="P259" i="80" s="1"/>
  <c r="L260" i="80"/>
  <c r="L261" i="80" l="1"/>
  <c r="M260" i="80"/>
  <c r="P260" i="80" s="1"/>
  <c r="L262" i="80" l="1"/>
  <c r="M261" i="80"/>
  <c r="P261" i="80" s="1"/>
  <c r="M262" i="80" l="1"/>
  <c r="P262" i="80" s="1"/>
  <c r="L263" i="80"/>
  <c r="L264" i="80" l="1"/>
  <c r="M263" i="80"/>
  <c r="P263" i="80" s="1"/>
  <c r="M264" i="80" l="1"/>
  <c r="P264" i="80" s="1"/>
  <c r="L265" i="80"/>
  <c r="M265" i="80" l="1"/>
  <c r="P265" i="80" s="1"/>
  <c r="L266" i="80"/>
  <c r="L267" i="80" l="1"/>
  <c r="M266" i="80"/>
  <c r="P266" i="80" s="1"/>
  <c r="M267" i="80" l="1"/>
  <c r="P267" i="80" s="1"/>
  <c r="L268" i="80"/>
  <c r="L269" i="80" l="1"/>
  <c r="M268" i="80"/>
  <c r="P268" i="80" s="1"/>
  <c r="L270" i="80" l="1"/>
  <c r="M269" i="80"/>
  <c r="P269" i="80" s="1"/>
  <c r="M270" i="80" l="1"/>
  <c r="P270" i="80" s="1"/>
  <c r="L271" i="80"/>
  <c r="L272" i="80" l="1"/>
  <c r="M271" i="80"/>
  <c r="P271" i="80" s="1"/>
  <c r="M272" i="80" l="1"/>
  <c r="P272" i="80" s="1"/>
  <c r="L273" i="80"/>
  <c r="M273" i="80" l="1"/>
  <c r="P273" i="80" s="1"/>
  <c r="L274" i="80"/>
  <c r="L275" i="80" l="1"/>
  <c r="M274" i="80"/>
  <c r="P274" i="80" s="1"/>
  <c r="M275" i="80" l="1"/>
  <c r="P275" i="80" s="1"/>
  <c r="L276" i="80"/>
  <c r="L277" i="80" l="1"/>
  <c r="M276" i="80"/>
  <c r="P276" i="80" s="1"/>
  <c r="L278" i="80" l="1"/>
  <c r="M277" i="80"/>
  <c r="P277" i="80" s="1"/>
  <c r="M278" i="80" l="1"/>
  <c r="P278" i="80" s="1"/>
  <c r="L279" i="80"/>
  <c r="L280" i="80" l="1"/>
  <c r="M279" i="80"/>
  <c r="P279" i="80" s="1"/>
  <c r="M280" i="80" l="1"/>
  <c r="P280" i="80" s="1"/>
  <c r="L281" i="80"/>
  <c r="M281" i="80" l="1"/>
  <c r="P281" i="80" s="1"/>
  <c r="L282" i="80"/>
  <c r="L283" i="80" l="1"/>
  <c r="M282" i="80"/>
  <c r="P282" i="80" s="1"/>
  <c r="M283" i="80" l="1"/>
  <c r="P283" i="80" s="1"/>
  <c r="L284" i="80"/>
  <c r="L285" i="80" l="1"/>
  <c r="M284" i="80"/>
  <c r="P284" i="80" s="1"/>
  <c r="L286" i="80" l="1"/>
  <c r="M285" i="80"/>
  <c r="P285" i="80" s="1"/>
  <c r="M286" i="80" l="1"/>
  <c r="P286" i="80" s="1"/>
  <c r="L287" i="80"/>
  <c r="L288" i="80" l="1"/>
  <c r="M287" i="80"/>
  <c r="P287" i="80" s="1"/>
  <c r="M288" i="80" l="1"/>
  <c r="P288" i="80" s="1"/>
  <c r="L289" i="80"/>
  <c r="M289" i="80" l="1"/>
  <c r="P289" i="80" s="1"/>
  <c r="L290" i="80"/>
  <c r="L291" i="80" l="1"/>
  <c r="M290" i="80"/>
  <c r="P290" i="80" s="1"/>
  <c r="M291" i="80" l="1"/>
  <c r="P291" i="80" s="1"/>
  <c r="L292" i="80"/>
  <c r="L293" i="80" l="1"/>
  <c r="M292" i="80"/>
  <c r="P292" i="80" s="1"/>
  <c r="L294" i="80" l="1"/>
  <c r="M293" i="80"/>
  <c r="P293" i="80" s="1"/>
  <c r="M294" i="80" l="1"/>
  <c r="P294" i="80" s="1"/>
  <c r="L295" i="80"/>
  <c r="L296" i="80" l="1"/>
  <c r="M295" i="80"/>
  <c r="P295" i="80" s="1"/>
  <c r="M296" i="80" l="1"/>
  <c r="P296" i="80" s="1"/>
  <c r="L297" i="80"/>
  <c r="M297" i="80" l="1"/>
  <c r="P297" i="80" s="1"/>
  <c r="L298" i="80"/>
  <c r="L299" i="80" l="1"/>
  <c r="M298" i="80"/>
  <c r="P298" i="80" s="1"/>
  <c r="M299" i="80" l="1"/>
  <c r="P299" i="80" s="1"/>
  <c r="L300" i="80"/>
  <c r="L301" i="80" l="1"/>
  <c r="M300" i="80"/>
  <c r="P300" i="80" s="1"/>
  <c r="L302" i="80" l="1"/>
  <c r="M301" i="80"/>
  <c r="P301" i="80" s="1"/>
  <c r="M302" i="80" l="1"/>
  <c r="P302" i="80" s="1"/>
  <c r="L303" i="80"/>
  <c r="L304" i="80" l="1"/>
  <c r="M303" i="80"/>
  <c r="P303" i="80" s="1"/>
  <c r="M304" i="80" l="1"/>
  <c r="P304" i="80" s="1"/>
  <c r="L305" i="80"/>
  <c r="M305" i="80" l="1"/>
  <c r="P305" i="80" s="1"/>
  <c r="L306" i="80"/>
  <c r="L307" i="80" l="1"/>
  <c r="M306" i="80"/>
  <c r="P306" i="80" s="1"/>
  <c r="M307" i="80" l="1"/>
  <c r="P307" i="80" s="1"/>
  <c r="L308" i="80"/>
  <c r="L309" i="80" l="1"/>
  <c r="M308" i="80"/>
  <c r="P308" i="80" s="1"/>
  <c r="L310" i="80" l="1"/>
  <c r="M309" i="80"/>
  <c r="P309" i="80" s="1"/>
  <c r="M310" i="80" l="1"/>
  <c r="P310" i="80" s="1"/>
  <c r="L311" i="80"/>
  <c r="L312" i="80" l="1"/>
  <c r="M311" i="80"/>
  <c r="P311" i="80" s="1"/>
  <c r="M312" i="80" l="1"/>
  <c r="P312" i="80" s="1"/>
  <c r="L313" i="80"/>
  <c r="L314" i="80" l="1"/>
  <c r="M313" i="80"/>
  <c r="P313" i="80" s="1"/>
  <c r="L315" i="80" l="1"/>
  <c r="M314" i="80"/>
  <c r="P314" i="80" s="1"/>
  <c r="M315" i="80" l="1"/>
  <c r="P315" i="80" s="1"/>
  <c r="L316" i="80"/>
  <c r="L317" i="80" l="1"/>
  <c r="M316" i="80"/>
  <c r="P316" i="80" s="1"/>
  <c r="L318" i="80" l="1"/>
  <c r="M317" i="80"/>
  <c r="P317" i="80" s="1"/>
  <c r="M318" i="80" l="1"/>
  <c r="P318" i="80" s="1"/>
  <c r="L319" i="80"/>
  <c r="L320" i="80" l="1"/>
  <c r="M319" i="80"/>
  <c r="P319" i="80" s="1"/>
  <c r="L321" i="80" l="1"/>
  <c r="M320" i="80"/>
  <c r="P320" i="80" s="1"/>
  <c r="M321" i="80" l="1"/>
  <c r="P321" i="80" s="1"/>
  <c r="L322" i="80"/>
  <c r="L323" i="80" l="1"/>
  <c r="M322" i="80"/>
  <c r="P322" i="80" s="1"/>
  <c r="M323" i="80" l="1"/>
  <c r="P323" i="80" s="1"/>
  <c r="L324" i="80"/>
  <c r="M324" i="80" l="1"/>
  <c r="P324" i="80" s="1"/>
  <c r="L325" i="80"/>
  <c r="M325" i="80" l="1"/>
  <c r="P325" i="80" s="1"/>
  <c r="L326" i="80"/>
  <c r="L327" i="80" l="1"/>
  <c r="M326" i="80"/>
  <c r="P326" i="80" s="1"/>
  <c r="L328" i="80" l="1"/>
  <c r="M327" i="80"/>
  <c r="P327" i="80" s="1"/>
  <c r="M328" i="80" l="1"/>
  <c r="P328" i="80" s="1"/>
  <c r="L329" i="80"/>
  <c r="L330" i="80" l="1"/>
  <c r="M329" i="80"/>
  <c r="P329" i="80" s="1"/>
  <c r="M330" i="80" l="1"/>
  <c r="P330" i="80" s="1"/>
  <c r="L331" i="80"/>
  <c r="L332" i="80" l="1"/>
  <c r="M331" i="80"/>
  <c r="P331" i="80" s="1"/>
  <c r="M332" i="80" l="1"/>
  <c r="P332" i="80" s="1"/>
  <c r="L333" i="80"/>
  <c r="L334" i="80" l="1"/>
  <c r="M333" i="80"/>
  <c r="P333" i="80" s="1"/>
  <c r="L335" i="80" l="1"/>
  <c r="M334" i="80"/>
  <c r="P334" i="80" s="1"/>
  <c r="L336" i="80" l="1"/>
  <c r="M335" i="80"/>
  <c r="P335" i="80" s="1"/>
  <c r="M336" i="80" l="1"/>
  <c r="P336" i="80" s="1"/>
  <c r="L337" i="80"/>
  <c r="L338" i="80" l="1"/>
  <c r="M337" i="80"/>
  <c r="P337" i="80" s="1"/>
  <c r="M338" i="80" l="1"/>
  <c r="P338" i="80" s="1"/>
  <c r="L339" i="80"/>
  <c r="L340" i="80" l="1"/>
  <c r="M339" i="80"/>
  <c r="P339" i="80" s="1"/>
  <c r="M340" i="80" l="1"/>
  <c r="P340" i="80" s="1"/>
  <c r="L341" i="80"/>
  <c r="L342" i="80" l="1"/>
  <c r="M341" i="80"/>
  <c r="P341" i="80" s="1"/>
  <c r="L343" i="80" l="1"/>
  <c r="M342" i="80"/>
  <c r="P342" i="80" s="1"/>
  <c r="L344" i="80" l="1"/>
  <c r="M343" i="80"/>
  <c r="P343" i="80" s="1"/>
  <c r="M344" i="80" l="1"/>
  <c r="P344" i="80" s="1"/>
  <c r="L345" i="80"/>
  <c r="L346" i="80" l="1"/>
  <c r="M345" i="80"/>
  <c r="P345" i="80" s="1"/>
  <c r="M346" i="80" l="1"/>
  <c r="P346" i="80" s="1"/>
  <c r="L347" i="80"/>
  <c r="L348" i="80" l="1"/>
  <c r="M347" i="80"/>
  <c r="P347" i="80" s="1"/>
  <c r="M348" i="80" l="1"/>
  <c r="P348" i="80" s="1"/>
  <c r="L349" i="80"/>
  <c r="L350" i="80" l="1"/>
  <c r="M349" i="80"/>
  <c r="P349" i="80" s="1"/>
  <c r="L351" i="80" l="1"/>
  <c r="M350" i="80"/>
  <c r="P350" i="80" s="1"/>
  <c r="L352" i="80" l="1"/>
  <c r="M351" i="80"/>
  <c r="P351" i="80" s="1"/>
  <c r="M352" i="80" l="1"/>
  <c r="P352" i="80" s="1"/>
  <c r="L353" i="80"/>
  <c r="L354" i="80" l="1"/>
  <c r="M353" i="80"/>
  <c r="P353" i="80" s="1"/>
  <c r="M354" i="80" l="1"/>
  <c r="P354" i="80" s="1"/>
  <c r="L355" i="80"/>
  <c r="L356" i="80" l="1"/>
  <c r="M355" i="80"/>
  <c r="P355" i="80" s="1"/>
  <c r="M356" i="80" l="1"/>
  <c r="P356" i="80" s="1"/>
  <c r="L357" i="80"/>
  <c r="L358" i="80" l="1"/>
  <c r="M357" i="80"/>
  <c r="P357" i="80" s="1"/>
  <c r="L359" i="80" l="1"/>
  <c r="M358" i="80"/>
  <c r="P358" i="80" s="1"/>
  <c r="L360" i="80" l="1"/>
  <c r="M359" i="80"/>
  <c r="P359" i="80" s="1"/>
  <c r="M360" i="80" l="1"/>
  <c r="P360" i="80" s="1"/>
  <c r="L361" i="80"/>
  <c r="L362" i="80" l="1"/>
  <c r="M361" i="80"/>
  <c r="P361" i="80" s="1"/>
  <c r="M362" i="80" l="1"/>
  <c r="P362" i="80" s="1"/>
  <c r="L363" i="80"/>
  <c r="L364" i="80" l="1"/>
  <c r="M363" i="80"/>
  <c r="P363" i="80" s="1"/>
  <c r="M364" i="80" l="1"/>
  <c r="P364" i="80" s="1"/>
  <c r="L365" i="80"/>
  <c r="L366" i="80" l="1"/>
  <c r="M365" i="80"/>
  <c r="P365" i="80" s="1"/>
  <c r="L367" i="80" l="1"/>
  <c r="M366" i="80"/>
  <c r="P366" i="80" s="1"/>
  <c r="L368" i="80" l="1"/>
  <c r="M367" i="80"/>
  <c r="P367" i="80" s="1"/>
  <c r="M368" i="80" l="1"/>
  <c r="P368" i="80" s="1"/>
  <c r="L369" i="80"/>
  <c r="L370" i="80" l="1"/>
  <c r="M369" i="80"/>
  <c r="P369" i="80" s="1"/>
  <c r="M370" i="80" l="1"/>
  <c r="P370" i="80" s="1"/>
  <c r="L371" i="80"/>
  <c r="L372" i="80" l="1"/>
  <c r="M371" i="80"/>
  <c r="P371" i="80" s="1"/>
  <c r="M372" i="80" l="1"/>
  <c r="P372" i="80" s="1"/>
  <c r="L373" i="80"/>
  <c r="L374" i="80" l="1"/>
  <c r="M373" i="80"/>
  <c r="P373" i="80" s="1"/>
  <c r="L375" i="80" l="1"/>
  <c r="M374" i="80"/>
  <c r="P374" i="80" s="1"/>
  <c r="L376" i="80" l="1"/>
  <c r="M375" i="80"/>
  <c r="P375" i="80" s="1"/>
  <c r="M376" i="80" l="1"/>
  <c r="P376" i="80" s="1"/>
  <c r="L377" i="80"/>
  <c r="L378" i="80" l="1"/>
  <c r="M377" i="80"/>
  <c r="P377" i="80" s="1"/>
  <c r="M378" i="80" l="1"/>
  <c r="P378" i="80" s="1"/>
  <c r="L379" i="80"/>
  <c r="L380" i="80" l="1"/>
  <c r="M379" i="80"/>
  <c r="P379" i="80" s="1"/>
  <c r="M380" i="80" l="1"/>
  <c r="P380" i="80" s="1"/>
  <c r="L381" i="80"/>
  <c r="L382" i="80" l="1"/>
  <c r="M381" i="80"/>
  <c r="P381" i="80" s="1"/>
  <c r="L383" i="80" l="1"/>
  <c r="M382" i="80"/>
  <c r="P382" i="80" s="1"/>
  <c r="L384" i="80" l="1"/>
  <c r="M383" i="80"/>
  <c r="P383" i="80" s="1"/>
  <c r="M384" i="80" l="1"/>
  <c r="P384" i="80" s="1"/>
  <c r="L385" i="80"/>
  <c r="L386" i="80" l="1"/>
  <c r="M385" i="80"/>
  <c r="P385" i="80" s="1"/>
  <c r="M386" i="80" l="1"/>
  <c r="P386" i="80" s="1"/>
  <c r="L387" i="80"/>
  <c r="M387" i="80" l="1"/>
  <c r="P387" i="80" s="1"/>
  <c r="L388" i="80"/>
  <c r="M388" i="80" l="1"/>
  <c r="P388" i="80" s="1"/>
  <c r="L389" i="80"/>
  <c r="M389" i="80" l="1"/>
  <c r="P389" i="80" s="1"/>
  <c r="L390" i="80"/>
  <c r="L391" i="80" l="1"/>
  <c r="M390" i="80"/>
  <c r="P390" i="80" s="1"/>
  <c r="M391" i="80" l="1"/>
  <c r="P391" i="80" s="1"/>
  <c r="L392" i="80"/>
  <c r="L393" i="80" l="1"/>
  <c r="M392" i="80"/>
  <c r="P392" i="80" s="1"/>
  <c r="L394" i="80" l="1"/>
  <c r="M393" i="80"/>
  <c r="P393" i="80" s="1"/>
  <c r="M394" i="80" l="1"/>
  <c r="P394" i="80" s="1"/>
  <c r="L395" i="80"/>
  <c r="M395" i="80" l="1"/>
  <c r="P395" i="80" s="1"/>
  <c r="L396" i="80"/>
  <c r="L397" i="80" l="1"/>
  <c r="M396" i="80"/>
  <c r="P396" i="80" s="1"/>
  <c r="M397" i="80" l="1"/>
  <c r="P397" i="80" s="1"/>
  <c r="L398" i="80"/>
  <c r="L399" i="80" l="1"/>
  <c r="M398" i="80"/>
  <c r="P398" i="80" s="1"/>
  <c r="L400" i="80" l="1"/>
  <c r="M399" i="80"/>
  <c r="P399" i="80" s="1"/>
  <c r="M400" i="80" l="1"/>
  <c r="P400" i="80" s="1"/>
  <c r="L401" i="80"/>
  <c r="L402" i="80" l="1"/>
  <c r="M401" i="80"/>
  <c r="P401" i="80" s="1"/>
  <c r="M402" i="80" l="1"/>
  <c r="P402" i="80" s="1"/>
  <c r="L403" i="80"/>
  <c r="M403" i="80" l="1"/>
  <c r="P403" i="80" s="1"/>
  <c r="L404" i="80"/>
  <c r="M404" i="80" l="1"/>
  <c r="P404" i="80" s="1"/>
  <c r="L405" i="80"/>
  <c r="M405" i="80" l="1"/>
  <c r="P405" i="80" s="1"/>
  <c r="L406" i="80"/>
  <c r="L407" i="80" l="1"/>
  <c r="M406" i="80"/>
  <c r="P406" i="80" s="1"/>
  <c r="M407" i="80" l="1"/>
  <c r="P407" i="80" s="1"/>
  <c r="L408" i="80"/>
  <c r="L409" i="80" l="1"/>
  <c r="M408" i="80"/>
  <c r="P408" i="80" s="1"/>
  <c r="L410" i="80" l="1"/>
  <c r="M409" i="80"/>
  <c r="P409" i="80" s="1"/>
  <c r="M410" i="80" l="1"/>
  <c r="P410" i="80" s="1"/>
  <c r="L411" i="80"/>
  <c r="M411" i="80" l="1"/>
  <c r="P411" i="80" s="1"/>
  <c r="L412" i="80"/>
  <c r="L413" i="80" l="1"/>
  <c r="M412" i="80"/>
  <c r="P412" i="80" s="1"/>
  <c r="M413" i="80" l="1"/>
  <c r="P413" i="80" s="1"/>
  <c r="L414" i="80"/>
  <c r="L415" i="80" l="1"/>
  <c r="M414" i="80"/>
  <c r="P414" i="80" s="1"/>
  <c r="L416" i="80" l="1"/>
  <c r="M415" i="80"/>
  <c r="P415" i="80" s="1"/>
  <c r="M416" i="80" l="1"/>
  <c r="P416" i="80" s="1"/>
  <c r="L417" i="80"/>
  <c r="L418" i="80" l="1"/>
  <c r="M417" i="80"/>
  <c r="P417" i="80" s="1"/>
  <c r="M418" i="80" l="1"/>
  <c r="P418" i="80" s="1"/>
  <c r="L419" i="80"/>
  <c r="M419" i="80" l="1"/>
  <c r="P419" i="80" s="1"/>
  <c r="L420" i="80"/>
  <c r="M420" i="80" l="1"/>
  <c r="P420" i="80" s="1"/>
  <c r="L421" i="80"/>
  <c r="M421" i="80" l="1"/>
  <c r="P421" i="80" s="1"/>
  <c r="L422" i="80"/>
  <c r="L423" i="80" l="1"/>
  <c r="M422" i="80"/>
  <c r="P422" i="80" s="1"/>
  <c r="M423" i="80" l="1"/>
  <c r="P423" i="80" s="1"/>
  <c r="L424" i="80"/>
  <c r="L425" i="80" l="1"/>
  <c r="M424" i="80"/>
  <c r="P424" i="80" s="1"/>
  <c r="L426" i="80" l="1"/>
  <c r="M425" i="80"/>
  <c r="P425" i="80" s="1"/>
  <c r="M426" i="80" l="1"/>
  <c r="P426" i="80" s="1"/>
  <c r="L427" i="80"/>
  <c r="M427" i="80" l="1"/>
  <c r="P427" i="80" s="1"/>
  <c r="L428" i="80"/>
  <c r="M428" i="80" l="1"/>
  <c r="P428" i="80" s="1"/>
  <c r="L429" i="80"/>
  <c r="M429" i="80" l="1"/>
  <c r="P429" i="80" s="1"/>
  <c r="L430" i="80"/>
  <c r="L431" i="80" l="1"/>
  <c r="M430" i="80"/>
  <c r="P430" i="80" s="1"/>
  <c r="L432" i="80" l="1"/>
  <c r="M431" i="80"/>
  <c r="P431" i="80" s="1"/>
  <c r="M432" i="80" l="1"/>
  <c r="P432" i="80" s="1"/>
  <c r="L433" i="80"/>
  <c r="L434" i="80" l="1"/>
  <c r="M433" i="80"/>
  <c r="P433" i="80" s="1"/>
  <c r="M434" i="80" l="1"/>
  <c r="P434" i="80" s="1"/>
  <c r="L435" i="80"/>
  <c r="M435" i="80" l="1"/>
  <c r="P435" i="80" s="1"/>
  <c r="L436" i="80"/>
  <c r="M436" i="80" l="1"/>
  <c r="P436" i="80" s="1"/>
  <c r="L437" i="80"/>
  <c r="M437" i="80" l="1"/>
  <c r="P437" i="80" s="1"/>
  <c r="L438" i="80"/>
  <c r="L439" i="80" l="1"/>
  <c r="M438" i="80"/>
  <c r="P438" i="80" s="1"/>
  <c r="M439" i="80" l="1"/>
  <c r="P439" i="80" s="1"/>
  <c r="L440" i="80"/>
  <c r="L441" i="80" l="1"/>
  <c r="M440" i="80"/>
  <c r="P440" i="80" s="1"/>
  <c r="L442" i="80" l="1"/>
  <c r="M441" i="80"/>
  <c r="P441" i="80" s="1"/>
  <c r="M442" i="80" l="1"/>
  <c r="P442" i="80" s="1"/>
  <c r="L443" i="80"/>
  <c r="M443" i="80" l="1"/>
  <c r="P443" i="80" s="1"/>
  <c r="L444" i="80"/>
  <c r="L445" i="80" l="1"/>
  <c r="M444" i="80"/>
  <c r="P444" i="80" s="1"/>
  <c r="M445" i="80" l="1"/>
  <c r="P445" i="80" s="1"/>
  <c r="L446" i="80"/>
  <c r="L447" i="80" l="1"/>
  <c r="M446" i="80"/>
  <c r="P446" i="80" s="1"/>
  <c r="L448" i="80" l="1"/>
  <c r="M447" i="80"/>
  <c r="P447" i="80" s="1"/>
  <c r="M448" i="80" l="1"/>
  <c r="P448" i="80" s="1"/>
  <c r="L449" i="80"/>
  <c r="L450" i="80" l="1"/>
  <c r="M449" i="80"/>
  <c r="P449" i="80" s="1"/>
  <c r="M450" i="80" l="1"/>
  <c r="P450" i="80" s="1"/>
  <c r="L451" i="80"/>
  <c r="M451" i="80" l="1"/>
  <c r="P451" i="80" s="1"/>
  <c r="L452" i="80"/>
  <c r="M452" i="80" l="1"/>
  <c r="P452" i="80" s="1"/>
  <c r="L453" i="80"/>
  <c r="M453" i="80" l="1"/>
  <c r="P453" i="80" s="1"/>
  <c r="L454" i="80"/>
  <c r="L455" i="80" l="1"/>
  <c r="M454" i="80"/>
  <c r="P454" i="80" s="1"/>
  <c r="M455" i="80" l="1"/>
  <c r="P455" i="80" s="1"/>
  <c r="L456" i="80"/>
  <c r="L457" i="80" l="1"/>
  <c r="M456" i="80"/>
  <c r="P456" i="80" s="1"/>
  <c r="L458" i="80" l="1"/>
  <c r="M457" i="80"/>
  <c r="P457" i="80" s="1"/>
  <c r="M458" i="80" l="1"/>
  <c r="P458" i="80" s="1"/>
  <c r="L459" i="80"/>
  <c r="M459" i="80" l="1"/>
  <c r="P459" i="80" s="1"/>
  <c r="L460" i="80"/>
  <c r="L461" i="80" l="1"/>
  <c r="M460" i="80"/>
  <c r="P460" i="80" s="1"/>
  <c r="M461" i="80" l="1"/>
  <c r="P461" i="80" s="1"/>
  <c r="L462" i="80"/>
  <c r="L463" i="80" l="1"/>
  <c r="M462" i="80"/>
  <c r="P462" i="80" s="1"/>
  <c r="L464" i="80" l="1"/>
  <c r="M463" i="80"/>
  <c r="P463" i="80" s="1"/>
  <c r="M464" i="80" l="1"/>
  <c r="P464" i="80" s="1"/>
  <c r="L465" i="80"/>
  <c r="L466" i="80" l="1"/>
  <c r="M465" i="80"/>
  <c r="P465" i="80" s="1"/>
  <c r="M466" i="80" l="1"/>
  <c r="P466" i="80" s="1"/>
  <c r="L467" i="80"/>
  <c r="M467" i="80" l="1"/>
  <c r="P467" i="80" s="1"/>
  <c r="L468" i="80"/>
  <c r="M468" i="80" l="1"/>
  <c r="P468" i="80" s="1"/>
  <c r="L469" i="80"/>
  <c r="M469" i="80" l="1"/>
  <c r="P469" i="80" s="1"/>
  <c r="L470" i="80"/>
  <c r="L471" i="80" l="1"/>
  <c r="M470" i="80"/>
  <c r="P470" i="80" s="1"/>
  <c r="M471" i="80" l="1"/>
  <c r="P471" i="80" s="1"/>
  <c r="L472" i="80"/>
  <c r="L473" i="80" l="1"/>
  <c r="M472" i="80"/>
  <c r="P472" i="80" s="1"/>
  <c r="L474" i="80" l="1"/>
  <c r="M473" i="80"/>
  <c r="P473" i="80" s="1"/>
  <c r="M474" i="80" l="1"/>
  <c r="P474" i="80" s="1"/>
  <c r="L475" i="80"/>
  <c r="M475" i="80" l="1"/>
  <c r="P475" i="80" s="1"/>
  <c r="L476" i="80"/>
  <c r="L477" i="80" l="1"/>
  <c r="M476" i="80"/>
  <c r="P476" i="80" s="1"/>
  <c r="L478" i="80" l="1"/>
  <c r="M477" i="80"/>
  <c r="P477" i="80" s="1"/>
  <c r="L479" i="80" l="1"/>
  <c r="M478" i="80"/>
  <c r="P478" i="80" s="1"/>
  <c r="L480" i="80" l="1"/>
  <c r="M479" i="80"/>
  <c r="P479" i="80" s="1"/>
  <c r="L481" i="80" l="1"/>
  <c r="M480" i="80"/>
  <c r="P480" i="80" s="1"/>
  <c r="M481" i="80" l="1"/>
  <c r="P481" i="80" s="1"/>
  <c r="L482" i="80"/>
  <c r="L483" i="80" l="1"/>
  <c r="M482" i="80"/>
  <c r="P482" i="80" s="1"/>
  <c r="L484" i="80" l="1"/>
  <c r="M483" i="80"/>
  <c r="P483" i="80" s="1"/>
  <c r="M484" i="80" l="1"/>
  <c r="P484" i="80" s="1"/>
  <c r="L485" i="80"/>
  <c r="M485" i="80" l="1"/>
  <c r="P485" i="80" s="1"/>
  <c r="L486" i="80"/>
  <c r="M486" i="80" l="1"/>
  <c r="P486" i="80" s="1"/>
  <c r="L487" i="80"/>
  <c r="M487" i="80" l="1"/>
  <c r="P487" i="80" s="1"/>
  <c r="L488" i="80"/>
  <c r="L489" i="80" l="1"/>
  <c r="M488" i="80"/>
  <c r="P488" i="80" s="1"/>
  <c r="L490" i="80" l="1"/>
  <c r="M489" i="80"/>
  <c r="P489" i="80" s="1"/>
  <c r="M490" i="80" l="1"/>
  <c r="P490" i="80" s="1"/>
  <c r="L491" i="80"/>
  <c r="L492" i="80" l="1"/>
  <c r="M491" i="80"/>
  <c r="P491" i="80" s="1"/>
  <c r="M492" i="80" l="1"/>
  <c r="P492" i="80" s="1"/>
  <c r="L493" i="80"/>
  <c r="L494" i="80" l="1"/>
  <c r="M493" i="80"/>
  <c r="P493" i="80" s="1"/>
  <c r="L495" i="80" l="1"/>
  <c r="M494" i="80"/>
  <c r="P494" i="80" s="1"/>
  <c r="M495" i="80" l="1"/>
  <c r="P495" i="80" s="1"/>
  <c r="L496" i="80"/>
  <c r="L497" i="80" l="1"/>
  <c r="M496" i="80"/>
  <c r="P496" i="80" s="1"/>
  <c r="L498" i="80" l="1"/>
  <c r="M497" i="80"/>
  <c r="P497" i="80" s="1"/>
  <c r="M498" i="80" l="1"/>
  <c r="P498" i="80" s="1"/>
  <c r="L499" i="80"/>
  <c r="L500" i="80" l="1"/>
  <c r="M499" i="80"/>
  <c r="P499" i="80" s="1"/>
  <c r="M500" i="80" l="1"/>
  <c r="P500" i="80" s="1"/>
  <c r="L501" i="80"/>
  <c r="M501" i="80" l="1"/>
  <c r="P501" i="80" s="1"/>
  <c r="L502" i="80"/>
  <c r="M502" i="80" l="1"/>
  <c r="P502" i="80" s="1"/>
  <c r="L503" i="80"/>
  <c r="M503" i="80" l="1"/>
  <c r="P503" i="80" s="1"/>
  <c r="L504" i="80"/>
  <c r="L505" i="80" l="1"/>
  <c r="M504" i="80"/>
  <c r="P504" i="80" s="1"/>
  <c r="M505" i="80" l="1"/>
  <c r="P505" i="80" s="1"/>
  <c r="L506" i="80"/>
  <c r="L507" i="80" l="1"/>
  <c r="M506" i="80"/>
  <c r="P506" i="80" s="1"/>
  <c r="L508" i="80" l="1"/>
  <c r="M507" i="80"/>
  <c r="P507" i="80" s="1"/>
  <c r="M508" i="80" l="1"/>
  <c r="P508" i="80" s="1"/>
  <c r="L509" i="80"/>
  <c r="M509" i="80" l="1"/>
  <c r="P509" i="80" s="1"/>
  <c r="L510" i="80"/>
  <c r="L511" i="80" l="1"/>
  <c r="M510" i="80"/>
  <c r="P510" i="80" s="1"/>
  <c r="M511" i="80" l="1"/>
  <c r="P511" i="80" s="1"/>
  <c r="L512" i="80"/>
  <c r="L513" i="80" l="1"/>
  <c r="M512" i="80"/>
  <c r="P512" i="80" s="1"/>
  <c r="L514" i="80" l="1"/>
  <c r="M513" i="80"/>
  <c r="P513" i="80" s="1"/>
  <c r="M514" i="80" l="1"/>
  <c r="P514" i="80" s="1"/>
  <c r="L515" i="80"/>
  <c r="L516" i="80" l="1"/>
  <c r="M515" i="80"/>
  <c r="P515" i="80" s="1"/>
  <c r="M516" i="80" l="1"/>
  <c r="P516" i="80" s="1"/>
  <c r="L517" i="80"/>
  <c r="M517" i="80" l="1"/>
  <c r="P517" i="80" s="1"/>
  <c r="L518" i="80"/>
  <c r="M518" i="80" l="1"/>
  <c r="P518" i="80" s="1"/>
  <c r="L519" i="80"/>
  <c r="M519" i="80" l="1"/>
  <c r="P519" i="80" s="1"/>
  <c r="L520" i="80"/>
  <c r="L521" i="80" l="1"/>
  <c r="M520" i="80"/>
  <c r="P520" i="80" s="1"/>
  <c r="M521" i="80" l="1"/>
  <c r="P521" i="80" s="1"/>
  <c r="L522" i="80"/>
  <c r="L523" i="80" l="1"/>
  <c r="M522" i="80"/>
  <c r="P522" i="80" s="1"/>
  <c r="L524" i="80" l="1"/>
  <c r="M523" i="80"/>
  <c r="P523" i="80" s="1"/>
  <c r="M524" i="80" l="1"/>
  <c r="P524" i="80" s="1"/>
  <c r="L525" i="80"/>
  <c r="M525" i="80" l="1"/>
  <c r="P525" i="80" s="1"/>
  <c r="L526" i="80"/>
  <c r="M526" i="80" l="1"/>
  <c r="P526" i="80" s="1"/>
  <c r="L527" i="80"/>
  <c r="M527" i="80" l="1"/>
  <c r="P527" i="80" s="1"/>
  <c r="L528" i="80"/>
  <c r="L529" i="80" l="1"/>
  <c r="M528" i="80"/>
  <c r="P528" i="80" s="1"/>
  <c r="L530" i="80" l="1"/>
  <c r="M529" i="80"/>
  <c r="P529" i="80" s="1"/>
  <c r="M530" i="80" l="1"/>
  <c r="P530" i="80" s="1"/>
  <c r="L531" i="80"/>
  <c r="L532" i="80" l="1"/>
  <c r="M531" i="80"/>
  <c r="P531" i="80" s="1"/>
  <c r="M532" i="80" l="1"/>
  <c r="P532" i="80" s="1"/>
  <c r="L533" i="80"/>
  <c r="L534" i="80" l="1"/>
  <c r="M533" i="80"/>
  <c r="P533" i="80" s="1"/>
  <c r="L535" i="80" l="1"/>
  <c r="M534" i="80"/>
  <c r="P534" i="80" s="1"/>
  <c r="M535" i="80" l="1"/>
  <c r="P535" i="80" s="1"/>
  <c r="L536" i="80"/>
  <c r="L537" i="80" l="1"/>
  <c r="M536" i="80"/>
  <c r="P536" i="80" s="1"/>
  <c r="M537" i="80" l="1"/>
  <c r="P537" i="80" s="1"/>
  <c r="L538" i="80"/>
  <c r="L539" i="80" l="1"/>
  <c r="M538" i="80"/>
  <c r="P538" i="80" s="1"/>
  <c r="L540" i="80" l="1"/>
  <c r="M539" i="80"/>
  <c r="P539" i="80" s="1"/>
  <c r="M540" i="80" l="1"/>
  <c r="P540" i="80" s="1"/>
  <c r="L541" i="80"/>
  <c r="M541" i="80" l="1"/>
  <c r="P541" i="80" s="1"/>
  <c r="L542" i="80"/>
  <c r="M542" i="80" l="1"/>
  <c r="P542" i="80" s="1"/>
  <c r="L543" i="80"/>
  <c r="M543" i="80" l="1"/>
  <c r="P543" i="80" s="1"/>
  <c r="L544" i="80"/>
  <c r="L545" i="80" l="1"/>
  <c r="M544" i="80"/>
  <c r="P544" i="80" s="1"/>
  <c r="L546" i="80" l="1"/>
  <c r="M545" i="80"/>
  <c r="P545" i="80" s="1"/>
  <c r="M546" i="80" l="1"/>
  <c r="P546" i="80" s="1"/>
  <c r="L547" i="80"/>
  <c r="L548" i="80" l="1"/>
  <c r="M547" i="80"/>
  <c r="P547" i="80" s="1"/>
  <c r="M548" i="80" l="1"/>
  <c r="P548" i="80" s="1"/>
  <c r="L549" i="80"/>
  <c r="L550" i="80" l="1"/>
  <c r="M549" i="80"/>
  <c r="P549" i="80" s="1"/>
  <c r="L551" i="80" l="1"/>
  <c r="M550" i="80"/>
  <c r="P550" i="80" s="1"/>
  <c r="M551" i="80" l="1"/>
  <c r="P551" i="80" s="1"/>
  <c r="L552" i="80"/>
  <c r="L553" i="80" l="1"/>
  <c r="M552" i="80"/>
  <c r="P552" i="80" s="1"/>
  <c r="M553" i="80" l="1"/>
  <c r="P553" i="80" s="1"/>
  <c r="L554" i="80"/>
  <c r="L555" i="80" l="1"/>
  <c r="M554" i="80"/>
  <c r="P554" i="80" s="1"/>
  <c r="L556" i="80" l="1"/>
  <c r="M555" i="80"/>
  <c r="P555" i="80" s="1"/>
  <c r="M556" i="80" l="1"/>
  <c r="P556" i="80" s="1"/>
  <c r="L557" i="80"/>
  <c r="M557" i="80" l="1"/>
  <c r="P557" i="80" s="1"/>
  <c r="L558" i="80"/>
  <c r="L559" i="80" l="1"/>
  <c r="M558" i="80"/>
  <c r="P558" i="80" s="1"/>
  <c r="M559" i="80" l="1"/>
  <c r="P559" i="80" s="1"/>
  <c r="L560" i="80"/>
  <c r="L561" i="80" l="1"/>
  <c r="M560" i="80"/>
  <c r="P560" i="80" s="1"/>
  <c r="L562" i="80" l="1"/>
  <c r="M561" i="80"/>
  <c r="P561" i="80" s="1"/>
  <c r="M562" i="80" l="1"/>
  <c r="P562" i="80" s="1"/>
  <c r="L563" i="80"/>
  <c r="L564" i="80" l="1"/>
  <c r="M563" i="80"/>
  <c r="P563" i="80" s="1"/>
  <c r="M564" i="80" l="1"/>
  <c r="P564" i="80" s="1"/>
  <c r="L565" i="80"/>
  <c r="L566" i="80" l="1"/>
  <c r="M565" i="80"/>
  <c r="P565" i="80" s="1"/>
  <c r="L567" i="80" l="1"/>
  <c r="M566" i="80"/>
  <c r="P566" i="80" s="1"/>
  <c r="M567" i="80" l="1"/>
  <c r="P567" i="80" s="1"/>
  <c r="L568" i="80"/>
  <c r="L569" i="80" l="1"/>
  <c r="M568" i="80"/>
  <c r="P568" i="80" s="1"/>
  <c r="M569" i="80" l="1"/>
  <c r="P569" i="80" s="1"/>
  <c r="L570" i="80"/>
  <c r="L571" i="80" l="1"/>
  <c r="M570" i="80"/>
  <c r="P570" i="80" s="1"/>
  <c r="L572" i="80" l="1"/>
  <c r="M571" i="80"/>
  <c r="P571" i="80" s="1"/>
  <c r="M572" i="80" l="1"/>
  <c r="P572" i="80" s="1"/>
  <c r="L573" i="80"/>
  <c r="M573" i="80" l="1"/>
  <c r="P573" i="80" s="1"/>
  <c r="L574" i="80"/>
  <c r="L575" i="80" l="1"/>
  <c r="M574" i="80"/>
  <c r="P574" i="80" s="1"/>
  <c r="M575" i="80" l="1"/>
  <c r="P575" i="80" s="1"/>
  <c r="L576" i="80"/>
  <c r="L577" i="80" l="1"/>
  <c r="M576" i="80"/>
  <c r="P576" i="80" s="1"/>
  <c r="L578" i="80" l="1"/>
  <c r="M577" i="80"/>
  <c r="P577" i="80" s="1"/>
  <c r="M578" i="80" l="1"/>
  <c r="P578" i="80" s="1"/>
  <c r="L579" i="80"/>
  <c r="L580" i="80" l="1"/>
  <c r="M579" i="80"/>
  <c r="P579" i="80" s="1"/>
  <c r="M580" i="80" l="1"/>
  <c r="P580" i="80" s="1"/>
  <c r="L581" i="80"/>
  <c r="L582" i="80" l="1"/>
  <c r="M581" i="80"/>
  <c r="P581" i="80" s="1"/>
  <c r="M582" i="80" l="1"/>
  <c r="P582" i="80" s="1"/>
  <c r="L583" i="80"/>
  <c r="M583" i="80" l="1"/>
  <c r="P583" i="80" s="1"/>
  <c r="L584" i="80"/>
  <c r="L585" i="80" l="1"/>
  <c r="M584" i="80"/>
  <c r="P584" i="80" s="1"/>
  <c r="M585" i="80" l="1"/>
  <c r="P585" i="80" s="1"/>
  <c r="L586" i="80"/>
  <c r="L587" i="80" l="1"/>
  <c r="M586" i="80"/>
  <c r="P586" i="80" s="1"/>
  <c r="L588" i="80" l="1"/>
  <c r="M587" i="80"/>
  <c r="P587" i="80" s="1"/>
  <c r="M588" i="80" l="1"/>
  <c r="P588" i="80" s="1"/>
  <c r="L589" i="80"/>
  <c r="M589" i="80" l="1"/>
  <c r="P589" i="80" s="1"/>
  <c r="L590" i="80"/>
  <c r="L591" i="80" l="1"/>
  <c r="M590" i="80"/>
  <c r="P590" i="80" s="1"/>
  <c r="L592" i="80" l="1"/>
  <c r="M591" i="80"/>
  <c r="P591" i="80" s="1"/>
  <c r="L593" i="80" l="1"/>
  <c r="M592" i="80"/>
  <c r="P592" i="80" s="1"/>
  <c r="M593" i="80" l="1"/>
  <c r="P593" i="80" s="1"/>
  <c r="L594" i="80"/>
  <c r="L595" i="80" l="1"/>
  <c r="M594" i="80"/>
  <c r="P594" i="80" s="1"/>
  <c r="M595" i="80" l="1"/>
  <c r="P595" i="80" s="1"/>
  <c r="L596" i="80"/>
  <c r="M596" i="80" l="1"/>
  <c r="P596" i="80" s="1"/>
  <c r="L597" i="80"/>
  <c r="L598" i="80" l="1"/>
  <c r="M597" i="80"/>
  <c r="P597" i="80" s="1"/>
  <c r="M598" i="80" l="1"/>
  <c r="P598" i="80" s="1"/>
  <c r="L599" i="80"/>
  <c r="L600" i="80" l="1"/>
  <c r="M599" i="80"/>
  <c r="P599" i="80" s="1"/>
  <c r="L601" i="80" l="1"/>
  <c r="M600" i="80"/>
  <c r="P600" i="80" s="1"/>
  <c r="L602" i="80" l="1"/>
  <c r="M601" i="80"/>
  <c r="P601" i="80" s="1"/>
  <c r="M602" i="80" l="1"/>
  <c r="P602" i="80" s="1"/>
  <c r="L603" i="80"/>
  <c r="M603" i="80" l="1"/>
  <c r="P603" i="80" s="1"/>
  <c r="L604" i="80"/>
  <c r="M604" i="80" l="1"/>
  <c r="P604" i="80" s="1"/>
  <c r="L605" i="80"/>
  <c r="L606" i="80" l="1"/>
  <c r="M605" i="80"/>
  <c r="P605" i="80" s="1"/>
  <c r="L607" i="80" l="1"/>
  <c r="M606" i="80"/>
  <c r="P606" i="80" s="1"/>
  <c r="L608" i="80" l="1"/>
  <c r="M607" i="80"/>
  <c r="P607" i="80" s="1"/>
  <c r="L609" i="80" l="1"/>
  <c r="M608" i="80"/>
  <c r="P608" i="80" s="1"/>
  <c r="M609" i="80" l="1"/>
  <c r="P609" i="80" s="1"/>
  <c r="L610" i="80"/>
  <c r="L611" i="80" l="1"/>
  <c r="M610" i="80"/>
  <c r="P610" i="80" s="1"/>
  <c r="M611" i="80" l="1"/>
  <c r="P611" i="80" s="1"/>
  <c r="L612" i="80"/>
  <c r="M612" i="80" l="1"/>
  <c r="P612" i="80" s="1"/>
  <c r="L613" i="80"/>
  <c r="L614" i="80" l="1"/>
  <c r="M613" i="80"/>
  <c r="P613" i="80" s="1"/>
  <c r="M614" i="80" l="1"/>
  <c r="P614" i="80" s="1"/>
  <c r="L615" i="80"/>
  <c r="L616" i="80" l="1"/>
  <c r="M615" i="80"/>
  <c r="P615" i="80" s="1"/>
  <c r="L617" i="80" l="1"/>
  <c r="M616" i="80"/>
  <c r="P616" i="80" s="1"/>
  <c r="M617" i="80" l="1"/>
  <c r="P617" i="80" s="1"/>
  <c r="L618" i="80"/>
  <c r="M618" i="80" l="1"/>
  <c r="P618" i="80" s="1"/>
  <c r="L619" i="80"/>
  <c r="M619" i="80" l="1"/>
  <c r="P619" i="80" s="1"/>
  <c r="L620" i="80"/>
  <c r="M620" i="80" l="1"/>
  <c r="P620" i="80" s="1"/>
  <c r="L621" i="80"/>
  <c r="L622" i="80" l="1"/>
  <c r="M621" i="80"/>
  <c r="P621" i="80" s="1"/>
  <c r="L623" i="80" l="1"/>
  <c r="M622" i="80"/>
  <c r="P622" i="80" s="1"/>
  <c r="L624" i="80" l="1"/>
  <c r="M623" i="80"/>
  <c r="P623" i="80" s="1"/>
  <c r="L625" i="80" l="1"/>
  <c r="M624" i="80"/>
  <c r="P624" i="80" s="1"/>
  <c r="M625" i="80" l="1"/>
  <c r="P625" i="80" s="1"/>
  <c r="L626" i="80"/>
  <c r="M626" i="80" l="1"/>
  <c r="P626" i="80" s="1"/>
  <c r="L627" i="80"/>
  <c r="M627" i="80" l="1"/>
  <c r="P627" i="80" s="1"/>
  <c r="L628" i="80"/>
  <c r="M628" i="80" l="1"/>
  <c r="P628" i="80" s="1"/>
  <c r="L629" i="80"/>
  <c r="L630" i="80" l="1"/>
  <c r="M629" i="80"/>
  <c r="P629" i="80" s="1"/>
  <c r="M630" i="80" l="1"/>
  <c r="P630" i="80" s="1"/>
  <c r="L631" i="80"/>
  <c r="L632" i="80" l="1"/>
  <c r="M631" i="80"/>
  <c r="P631" i="80" s="1"/>
  <c r="L633" i="80" l="1"/>
  <c r="M632" i="80"/>
  <c r="P632" i="80" s="1"/>
  <c r="L634" i="80" l="1"/>
  <c r="M633" i="80"/>
  <c r="P633" i="80" s="1"/>
  <c r="M634" i="80" l="1"/>
  <c r="P634" i="80" s="1"/>
  <c r="L635" i="80"/>
  <c r="M635" i="80" l="1"/>
  <c r="P635" i="80" s="1"/>
  <c r="L636" i="80"/>
  <c r="M636" i="80" l="1"/>
  <c r="P636" i="80" s="1"/>
  <c r="L637" i="80"/>
  <c r="L638" i="80" l="1"/>
  <c r="M637" i="80"/>
  <c r="P637" i="80" s="1"/>
  <c r="L639" i="80" l="1"/>
  <c r="M638" i="80"/>
  <c r="P638" i="80" s="1"/>
  <c r="L640" i="80" l="1"/>
  <c r="M639" i="80"/>
  <c r="P639" i="80" s="1"/>
  <c r="L641" i="80" l="1"/>
  <c r="M640" i="80"/>
  <c r="P640" i="80" s="1"/>
  <c r="M641" i="80" l="1"/>
  <c r="P641" i="80" s="1"/>
  <c r="L642" i="80"/>
  <c r="L643" i="80" l="1"/>
  <c r="M642" i="80"/>
  <c r="P642" i="80" s="1"/>
  <c r="M643" i="80" l="1"/>
  <c r="P643" i="80" s="1"/>
  <c r="L644" i="80"/>
  <c r="M644" i="80" l="1"/>
  <c r="P644" i="80" s="1"/>
  <c r="L645" i="80"/>
  <c r="L646" i="80" l="1"/>
  <c r="M645" i="80"/>
  <c r="P645" i="80" s="1"/>
  <c r="L647" i="80" l="1"/>
  <c r="M646" i="80"/>
  <c r="P646" i="80" s="1"/>
  <c r="L648" i="80" l="1"/>
  <c r="M647" i="80"/>
  <c r="P647" i="80" s="1"/>
  <c r="L649" i="80" l="1"/>
  <c r="M648" i="80"/>
  <c r="P648" i="80" s="1"/>
  <c r="M649" i="80" l="1"/>
  <c r="P649" i="80" s="1"/>
  <c r="L650" i="80"/>
  <c r="L651" i="80" l="1"/>
  <c r="M650" i="80"/>
  <c r="P650" i="80" s="1"/>
  <c r="M651" i="80" l="1"/>
  <c r="P651" i="80" s="1"/>
  <c r="L652" i="80"/>
  <c r="M652" i="80" l="1"/>
  <c r="P652" i="80" s="1"/>
  <c r="L653" i="80"/>
  <c r="L654" i="80" l="1"/>
  <c r="M653" i="80"/>
  <c r="P653" i="80" s="1"/>
  <c r="L655" i="80" l="1"/>
  <c r="M654" i="80"/>
  <c r="P654" i="80" s="1"/>
  <c r="L656" i="80" l="1"/>
  <c r="M655" i="80"/>
  <c r="P655" i="80" s="1"/>
  <c r="L657" i="80" l="1"/>
  <c r="M656" i="80"/>
  <c r="P656" i="80" s="1"/>
  <c r="M657" i="80" l="1"/>
  <c r="P657" i="80" s="1"/>
  <c r="L658" i="80"/>
  <c r="M658" i="80" l="1"/>
  <c r="P658" i="80" s="1"/>
  <c r="L659" i="80"/>
  <c r="M659" i="80" l="1"/>
  <c r="P659" i="80" s="1"/>
  <c r="L660" i="80"/>
  <c r="M660" i="80" l="1"/>
  <c r="P660" i="80" s="1"/>
  <c r="L661" i="80"/>
  <c r="L662" i="80" l="1"/>
  <c r="M661" i="80"/>
  <c r="P661" i="80" s="1"/>
  <c r="L663" i="80" l="1"/>
  <c r="M662" i="80"/>
  <c r="P662" i="80" s="1"/>
  <c r="L664" i="80" l="1"/>
  <c r="M663" i="80"/>
  <c r="P663" i="80" s="1"/>
  <c r="L665" i="80" l="1"/>
  <c r="M664" i="80"/>
  <c r="P664" i="80" s="1"/>
  <c r="M665" i="80" l="1"/>
  <c r="P665" i="80" s="1"/>
  <c r="L666" i="80"/>
  <c r="M666" i="80" l="1"/>
  <c r="P666" i="80" s="1"/>
  <c r="L667" i="80"/>
  <c r="M667" i="80" l="1"/>
  <c r="P667" i="80" s="1"/>
  <c r="L668" i="80"/>
  <c r="M668" i="80" l="1"/>
  <c r="P668" i="80" s="1"/>
  <c r="L669" i="80"/>
  <c r="L670" i="80" l="1"/>
  <c r="M669" i="80"/>
  <c r="P669" i="80" s="1"/>
  <c r="L671" i="80" l="1"/>
  <c r="M670" i="80"/>
  <c r="P670" i="80" s="1"/>
  <c r="L672" i="80" l="1"/>
  <c r="M671" i="80"/>
  <c r="P671" i="80" s="1"/>
  <c r="L673" i="80" l="1"/>
  <c r="M672" i="80"/>
  <c r="P672" i="80" s="1"/>
  <c r="M673" i="80" l="1"/>
  <c r="P673" i="80" s="1"/>
  <c r="L674" i="80"/>
  <c r="M674" i="80" l="1"/>
  <c r="P674" i="80" s="1"/>
  <c r="L675" i="80"/>
  <c r="M675" i="80" l="1"/>
  <c r="P675" i="80" s="1"/>
  <c r="L676" i="80"/>
  <c r="M676" i="80" l="1"/>
  <c r="P676" i="80" s="1"/>
  <c r="L677" i="80"/>
  <c r="L678" i="80" l="1"/>
  <c r="M677" i="80"/>
  <c r="P677" i="80" s="1"/>
  <c r="L679" i="80" l="1"/>
  <c r="M678" i="80"/>
  <c r="P678" i="80" s="1"/>
  <c r="L680" i="80" l="1"/>
  <c r="M679" i="80"/>
  <c r="P679" i="80" s="1"/>
  <c r="L681" i="80" l="1"/>
  <c r="M680" i="80"/>
  <c r="P680" i="80" s="1"/>
  <c r="M681" i="80" l="1"/>
  <c r="P681" i="80" s="1"/>
  <c r="L682" i="80"/>
  <c r="M682" i="80" l="1"/>
  <c r="P682" i="80" s="1"/>
  <c r="L683" i="80"/>
  <c r="M683" i="80" l="1"/>
  <c r="P683" i="80" s="1"/>
  <c r="L684" i="80"/>
  <c r="M684" i="80" l="1"/>
  <c r="P684" i="80" s="1"/>
  <c r="L685" i="80"/>
  <c r="L686" i="80" l="1"/>
  <c r="M685" i="80"/>
  <c r="P685" i="80" s="1"/>
  <c r="L687" i="80" l="1"/>
  <c r="M686" i="80"/>
  <c r="P686" i="80" s="1"/>
  <c r="L688" i="80" l="1"/>
  <c r="M687" i="80"/>
  <c r="P687" i="80" s="1"/>
  <c r="L689" i="80" l="1"/>
  <c r="M688" i="80"/>
  <c r="P688" i="80" s="1"/>
  <c r="L690" i="80" l="1"/>
  <c r="M689" i="80"/>
  <c r="P689" i="80" s="1"/>
  <c r="L691" i="80" l="1"/>
  <c r="M690" i="80"/>
  <c r="P690" i="80" s="1"/>
  <c r="L692" i="80" l="1"/>
  <c r="M691" i="80"/>
  <c r="P691" i="80" s="1"/>
  <c r="L693" i="80" l="1"/>
  <c r="M692" i="80"/>
  <c r="P692" i="80" s="1"/>
  <c r="M693" i="80" l="1"/>
  <c r="P693" i="80" s="1"/>
  <c r="L694" i="80"/>
  <c r="L695" i="80" l="1"/>
  <c r="M694" i="80"/>
  <c r="P694" i="80" s="1"/>
  <c r="L696" i="80" l="1"/>
  <c r="M695" i="80"/>
  <c r="P695" i="80" s="1"/>
  <c r="L697" i="80" l="1"/>
  <c r="M696" i="80"/>
  <c r="P696" i="80" s="1"/>
  <c r="L698" i="80" l="1"/>
  <c r="M697" i="80"/>
  <c r="P697" i="80" s="1"/>
  <c r="M698" i="80" l="1"/>
  <c r="P698" i="80" s="1"/>
  <c r="L699" i="80"/>
  <c r="M699" i="80" l="1"/>
  <c r="P699" i="80" s="1"/>
  <c r="L700" i="80"/>
  <c r="L701" i="80" l="1"/>
  <c r="M700" i="80"/>
  <c r="P700" i="80" s="1"/>
  <c r="M701" i="80" l="1"/>
  <c r="P701" i="80" s="1"/>
  <c r="L702" i="80"/>
  <c r="L703" i="80" l="1"/>
  <c r="M702" i="80"/>
  <c r="P702" i="80" s="1"/>
  <c r="L704" i="80" l="1"/>
  <c r="M703" i="80"/>
  <c r="P703" i="80" s="1"/>
  <c r="M704" i="80" l="1"/>
  <c r="P704" i="80" s="1"/>
  <c r="L705" i="80"/>
  <c r="L706" i="80" l="1"/>
  <c r="M705" i="80"/>
  <c r="P705" i="80" s="1"/>
  <c r="M706" i="80" l="1"/>
  <c r="P706" i="80" s="1"/>
  <c r="L707" i="80"/>
  <c r="M707" i="80" l="1"/>
  <c r="P707" i="80" s="1"/>
  <c r="L708" i="80"/>
  <c r="L709" i="80" l="1"/>
  <c r="M708" i="80"/>
  <c r="P708" i="80" s="1"/>
  <c r="M709" i="80" l="1"/>
  <c r="P709" i="80" s="1"/>
  <c r="L710" i="80"/>
  <c r="L711" i="80" l="1"/>
  <c r="M710" i="80"/>
  <c r="P710" i="80" s="1"/>
  <c r="L712" i="80" l="1"/>
  <c r="M711" i="80"/>
  <c r="P711" i="80" s="1"/>
  <c r="M712" i="80" l="1"/>
  <c r="P712" i="80" s="1"/>
  <c r="L713" i="80"/>
  <c r="L714" i="80" l="1"/>
  <c r="M713" i="80"/>
  <c r="P713" i="80" s="1"/>
  <c r="M714" i="80" l="1"/>
  <c r="P714" i="80" s="1"/>
  <c r="L715" i="80"/>
  <c r="M715" i="80" l="1"/>
  <c r="P715" i="80" s="1"/>
  <c r="L716" i="80"/>
  <c r="L717" i="80" l="1"/>
  <c r="M716" i="80"/>
  <c r="P716" i="80" s="1"/>
  <c r="M717" i="80" l="1"/>
  <c r="P717" i="80" s="1"/>
  <c r="L718" i="80"/>
  <c r="L719" i="80" l="1"/>
  <c r="M718" i="80"/>
  <c r="P718" i="80" s="1"/>
  <c r="L720" i="80" l="1"/>
  <c r="M719" i="80"/>
  <c r="P719" i="80" s="1"/>
  <c r="M720" i="80" l="1"/>
  <c r="P720" i="80" s="1"/>
  <c r="L721" i="80"/>
  <c r="L722" i="80" l="1"/>
  <c r="M721" i="80"/>
  <c r="P721" i="80" s="1"/>
  <c r="M722" i="80" l="1"/>
  <c r="P722" i="80" s="1"/>
  <c r="L723" i="80"/>
  <c r="M723" i="80" l="1"/>
  <c r="P723" i="80" s="1"/>
  <c r="L724" i="80"/>
  <c r="L725" i="80" l="1"/>
  <c r="M724" i="80"/>
  <c r="P724" i="80" s="1"/>
  <c r="M725" i="80" l="1"/>
  <c r="P725" i="80" s="1"/>
  <c r="L726" i="80"/>
  <c r="L727" i="80" l="1"/>
  <c r="M726" i="80"/>
  <c r="P726" i="80" s="1"/>
  <c r="L728" i="80" l="1"/>
  <c r="M727" i="80"/>
  <c r="P727" i="80" s="1"/>
  <c r="M728" i="80" l="1"/>
  <c r="P728" i="80" s="1"/>
  <c r="L729" i="80"/>
  <c r="L730" i="80" l="1"/>
  <c r="M729" i="80"/>
  <c r="P729" i="80" s="1"/>
  <c r="M730" i="80" l="1"/>
  <c r="P730" i="80" s="1"/>
  <c r="L731" i="80"/>
  <c r="M731" i="80" l="1"/>
  <c r="P731" i="80" s="1"/>
  <c r="L732" i="80"/>
  <c r="L733" i="80" l="1"/>
  <c r="M732" i="80"/>
  <c r="P732" i="80" s="1"/>
  <c r="M733" i="80" l="1"/>
  <c r="P733" i="80" s="1"/>
  <c r="L734" i="80"/>
  <c r="L735" i="80" l="1"/>
  <c r="M734" i="80"/>
  <c r="P734" i="80" s="1"/>
  <c r="L736" i="80" l="1"/>
  <c r="M735" i="80"/>
  <c r="P735" i="80" s="1"/>
  <c r="M736" i="80" l="1"/>
  <c r="P736" i="80" s="1"/>
  <c r="L737" i="80"/>
  <c r="L738" i="80" l="1"/>
  <c r="M737" i="80"/>
  <c r="P737" i="80" s="1"/>
  <c r="M738" i="80" l="1"/>
  <c r="P738" i="80" s="1"/>
  <c r="L739" i="80"/>
  <c r="M739" i="80" l="1"/>
  <c r="P739" i="80" s="1"/>
  <c r="L740" i="80"/>
  <c r="L741" i="80" l="1"/>
  <c r="M740" i="80"/>
  <c r="P740" i="80" s="1"/>
  <c r="M741" i="80" l="1"/>
  <c r="P741" i="80" s="1"/>
  <c r="L742" i="80"/>
  <c r="L743" i="80" l="1"/>
  <c r="M742" i="80"/>
  <c r="P742" i="80" s="1"/>
  <c r="L744" i="80" l="1"/>
  <c r="M743" i="80"/>
  <c r="P743" i="80" s="1"/>
  <c r="M744" i="80" l="1"/>
  <c r="P744" i="80" s="1"/>
  <c r="L745" i="80"/>
  <c r="L746" i="80" l="1"/>
  <c r="M745" i="80"/>
  <c r="P745" i="80" s="1"/>
  <c r="M746" i="80" l="1"/>
  <c r="P746" i="80" s="1"/>
  <c r="L747" i="80"/>
  <c r="M747" i="80" l="1"/>
  <c r="P747" i="80" s="1"/>
  <c r="L748" i="80"/>
  <c r="L749" i="80" l="1"/>
  <c r="M748" i="80"/>
  <c r="P748" i="80" s="1"/>
  <c r="M749" i="80" l="1"/>
  <c r="P749" i="80" s="1"/>
  <c r="L750" i="80"/>
  <c r="L751" i="80" l="1"/>
  <c r="M750" i="80"/>
  <c r="P750" i="80" s="1"/>
  <c r="L752" i="80" l="1"/>
  <c r="M751" i="80"/>
  <c r="P751" i="80" s="1"/>
  <c r="M752" i="80" l="1"/>
  <c r="P752" i="80" s="1"/>
  <c r="L753" i="80"/>
  <c r="L754" i="80" l="1"/>
  <c r="M753" i="80"/>
  <c r="P753" i="80" s="1"/>
  <c r="M754" i="80" l="1"/>
  <c r="P754" i="80" s="1"/>
  <c r="L755" i="80"/>
  <c r="M755" i="80" l="1"/>
  <c r="P755" i="80" s="1"/>
  <c r="L756" i="80"/>
  <c r="L757" i="80" l="1"/>
  <c r="M756" i="80"/>
  <c r="P756" i="80" s="1"/>
  <c r="M757" i="80" l="1"/>
  <c r="P757" i="80" s="1"/>
  <c r="L758" i="80"/>
  <c r="L759" i="80" l="1"/>
  <c r="M758" i="80"/>
  <c r="P758" i="80" s="1"/>
  <c r="L760" i="80" l="1"/>
  <c r="M759" i="80"/>
  <c r="P759" i="80" s="1"/>
  <c r="M760" i="80" l="1"/>
  <c r="P760" i="80" s="1"/>
  <c r="L761" i="80"/>
  <c r="L762" i="80" l="1"/>
  <c r="M761" i="80"/>
  <c r="P761" i="80" s="1"/>
  <c r="M762" i="80" l="1"/>
  <c r="P762" i="80" s="1"/>
  <c r="L763" i="80"/>
  <c r="M763" i="80" l="1"/>
  <c r="P763" i="80" s="1"/>
  <c r="L764" i="80"/>
  <c r="M764" i="80" l="1"/>
  <c r="P764" i="80" s="1"/>
  <c r="L765" i="80"/>
  <c r="L766" i="80" l="1"/>
  <c r="M765" i="80"/>
  <c r="P765" i="80" s="1"/>
  <c r="L767" i="80" l="1"/>
  <c r="M766" i="80"/>
  <c r="P766" i="80" s="1"/>
  <c r="L768" i="80" l="1"/>
  <c r="M767" i="80"/>
  <c r="P767" i="80" s="1"/>
  <c r="M768" i="80" l="1"/>
  <c r="P768" i="80" s="1"/>
  <c r="L769" i="80"/>
  <c r="L770" i="80" l="1"/>
  <c r="M769" i="80"/>
  <c r="P769" i="80" s="1"/>
  <c r="M770" i="80" l="1"/>
  <c r="P770" i="80" s="1"/>
  <c r="L771" i="80"/>
  <c r="M771" i="80" l="1"/>
  <c r="P771" i="80" s="1"/>
  <c r="L772" i="80"/>
  <c r="M772" i="80" l="1"/>
  <c r="P772" i="80" s="1"/>
  <c r="L773" i="80"/>
  <c r="L774" i="80" l="1"/>
  <c r="M773" i="80"/>
  <c r="P773" i="80" s="1"/>
  <c r="L775" i="80" l="1"/>
  <c r="M774" i="80"/>
  <c r="P774" i="80" s="1"/>
  <c r="L776" i="80" l="1"/>
  <c r="M775" i="80"/>
  <c r="P775" i="80" s="1"/>
  <c r="M776" i="80" l="1"/>
  <c r="P776" i="80" s="1"/>
  <c r="L777" i="80"/>
  <c r="L778" i="80" l="1"/>
  <c r="M777" i="80"/>
  <c r="P777" i="80" s="1"/>
  <c r="M778" i="80" l="1"/>
  <c r="P778" i="80" s="1"/>
  <c r="L779" i="80"/>
  <c r="M779" i="80" l="1"/>
  <c r="P779" i="80" s="1"/>
  <c r="L780" i="80"/>
  <c r="M780" i="80" l="1"/>
  <c r="P780" i="80" s="1"/>
  <c r="L781" i="80"/>
  <c r="L782" i="80" l="1"/>
  <c r="M781" i="80"/>
  <c r="P781" i="80" s="1"/>
  <c r="L783" i="80" l="1"/>
  <c r="M782" i="80"/>
  <c r="P782" i="80" s="1"/>
  <c r="L784" i="80" l="1"/>
  <c r="M783" i="80"/>
  <c r="P783" i="80" s="1"/>
  <c r="M784" i="80" l="1"/>
  <c r="P784" i="80" s="1"/>
  <c r="L785" i="80"/>
  <c r="L786" i="80" l="1"/>
  <c r="M785" i="80"/>
  <c r="P785" i="80" s="1"/>
  <c r="M786" i="80" l="1"/>
  <c r="P786" i="80" s="1"/>
  <c r="L787" i="80"/>
  <c r="L788" i="80" l="1"/>
  <c r="M787" i="80"/>
  <c r="P787" i="80" s="1"/>
  <c r="L789" i="80" l="1"/>
  <c r="M788" i="80"/>
  <c r="P788" i="80" s="1"/>
  <c r="M789" i="80" l="1"/>
  <c r="P789" i="80" s="1"/>
  <c r="L790" i="80"/>
  <c r="L791" i="80" l="1"/>
  <c r="M790" i="80"/>
  <c r="P790" i="80" s="1"/>
  <c r="M791" i="80" l="1"/>
  <c r="P791" i="80" s="1"/>
  <c r="L792" i="80"/>
  <c r="L793" i="80" l="1"/>
  <c r="M792" i="80"/>
  <c r="P792" i="80" s="1"/>
  <c r="M793" i="80" l="1"/>
  <c r="P793" i="80" s="1"/>
  <c r="L794" i="80"/>
  <c r="M794" i="80" l="1"/>
  <c r="P794" i="80" s="1"/>
  <c r="L795" i="80"/>
  <c r="L796" i="80" l="1"/>
  <c r="M795" i="80"/>
  <c r="P795" i="80" s="1"/>
  <c r="L797" i="80" l="1"/>
  <c r="M796" i="80"/>
  <c r="P796" i="80" s="1"/>
  <c r="M797" i="80" l="1"/>
  <c r="P797" i="80" s="1"/>
  <c r="L798" i="80"/>
  <c r="L799" i="80" l="1"/>
  <c r="M798" i="80"/>
  <c r="P798" i="80" s="1"/>
  <c r="M799" i="80" l="1"/>
  <c r="P799" i="80" s="1"/>
  <c r="L800" i="80"/>
  <c r="L801" i="80" l="1"/>
  <c r="M800" i="80"/>
  <c r="P800" i="80" s="1"/>
  <c r="L802" i="80" l="1"/>
  <c r="M801" i="80"/>
  <c r="P801" i="80" s="1"/>
  <c r="M802" i="80" l="1"/>
  <c r="P802" i="80" s="1"/>
  <c r="L803" i="80"/>
  <c r="L804" i="80" l="1"/>
  <c r="M803" i="80"/>
  <c r="P803" i="80" s="1"/>
  <c r="M804" i="80" l="1"/>
  <c r="P804" i="80" s="1"/>
  <c r="L805" i="80"/>
  <c r="L806" i="80" l="1"/>
  <c r="M805" i="80"/>
  <c r="P805" i="80" s="1"/>
  <c r="L807" i="80" l="1"/>
  <c r="M806" i="80"/>
  <c r="P806" i="80" s="1"/>
  <c r="M807" i="80" l="1"/>
  <c r="P807" i="80" s="1"/>
  <c r="L808" i="80"/>
  <c r="L809" i="80" l="1"/>
  <c r="M808" i="80"/>
  <c r="P808" i="80" s="1"/>
  <c r="L810" i="80" l="1"/>
  <c r="M809" i="80"/>
  <c r="P809" i="80" s="1"/>
  <c r="M810" i="80" l="1"/>
  <c r="P810" i="80" s="1"/>
  <c r="L811" i="80"/>
  <c r="L812" i="80" l="1"/>
  <c r="M811" i="80"/>
  <c r="P811" i="80" s="1"/>
  <c r="L813" i="80" l="1"/>
  <c r="M812" i="80"/>
  <c r="P812" i="80" s="1"/>
  <c r="M813" i="80" l="1"/>
  <c r="P813" i="80" s="1"/>
  <c r="L814" i="80"/>
  <c r="L815" i="80" l="1"/>
  <c r="M814" i="80"/>
  <c r="P814" i="80" s="1"/>
  <c r="M815" i="80" l="1"/>
  <c r="P815" i="80" s="1"/>
  <c r="L816" i="80"/>
  <c r="L817" i="80" l="1"/>
  <c r="M816" i="80"/>
  <c r="P816" i="80" s="1"/>
  <c r="M817" i="80" l="1"/>
  <c r="P817" i="80" s="1"/>
  <c r="L818" i="80"/>
  <c r="M818" i="80" l="1"/>
  <c r="P818" i="80" s="1"/>
  <c r="L819" i="80"/>
  <c r="L820" i="80" l="1"/>
  <c r="M819" i="80"/>
  <c r="P819" i="80" s="1"/>
  <c r="M820" i="80" l="1"/>
  <c r="P820" i="80" s="1"/>
  <c r="L821" i="80"/>
  <c r="L822" i="80" l="1"/>
  <c r="M821" i="80"/>
  <c r="P821" i="80" s="1"/>
  <c r="L823" i="80" l="1"/>
  <c r="M822" i="80"/>
  <c r="P822" i="80" s="1"/>
  <c r="M823" i="80" l="1"/>
  <c r="P823" i="80" s="1"/>
  <c r="L824" i="80"/>
  <c r="M824" i="80" l="1"/>
  <c r="P824" i="80" s="1"/>
  <c r="L825" i="80"/>
  <c r="L826" i="80" l="1"/>
  <c r="M825" i="80"/>
  <c r="P825" i="80" s="1"/>
  <c r="M826" i="80" l="1"/>
  <c r="P826" i="80" s="1"/>
  <c r="L827" i="80"/>
  <c r="L828" i="80" l="1"/>
  <c r="M827" i="80"/>
  <c r="P827" i="80" s="1"/>
  <c r="L829" i="80" l="1"/>
  <c r="M828" i="80"/>
  <c r="P828" i="80" s="1"/>
  <c r="L830" i="80" l="1"/>
  <c r="M829" i="80"/>
  <c r="P829" i="80" s="1"/>
  <c r="L831" i="80" l="1"/>
  <c r="M830" i="80"/>
  <c r="P830" i="80" s="1"/>
  <c r="M831" i="80" l="1"/>
  <c r="P831" i="80" s="1"/>
  <c r="L832" i="80"/>
  <c r="L833" i="80" l="1"/>
  <c r="M832" i="80"/>
  <c r="P832" i="80" s="1"/>
  <c r="M833" i="80" l="1"/>
  <c r="P833" i="80" s="1"/>
  <c r="L834" i="80"/>
  <c r="M834" i="80" l="1"/>
  <c r="P834" i="80" s="1"/>
  <c r="L835" i="80"/>
  <c r="L836" i="80" l="1"/>
  <c r="M835" i="80"/>
  <c r="P835" i="80" s="1"/>
  <c r="L837" i="80" l="1"/>
  <c r="M836" i="80"/>
  <c r="P836" i="80" s="1"/>
  <c r="M837" i="80" l="1"/>
  <c r="P837" i="80" s="1"/>
  <c r="L838" i="80"/>
  <c r="L839" i="80" l="1"/>
  <c r="M838" i="80"/>
  <c r="P838" i="80" s="1"/>
  <c r="M839" i="80" l="1"/>
  <c r="P839" i="80" s="1"/>
  <c r="L840" i="80"/>
  <c r="L841" i="80" l="1"/>
  <c r="M840" i="80"/>
  <c r="P840" i="80" s="1"/>
  <c r="L842" i="80" l="1"/>
  <c r="M841" i="80"/>
  <c r="P841" i="80" s="1"/>
  <c r="M842" i="80" l="1"/>
  <c r="P842" i="80" s="1"/>
  <c r="L843" i="80"/>
  <c r="L844" i="80" l="1"/>
  <c r="M843" i="80"/>
  <c r="P843" i="80" s="1"/>
  <c r="M844" i="80" l="1"/>
  <c r="P844" i="80" s="1"/>
  <c r="L845" i="80"/>
  <c r="L846" i="80" l="1"/>
  <c r="M845" i="80"/>
  <c r="P845" i="80" s="1"/>
  <c r="L847" i="80" l="1"/>
  <c r="M846" i="80"/>
  <c r="P846" i="80" s="1"/>
  <c r="M847" i="80" l="1"/>
  <c r="P847" i="80" s="1"/>
  <c r="L848" i="80"/>
  <c r="M848" i="80" l="1"/>
  <c r="P848" i="80" s="1"/>
  <c r="L849" i="80"/>
  <c r="L850" i="80" l="1"/>
  <c r="M849" i="80"/>
  <c r="P849" i="80" s="1"/>
  <c r="M850" i="80" l="1"/>
  <c r="P850" i="80" s="1"/>
  <c r="L851" i="80"/>
  <c r="L852" i="80" l="1"/>
  <c r="M851" i="80"/>
  <c r="P851" i="80" s="1"/>
  <c r="L853" i="80" l="1"/>
  <c r="M852" i="80"/>
  <c r="P852" i="80" s="1"/>
  <c r="M853" i="80" l="1"/>
  <c r="P853" i="80" s="1"/>
  <c r="L854" i="80"/>
  <c r="L855" i="80" l="1"/>
  <c r="M854" i="80"/>
  <c r="P854" i="80" s="1"/>
  <c r="M855" i="80" l="1"/>
  <c r="P855" i="80" s="1"/>
  <c r="L856" i="80"/>
  <c r="L857" i="80" l="1"/>
  <c r="M856" i="80"/>
  <c r="P856" i="80" s="1"/>
  <c r="M857" i="80" l="1"/>
  <c r="P857" i="80" s="1"/>
  <c r="L858" i="80"/>
  <c r="M858" i="80" l="1"/>
  <c r="P858" i="80" s="1"/>
  <c r="L859" i="80"/>
  <c r="L860" i="80" l="1"/>
  <c r="M859" i="80"/>
  <c r="P859" i="80" s="1"/>
  <c r="L861" i="80" l="1"/>
  <c r="M860" i="80"/>
  <c r="P860" i="80" s="1"/>
  <c r="M861" i="80" l="1"/>
  <c r="P861" i="80" s="1"/>
  <c r="L862" i="80"/>
  <c r="L863" i="80" l="1"/>
  <c r="M862" i="80"/>
  <c r="P862" i="80" s="1"/>
  <c r="M863" i="80" l="1"/>
  <c r="P863" i="80" s="1"/>
  <c r="L864" i="80"/>
  <c r="L865" i="80" l="1"/>
  <c r="M864" i="80"/>
  <c r="P864" i="80" s="1"/>
  <c r="L866" i="80" l="1"/>
  <c r="M865" i="80"/>
  <c r="P865" i="80" s="1"/>
  <c r="M866" i="80" l="1"/>
  <c r="P866" i="80" s="1"/>
  <c r="L867" i="80"/>
  <c r="L868" i="80" l="1"/>
  <c r="M867" i="80"/>
  <c r="P867" i="80" s="1"/>
  <c r="M868" i="80" l="1"/>
  <c r="P868" i="80" s="1"/>
  <c r="L869" i="80"/>
  <c r="L870" i="80" l="1"/>
  <c r="M869" i="80"/>
  <c r="P869" i="80" s="1"/>
  <c r="L871" i="80" l="1"/>
  <c r="M870" i="80"/>
  <c r="P870" i="80" s="1"/>
  <c r="M871" i="80" l="1"/>
  <c r="P871" i="80" s="1"/>
  <c r="L872" i="80"/>
  <c r="L873" i="80" l="1"/>
  <c r="M872" i="80"/>
  <c r="P872" i="80" s="1"/>
  <c r="L874" i="80" l="1"/>
  <c r="M873" i="80"/>
  <c r="P873" i="80" s="1"/>
  <c r="M874" i="80" l="1"/>
  <c r="P874" i="80" s="1"/>
  <c r="L875" i="80"/>
  <c r="L876" i="80" l="1"/>
  <c r="M875" i="80"/>
  <c r="P875" i="80" s="1"/>
  <c r="L877" i="80" l="1"/>
  <c r="M876" i="80"/>
  <c r="P876" i="80" s="1"/>
  <c r="M877" i="80" l="1"/>
  <c r="P877" i="80" s="1"/>
  <c r="L878" i="80"/>
  <c r="L879" i="80" l="1"/>
  <c r="M878" i="80"/>
  <c r="P878" i="80" s="1"/>
  <c r="M879" i="80" l="1"/>
  <c r="P879" i="80" s="1"/>
  <c r="L880" i="80"/>
  <c r="L881" i="80" l="1"/>
  <c r="M880" i="80"/>
  <c r="P880" i="80" s="1"/>
  <c r="L882" i="80" l="1"/>
  <c r="M881" i="80"/>
  <c r="P881" i="80" s="1"/>
  <c r="M882" i="80" l="1"/>
  <c r="P882" i="80" s="1"/>
  <c r="L883" i="80"/>
  <c r="L884" i="80" l="1"/>
  <c r="M883" i="80"/>
  <c r="P883" i="80" s="1"/>
  <c r="M884" i="80" l="1"/>
  <c r="P884" i="80" s="1"/>
  <c r="L885" i="80"/>
  <c r="L886" i="80" l="1"/>
  <c r="M885" i="80"/>
  <c r="P885" i="80" s="1"/>
  <c r="L887" i="80" l="1"/>
  <c r="M886" i="80"/>
  <c r="P886" i="80" s="1"/>
  <c r="M887" i="80" l="1"/>
  <c r="P887" i="80" s="1"/>
  <c r="L888" i="80"/>
  <c r="M888" i="80" l="1"/>
  <c r="P888" i="80" s="1"/>
  <c r="L889" i="80"/>
  <c r="L890" i="80" l="1"/>
  <c r="M889" i="80"/>
  <c r="P889" i="80" s="1"/>
  <c r="M890" i="80" l="1"/>
  <c r="P890" i="80" s="1"/>
  <c r="L891" i="80"/>
  <c r="L892" i="80" l="1"/>
  <c r="M891" i="80"/>
  <c r="P891" i="80" s="1"/>
  <c r="L893" i="80" l="1"/>
  <c r="M892" i="80"/>
  <c r="P892" i="80" s="1"/>
  <c r="M893" i="80" l="1"/>
  <c r="P893" i="80" s="1"/>
  <c r="L894" i="80"/>
  <c r="L895" i="80" l="1"/>
  <c r="M894" i="80"/>
  <c r="P894" i="80" s="1"/>
  <c r="M895" i="80" l="1"/>
  <c r="P895" i="80" s="1"/>
  <c r="L896" i="80"/>
  <c r="L897" i="80" l="1"/>
  <c r="M896" i="80"/>
  <c r="P896" i="80" s="1"/>
  <c r="M897" i="80" l="1"/>
  <c r="P897" i="80" s="1"/>
  <c r="L898" i="80"/>
  <c r="M898" i="80" l="1"/>
  <c r="P898" i="80" s="1"/>
  <c r="L899" i="80"/>
  <c r="L900" i="80" l="1"/>
  <c r="M899" i="80"/>
  <c r="P899" i="80" s="1"/>
  <c r="L901" i="80" l="1"/>
  <c r="M900" i="80"/>
  <c r="P900" i="80" s="1"/>
  <c r="M901" i="80" l="1"/>
  <c r="P901" i="80" s="1"/>
  <c r="L902" i="80"/>
  <c r="L903" i="80" l="1"/>
  <c r="M902" i="80"/>
  <c r="P902" i="80" s="1"/>
  <c r="M903" i="80" l="1"/>
  <c r="P903" i="80" s="1"/>
  <c r="L904" i="80"/>
  <c r="L905" i="80" l="1"/>
  <c r="M904" i="80"/>
  <c r="P904" i="80" s="1"/>
  <c r="L906" i="80" l="1"/>
  <c r="M905" i="80"/>
  <c r="P905" i="80" s="1"/>
  <c r="M906" i="80" l="1"/>
  <c r="P906" i="80" s="1"/>
  <c r="L907" i="80"/>
  <c r="L908" i="80" l="1"/>
  <c r="M907" i="80"/>
  <c r="P907" i="80" s="1"/>
  <c r="M908" i="80" l="1"/>
  <c r="P908" i="80" s="1"/>
  <c r="L909" i="80"/>
  <c r="L910" i="80" l="1"/>
  <c r="M909" i="80"/>
  <c r="P909" i="80" s="1"/>
  <c r="L911" i="80" l="1"/>
  <c r="M910" i="80"/>
  <c r="P910" i="80" s="1"/>
  <c r="M911" i="80" l="1"/>
  <c r="P911" i="80" s="1"/>
  <c r="L912" i="80"/>
  <c r="L913" i="80" l="1"/>
  <c r="M912" i="80"/>
  <c r="P912" i="80" s="1"/>
  <c r="L914" i="80" l="1"/>
  <c r="M913" i="80"/>
  <c r="P913" i="80" s="1"/>
  <c r="M914" i="80" l="1"/>
  <c r="P914" i="80" s="1"/>
  <c r="L915" i="80"/>
  <c r="L916" i="80" l="1"/>
  <c r="M915" i="80"/>
  <c r="P915" i="80" s="1"/>
  <c r="L917" i="80" l="1"/>
  <c r="M916" i="80"/>
  <c r="P916" i="80" s="1"/>
  <c r="M917" i="80" l="1"/>
  <c r="P917" i="80" s="1"/>
  <c r="L918" i="80"/>
  <c r="L919" i="80" l="1"/>
  <c r="M918" i="80"/>
  <c r="P918" i="80" s="1"/>
  <c r="M919" i="80" l="1"/>
  <c r="P919" i="80" s="1"/>
  <c r="L920" i="80"/>
  <c r="L921" i="80" l="1"/>
  <c r="M920" i="80"/>
  <c r="P920" i="80" s="1"/>
  <c r="L922" i="80" l="1"/>
  <c r="M921" i="80"/>
  <c r="P921" i="80" s="1"/>
  <c r="M922" i="80" l="1"/>
  <c r="P922" i="80" s="1"/>
  <c r="L923" i="80"/>
  <c r="L924" i="80" l="1"/>
  <c r="M923" i="80"/>
  <c r="P923" i="80" s="1"/>
  <c r="L925" i="80" l="1"/>
  <c r="M924" i="80"/>
  <c r="P924" i="80" s="1"/>
  <c r="M925" i="80" l="1"/>
  <c r="P925" i="80" s="1"/>
  <c r="L926" i="80"/>
  <c r="L927" i="80" l="1"/>
  <c r="M926" i="80"/>
  <c r="P926" i="80" s="1"/>
  <c r="M927" i="80" l="1"/>
  <c r="P927" i="80" s="1"/>
  <c r="L928" i="80"/>
  <c r="L929" i="80" l="1"/>
  <c r="M928" i="80"/>
  <c r="P928" i="80" s="1"/>
  <c r="L930" i="80" l="1"/>
  <c r="M930" i="80" s="1"/>
  <c r="P930" i="80" s="1"/>
  <c r="Y4" i="80" s="1" a="1"/>
  <c r="Y4" i="80" s="1"/>
  <c r="M929" i="80"/>
  <c r="P929" i="80" s="1"/>
  <c r="U4" i="80" l="1" a="1"/>
  <c r="U4" i="80" s="1"/>
  <c r="E5" i="81" l="1"/>
  <c r="F4" i="81"/>
  <c r="E6" i="81"/>
  <c r="G4" i="81"/>
  <c r="F5" i="81"/>
  <c r="E4" i="81"/>
  <c r="G5" i="81"/>
  <c r="F6" i="81"/>
  <c r="G6" i="81"/>
  <c r="F10" i="81"/>
  <c r="E10" i="81"/>
  <c r="G10" i="81"/>
  <c r="G11" i="81"/>
  <c r="F11" i="81"/>
  <c r="F12" i="81"/>
  <c r="G12" i="81"/>
  <c r="E11" i="81"/>
  <c r="E12" i="8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<sst xmlns="http://schemas.openxmlformats.org/spreadsheetml/2006/main" count="3200" uniqueCount="1170">
  <si>
    <t>ABCXYZ</t>
  </si>
  <si>
    <t>NHÀ CUNG CẤP</t>
  </si>
  <si>
    <t>FORECAST</t>
  </si>
  <si>
    <t>Sum of Sales</t>
  </si>
  <si>
    <t>Row Labels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</si>
  <si>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</si>
  <si>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</si>
  <si>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</si>
  <si>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</si>
  <si>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</si>
  <si>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</si>
  <si>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</si>
  <si>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</si>
  <si>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</si>
  <si>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Grand Total</t>
  </si>
  <si>
    <t>% Cummulative</t>
  </si>
  <si>
    <t xml:space="preserve"> ABC Rank</t>
  </si>
  <si>
    <t>Uncertainty</t>
  </si>
  <si>
    <t>XYZ Rank</t>
  </si>
  <si>
    <t>Combine</t>
  </si>
  <si>
    <t>Item_Code</t>
  </si>
  <si>
    <t>PR_Line_Pending</t>
  </si>
  <si>
    <t>Total_PO_Pending</t>
  </si>
  <si>
    <t>STT</t>
  </si>
  <si>
    <t>Tên nhà cung cấp</t>
  </si>
  <si>
    <t>Tổng đơn</t>
  </si>
  <si>
    <t>số đơn nợ</t>
  </si>
  <si>
    <t>số đơn trễ</t>
  </si>
  <si>
    <t>amount nợ</t>
  </si>
  <si>
    <t>tổng amount</t>
  </si>
  <si>
    <t>% nợ/tổng amount</t>
  </si>
  <si>
    <t>tỉ trọng đơn hàng</t>
  </si>
  <si>
    <t>số lượng sản phẩm</t>
  </si>
  <si>
    <t>tỉ trong</t>
  </si>
  <si>
    <t>đơn nợ</t>
  </si>
  <si>
    <t>đa dạng</t>
  </si>
  <si>
    <t>trễ</t>
  </si>
  <si>
    <t>độc quyền</t>
  </si>
  <si>
    <t>Month</t>
  </si>
  <si>
    <t>Total PR  2021</t>
  </si>
  <si>
    <t>Total PR by season</t>
  </si>
  <si>
    <t>Seasonal factor</t>
  </si>
  <si>
    <t>Trend factor 2022</t>
  </si>
  <si>
    <t>Total PR forecast 2022</t>
  </si>
  <si>
    <t>Trend factor 2023</t>
  </si>
  <si>
    <t>Total PR forecast 2023</t>
  </si>
  <si>
    <t>Year</t>
  </si>
  <si>
    <t>Total PO</t>
  </si>
  <si>
    <t>Gap PR-PO</t>
  </si>
  <si>
    <t>D10119</t>
  </si>
  <si>
    <t>A10002</t>
  </si>
  <si>
    <t>A10001</t>
  </si>
  <si>
    <t>Cong Ty TNHH An Linh</t>
  </si>
  <si>
    <t>tỉ lệ nợ</t>
  </si>
  <si>
    <t>giá trị nợ</t>
  </si>
  <si>
    <t>tỉ trọng</t>
  </si>
  <si>
    <t>số loại hàng</t>
  </si>
  <si>
    <t>(bonus)</t>
  </si>
  <si>
    <t>Adjusted slope</t>
  </si>
  <si>
    <t>J</t>
  </si>
  <si>
    <t>D10111</t>
  </si>
  <si>
    <t>Cong Ty TNHH Xuat Nhap Khau Tan Viet Hung</t>
  </si>
  <si>
    <t xml:space="preserve">CTy Co Phan Cong Nghe An Toan </t>
  </si>
  <si>
    <t>tổng điểm</t>
  </si>
  <si>
    <t>Intercept</t>
  </si>
  <si>
    <t>F</t>
  </si>
  <si>
    <t>D10109</t>
  </si>
  <si>
    <t>A10003</t>
  </si>
  <si>
    <t>Cong Ty Co Phan Dau Nhot KTC</t>
  </si>
  <si>
    <t>CTy TNHH MTV DTPTHT KCN</t>
  </si>
  <si>
    <t xml:space="preserve"> CTy TNHH TS Molymer Viet Nam</t>
  </si>
  <si>
    <t>M</t>
  </si>
  <si>
    <t>F10001</t>
  </si>
  <si>
    <t>A10008</t>
  </si>
  <si>
    <t>A10005</t>
  </si>
  <si>
    <t>Cong Ty TNHH HV Viet Nam</t>
  </si>
  <si>
    <t>CTy TNHH Thuong Mai Taiyo</t>
  </si>
  <si>
    <t xml:space="preserve"> CTy TNHH Shinei Corona </t>
  </si>
  <si>
    <t>A</t>
  </si>
  <si>
    <t>A20031</t>
  </si>
  <si>
    <t>A10014</t>
  </si>
  <si>
    <t>A10006</t>
  </si>
  <si>
    <t>Cong Ty TNHH Dien Tu Dien Lanh Ngoc Phat</t>
  </si>
  <si>
    <t>CTy TNHH An Linh</t>
  </si>
  <si>
    <t xml:space="preserve"> CTy ông ty khác</t>
  </si>
  <si>
    <t>D10125</t>
  </si>
  <si>
    <t>A10027</t>
  </si>
  <si>
    <t>A10007</t>
  </si>
  <si>
    <t>Cua Hang Phu Tung O To 9 Nghia</t>
  </si>
  <si>
    <t>CTy Co Phan O To Viet</t>
  </si>
  <si>
    <t xml:space="preserve"> CTy TNHH SX&amp;TM Mai Xa Huong</t>
  </si>
  <si>
    <t>S10407</t>
  </si>
  <si>
    <t>A10037</t>
  </si>
  <si>
    <t>Cong Ty TNHH Thuong Mai Dich Vu Thinh Phat Loi</t>
  </si>
  <si>
    <t>CTy TNHH XNK VINATRADE</t>
  </si>
  <si>
    <t xml:space="preserve"> CTy Co Phan Hoa Phuong</t>
  </si>
  <si>
    <t>D10115</t>
  </si>
  <si>
    <t>A10046</t>
  </si>
  <si>
    <t>A10010</t>
  </si>
  <si>
    <t>Cong Ty TNHH Dau Tu Phat Trien Tri Duc</t>
  </si>
  <si>
    <t xml:space="preserve">CTy TNHH Nagata </t>
  </si>
  <si>
    <t xml:space="preserve"> CTyTNHH TM CKVTDL Hoang Long</t>
  </si>
  <si>
    <t>D10107</t>
  </si>
  <si>
    <t>Cong Ty TNHH DKH Viet Nam</t>
  </si>
  <si>
    <t>CTy TNHH TM CKVTDL Hoang Long</t>
  </si>
  <si>
    <t xml:space="preserve"> CTy TNHH TM&amp;DV Nhat Minh</t>
  </si>
  <si>
    <t>S</t>
  </si>
  <si>
    <t>B20618</t>
  </si>
  <si>
    <t>A10056</t>
  </si>
  <si>
    <t>A10015</t>
  </si>
  <si>
    <t>Cong Ty TNHH Mot Thanh Vien Nhua Ngoc Thang</t>
  </si>
  <si>
    <t>CTy TNHH TM&amp;DV Nhat Minh</t>
  </si>
  <si>
    <t xml:space="preserve"> CTy TNHH TMDV OTo Trieu Giang</t>
  </si>
  <si>
    <t>O</t>
  </si>
  <si>
    <t>DA2093</t>
  </si>
  <si>
    <t>A10093</t>
  </si>
  <si>
    <t>A10021</t>
  </si>
  <si>
    <t>Cong Ty TNHH TMDV O To Trieu Giang</t>
  </si>
  <si>
    <t>CTy Co Phan Nhan Luc</t>
  </si>
  <si>
    <t xml:space="preserve"> CTy Co Phan Nhan Luc</t>
  </si>
  <si>
    <t>N</t>
  </si>
  <si>
    <t>B20463</t>
  </si>
  <si>
    <t>A20003</t>
  </si>
  <si>
    <t>A10022</t>
  </si>
  <si>
    <t>Cong Ty Co Phan Dien Tu Chuyen Dung Hanel</t>
  </si>
  <si>
    <t>CTy TNHH TMDV OTo Trieu Giang</t>
  </si>
  <si>
    <t xml:space="preserve"> CTy TNHH Nagata </t>
  </si>
  <si>
    <t>D</t>
  </si>
  <si>
    <t>S10630</t>
  </si>
  <si>
    <t>A20011</t>
  </si>
  <si>
    <t>A10024</t>
  </si>
  <si>
    <t>Cong Ty TNHH Dau Tu TM Phuong Thanh Ngoc</t>
  </si>
  <si>
    <t>CTy ông ty khác</t>
  </si>
  <si>
    <t xml:space="preserve"> CTy TNHH XNK VINATRADE</t>
  </si>
  <si>
    <t>Total</t>
  </si>
  <si>
    <t>D10100</t>
  </si>
  <si>
    <t>A20021</t>
  </si>
  <si>
    <t>A10025</t>
  </si>
  <si>
    <t>Cong ty TNHH Thuong Mai Taiyo</t>
  </si>
  <si>
    <t xml:space="preserve">CTy TNHH Shinei Corona </t>
  </si>
  <si>
    <t xml:space="preserve"> CTy TNHH An Linh</t>
  </si>
  <si>
    <t>D10096</t>
  </si>
  <si>
    <t>A20026</t>
  </si>
  <si>
    <t>Cong Ty TNHH TS Molymer Viet Nam</t>
  </si>
  <si>
    <t>CTy TNHH SX&amp;TM Mai Xa Huong</t>
  </si>
  <si>
    <t xml:space="preserve"> CTy Co Phan O To Viet</t>
  </si>
  <si>
    <t>D10105</t>
  </si>
  <si>
    <t>A20042</t>
  </si>
  <si>
    <t>A10029</t>
  </si>
  <si>
    <t>Cong Ty TNHH Thuong Mai Va Dich Vu Cong Nghiep Nhat Minh</t>
  </si>
  <si>
    <t>CTy TNHH TS Molymer Viet Nam</t>
  </si>
  <si>
    <t xml:space="preserve"> CTy TNHH Thuong Mai Taiyo</t>
  </si>
  <si>
    <t>A90004</t>
  </si>
  <si>
    <t>A10033</t>
  </si>
  <si>
    <t>Cong Ty TNHH Xuat Nhap Khau VINATRADE</t>
  </si>
  <si>
    <t>CTy Co Phan Hoa Phuong</t>
  </si>
  <si>
    <t xml:space="preserve"> CTy TNHH MTV DTPTHT KCN</t>
  </si>
  <si>
    <t>C54025</t>
  </si>
  <si>
    <t>A20044</t>
  </si>
  <si>
    <t>A10034</t>
  </si>
  <si>
    <t>Cong Ty TNHH Shinei Corona Viet Nam</t>
  </si>
  <si>
    <t xml:space="preserve"> CTy Co Phan Cong Nghe An Toan </t>
  </si>
  <si>
    <t>D10120</t>
  </si>
  <si>
    <t>A20056</t>
  </si>
  <si>
    <t>A10035</t>
  </si>
  <si>
    <t>Cong Ty TNHH Nagata (Viet Nam)</t>
  </si>
  <si>
    <t>D10102</t>
  </si>
  <si>
    <t>A20057</t>
  </si>
  <si>
    <t>Cong Ty Co Phan Cong Nghe An Toan Viet Nam</t>
  </si>
  <si>
    <t>B20619</t>
  </si>
  <si>
    <t>A20059</t>
  </si>
  <si>
    <t>A10038</t>
  </si>
  <si>
    <t>Cong Ty Co Phan Nhan Luc</t>
  </si>
  <si>
    <t>B20765</t>
  </si>
  <si>
    <t>A10039</t>
  </si>
  <si>
    <t>Cong Ty Co Phan O To Viet</t>
  </si>
  <si>
    <t>B20766</t>
  </si>
  <si>
    <t>A10044</t>
  </si>
  <si>
    <t>Cong Ty Co Phan Hoa Phuong</t>
  </si>
  <si>
    <t>D10121</t>
  </si>
  <si>
    <t>A90007</t>
  </si>
  <si>
    <t>A10045</t>
  </si>
  <si>
    <t>Cong Ty TNHH MTV Dau Tu Va Phat Trien Ha Tang Khu Cong Nghiep</t>
  </si>
  <si>
    <t>D10098</t>
  </si>
  <si>
    <t>A90010</t>
  </si>
  <si>
    <t>Cong Ty TNHH San Xuat &amp; Thuong Mai Xa Huong</t>
  </si>
  <si>
    <t>D10114</t>
  </si>
  <si>
    <t>A10047</t>
  </si>
  <si>
    <t>Cong Ty TNHH TM Co Khi Van Tai Du Lich Hoang Long</t>
  </si>
  <si>
    <t>A20006</t>
  </si>
  <si>
    <t>A90015</t>
  </si>
  <si>
    <t>A10049</t>
  </si>
  <si>
    <t>A90018</t>
  </si>
  <si>
    <t>A10050</t>
  </si>
  <si>
    <t>A20022</t>
  </si>
  <si>
    <t>A90023</t>
  </si>
  <si>
    <t>A10052</t>
  </si>
  <si>
    <t>D10112</t>
  </si>
  <si>
    <t>A90025</t>
  </si>
  <si>
    <t>A10054</t>
  </si>
  <si>
    <t>D10106</t>
  </si>
  <si>
    <t>A90026</t>
  </si>
  <si>
    <t>A10063</t>
  </si>
  <si>
    <t>D62120</t>
  </si>
  <si>
    <t>B20004</t>
  </si>
  <si>
    <t>A10065</t>
  </si>
  <si>
    <t>D10126</t>
  </si>
  <si>
    <t>A10066</t>
  </si>
  <si>
    <t>CR4071</t>
  </si>
  <si>
    <t>A10069</t>
  </si>
  <si>
    <t>B20614</t>
  </si>
  <si>
    <t>A10072</t>
  </si>
  <si>
    <t>A90001</t>
  </si>
  <si>
    <t>B20005</t>
  </si>
  <si>
    <t>A10075</t>
  </si>
  <si>
    <t>S10374</t>
  </si>
  <si>
    <t>B20009</t>
  </si>
  <si>
    <t>A10076</t>
  </si>
  <si>
    <t>B20613</t>
  </si>
  <si>
    <t>A10077</t>
  </si>
  <si>
    <t>H00020</t>
  </si>
  <si>
    <t>B20010</t>
  </si>
  <si>
    <t>A10079</t>
  </si>
  <si>
    <t>S10522</t>
  </si>
  <si>
    <t>B20023</t>
  </si>
  <si>
    <t>A10080</t>
  </si>
  <si>
    <t>A10082</t>
  </si>
  <si>
    <t>A10088</t>
  </si>
  <si>
    <t>B20044</t>
  </si>
  <si>
    <t>A10089</t>
  </si>
  <si>
    <t>B20045</t>
  </si>
  <si>
    <t>D00108</t>
  </si>
  <si>
    <t>A20001</t>
  </si>
  <si>
    <t>H00026</t>
  </si>
  <si>
    <t>B20046</t>
  </si>
  <si>
    <t>F10086</t>
  </si>
  <si>
    <t>B20049</t>
  </si>
  <si>
    <t>A20004</t>
  </si>
  <si>
    <t>A20005</t>
  </si>
  <si>
    <t>B20456</t>
  </si>
  <si>
    <t>B20051</t>
  </si>
  <si>
    <t>A90013</t>
  </si>
  <si>
    <t>A20007</t>
  </si>
  <si>
    <t>S10669</t>
  </si>
  <si>
    <t>A20008</t>
  </si>
  <si>
    <t>A20024</t>
  </si>
  <si>
    <t>A20009</t>
  </si>
  <si>
    <t>B20797</t>
  </si>
  <si>
    <t>A20020</t>
  </si>
  <si>
    <t>B20053</t>
  </si>
  <si>
    <t>A20015</t>
  </si>
  <si>
    <t>A20016</t>
  </si>
  <si>
    <t>A20017</t>
  </si>
  <si>
    <t>A20019</t>
  </si>
  <si>
    <t>S10753</t>
  </si>
  <si>
    <t>A20046</t>
  </si>
  <si>
    <t>S10510</t>
  </si>
  <si>
    <t>B20080</t>
  </si>
  <si>
    <t>B20377</t>
  </si>
  <si>
    <t>B20081</t>
  </si>
  <si>
    <t>A90033</t>
  </si>
  <si>
    <t>B20085</t>
  </si>
  <si>
    <t>A20025</t>
  </si>
  <si>
    <t>S10582</t>
  </si>
  <si>
    <t>C19121</t>
  </si>
  <si>
    <t>A20027</t>
  </si>
  <si>
    <t>B20457</t>
  </si>
  <si>
    <t>B20086</t>
  </si>
  <si>
    <t>A20029</t>
  </si>
  <si>
    <t>H00019</t>
  </si>
  <si>
    <t>A20033</t>
  </si>
  <si>
    <t>B20106</t>
  </si>
  <si>
    <t>A20034</t>
  </si>
  <si>
    <t>A20038</t>
  </si>
  <si>
    <t>CI4068</t>
  </si>
  <si>
    <t>A20039</t>
  </si>
  <si>
    <t>H00018</t>
  </si>
  <si>
    <t>B20108</t>
  </si>
  <si>
    <t>B20189</t>
  </si>
  <si>
    <t>B20109</t>
  </si>
  <si>
    <t>A20047</t>
  </si>
  <si>
    <t>B20114</t>
  </si>
  <si>
    <t>S10420</t>
  </si>
  <si>
    <t>B20127</t>
  </si>
  <si>
    <t>D32118</t>
  </si>
  <si>
    <t>S10538</t>
  </si>
  <si>
    <t>A90008</t>
  </si>
  <si>
    <t>C34064</t>
  </si>
  <si>
    <t>A90009</t>
  </si>
  <si>
    <t>C34065</t>
  </si>
  <si>
    <t>B20134</t>
  </si>
  <si>
    <t>A90011</t>
  </si>
  <si>
    <t>B20135</t>
  </si>
  <si>
    <t>C44001</t>
  </si>
  <si>
    <t>A90022</t>
  </si>
  <si>
    <t>S10382</t>
  </si>
  <si>
    <t>B20136</t>
  </si>
  <si>
    <t>B20593</t>
  </si>
  <si>
    <t>A90024</t>
  </si>
  <si>
    <t>B20142</t>
  </si>
  <si>
    <t>B20161</t>
  </si>
  <si>
    <t>A90032</t>
  </si>
  <si>
    <t>A90035</t>
  </si>
  <si>
    <t>B20691</t>
  </si>
  <si>
    <t>B20735</t>
  </si>
  <si>
    <t>B20162</t>
  </si>
  <si>
    <t>B20094</t>
  </si>
  <si>
    <t>B20166</t>
  </si>
  <si>
    <t>B20107</t>
  </si>
  <si>
    <t>S10195</t>
  </si>
  <si>
    <t>B20716</t>
  </si>
  <si>
    <t>D10090</t>
  </si>
  <si>
    <t>B20168</t>
  </si>
  <si>
    <t>B20268</t>
  </si>
  <si>
    <t>B20272</t>
  </si>
  <si>
    <t>H00028</t>
  </si>
  <si>
    <t>B20180</t>
  </si>
  <si>
    <t>B20347</t>
  </si>
  <si>
    <t>B20690</t>
  </si>
  <si>
    <t>B20185</t>
  </si>
  <si>
    <t>B20743</t>
  </si>
  <si>
    <t>B20545</t>
  </si>
  <si>
    <t>B20574</t>
  </si>
  <si>
    <t>B20548</t>
  </si>
  <si>
    <t>B20643</t>
  </si>
  <si>
    <t>B20549</t>
  </si>
  <si>
    <t>B20554</t>
  </si>
  <si>
    <t>B20203</t>
  </si>
  <si>
    <t>B20563</t>
  </si>
  <si>
    <t>B20221</t>
  </si>
  <si>
    <t>B20566</t>
  </si>
  <si>
    <t>B20224</t>
  </si>
  <si>
    <t>B20572</t>
  </si>
  <si>
    <t>B20693</t>
  </si>
  <si>
    <t>B20577</t>
  </si>
  <si>
    <t>B20689</t>
  </si>
  <si>
    <t>B20578</t>
  </si>
  <si>
    <t>B20582</t>
  </si>
  <si>
    <t>b20780</t>
  </si>
  <si>
    <t>B20585</t>
  </si>
  <si>
    <t>B20316</t>
  </si>
  <si>
    <t>B20586</t>
  </si>
  <si>
    <t>D42117</t>
  </si>
  <si>
    <t>B20589</t>
  </si>
  <si>
    <t>B20270</t>
  </si>
  <si>
    <t>B20600</t>
  </si>
  <si>
    <t>B20302</t>
  </si>
  <si>
    <t>S10739</t>
  </si>
  <si>
    <t>B20312</t>
  </si>
  <si>
    <t>S10752</t>
  </si>
  <si>
    <t>B20731</t>
  </si>
  <si>
    <t>B20621</t>
  </si>
  <si>
    <t>H00029</t>
  </si>
  <si>
    <t>B20313</t>
  </si>
  <si>
    <t>B20625</t>
  </si>
  <si>
    <t>H00017</t>
  </si>
  <si>
    <t>B20632</t>
  </si>
  <si>
    <t>B20571</t>
  </si>
  <si>
    <t>B20634</t>
  </si>
  <si>
    <t>B20653</t>
  </si>
  <si>
    <t>H00021</t>
  </si>
  <si>
    <t>B20656</t>
  </si>
  <si>
    <t>B20317</t>
  </si>
  <si>
    <t>B20657</t>
  </si>
  <si>
    <t>B20346</t>
  </si>
  <si>
    <t>B20659</t>
  </si>
  <si>
    <t>s10047</t>
  </si>
  <si>
    <t>B20660</t>
  </si>
  <si>
    <t>D00096</t>
  </si>
  <si>
    <t>D00109</t>
  </si>
  <si>
    <t>D00114</t>
  </si>
  <si>
    <t>B20620</t>
  </si>
  <si>
    <t>B20353</t>
  </si>
  <si>
    <t>B20622</t>
  </si>
  <si>
    <t>B20667</t>
  </si>
  <si>
    <t>B20371</t>
  </si>
  <si>
    <t>B20374</t>
  </si>
  <si>
    <t>S10002</t>
  </si>
  <si>
    <t>B20379</t>
  </si>
  <si>
    <t>B20402</t>
  </si>
  <si>
    <t>B20403</t>
  </si>
  <si>
    <t>H00108</t>
  </si>
  <si>
    <t>B20409</t>
  </si>
  <si>
    <t>D10124</t>
  </si>
  <si>
    <t>A90028</t>
  </si>
  <si>
    <t>B20450</t>
  </si>
  <si>
    <t>S10373</t>
  </si>
  <si>
    <t>B20451</t>
  </si>
  <si>
    <t>D42121</t>
  </si>
  <si>
    <t>B20454</t>
  </si>
  <si>
    <t>B20633</t>
  </si>
  <si>
    <t>F10002</t>
  </si>
  <si>
    <t>B20639</t>
  </si>
  <si>
    <t>B20455</t>
  </si>
  <si>
    <t>B20792</t>
  </si>
  <si>
    <t>h10008</t>
  </si>
  <si>
    <t>s10024</t>
  </si>
  <si>
    <t>S10046</t>
  </si>
  <si>
    <t>S10124</t>
  </si>
  <si>
    <t>S10135</t>
  </si>
  <si>
    <t>S10641</t>
  </si>
  <si>
    <t>s10189</t>
  </si>
  <si>
    <t>S10751</t>
  </si>
  <si>
    <t>S10216</t>
  </si>
  <si>
    <t>A20049</t>
  </si>
  <si>
    <t>S10251</t>
  </si>
  <si>
    <t>B20573</t>
  </si>
  <si>
    <t>S10265</t>
  </si>
  <si>
    <t>B20615</t>
  </si>
  <si>
    <t>S10295</t>
  </si>
  <si>
    <t>s10033</t>
  </si>
  <si>
    <t>S10328</t>
  </si>
  <si>
    <t>S10267</t>
  </si>
  <si>
    <t>S10375</t>
  </si>
  <si>
    <t>S10051</t>
  </si>
  <si>
    <t>B20508</t>
  </si>
  <si>
    <t>S10482</t>
  </si>
  <si>
    <t>B20521</t>
  </si>
  <si>
    <t>D10123</t>
  </si>
  <si>
    <t>B20523</t>
  </si>
  <si>
    <t>S10465</t>
  </si>
  <si>
    <t>B20718</t>
  </si>
  <si>
    <t>B20524</t>
  </si>
  <si>
    <t>s10514</t>
  </si>
  <si>
    <t>D00106</t>
  </si>
  <si>
    <t>B20543</t>
  </si>
  <si>
    <t>S10518</t>
  </si>
  <si>
    <t>S10681</t>
  </si>
  <si>
    <t>S10521</t>
  </si>
  <si>
    <t>S10054</t>
  </si>
  <si>
    <t>B20546</t>
  </si>
  <si>
    <t>S10563</t>
  </si>
  <si>
    <t>H10009</t>
  </si>
  <si>
    <t>S10564</t>
  </si>
  <si>
    <t>H00097</t>
  </si>
  <si>
    <t>B20550</t>
  </si>
  <si>
    <t>s10568</t>
  </si>
  <si>
    <t>B20551</t>
  </si>
  <si>
    <t>S10629</t>
  </si>
  <si>
    <t>B20805</t>
  </si>
  <si>
    <t>S10638</t>
  </si>
  <si>
    <t>B20692</t>
  </si>
  <si>
    <t>S10839</t>
  </si>
  <si>
    <t>B20555</t>
  </si>
  <si>
    <t>s10642</t>
  </si>
  <si>
    <t>B20707</t>
  </si>
  <si>
    <t>B20557</t>
  </si>
  <si>
    <t>S10656</t>
  </si>
  <si>
    <t>S10670</t>
  </si>
  <si>
    <t>S10417</t>
  </si>
  <si>
    <t>B20558</t>
  </si>
  <si>
    <t>S10701</t>
  </si>
  <si>
    <t>B20559</t>
  </si>
  <si>
    <t>S10702</t>
  </si>
  <si>
    <t>S10710</t>
  </si>
  <si>
    <t>S10750</t>
  </si>
  <si>
    <t>B20560</t>
  </si>
  <si>
    <t>s10711</t>
  </si>
  <si>
    <t>S10282</t>
  </si>
  <si>
    <t>S10715</t>
  </si>
  <si>
    <t>A10036</t>
  </si>
  <si>
    <t>S10724</t>
  </si>
  <si>
    <t>S10003</t>
  </si>
  <si>
    <t>B20561</t>
  </si>
  <si>
    <t>S10738</t>
  </si>
  <si>
    <t>A10004</t>
  </si>
  <si>
    <t>B20562</t>
  </si>
  <si>
    <t>S10747</t>
  </si>
  <si>
    <t>S10748</t>
  </si>
  <si>
    <t>B20564</t>
  </si>
  <si>
    <t>S10754</t>
  </si>
  <si>
    <t>B20565</t>
  </si>
  <si>
    <t>S10769</t>
  </si>
  <si>
    <t>B20071</t>
  </si>
  <si>
    <t>S10860</t>
  </si>
  <si>
    <t>S10866</t>
  </si>
  <si>
    <t>H20015</t>
  </si>
  <si>
    <t>S10870</t>
  </si>
  <si>
    <t>B20568</t>
  </si>
  <si>
    <t>S10871</t>
  </si>
  <si>
    <t>B20711</t>
  </si>
  <si>
    <t>B20569</t>
  </si>
  <si>
    <t>S10877</t>
  </si>
  <si>
    <t>B20804</t>
  </si>
  <si>
    <t>S20660</t>
  </si>
  <si>
    <t>B20665</t>
  </si>
  <si>
    <t>S20661</t>
  </si>
  <si>
    <t>S10680</t>
  </si>
  <si>
    <t>S20662</t>
  </si>
  <si>
    <t>A90002</t>
  </si>
  <si>
    <t>H00107</t>
  </si>
  <si>
    <t>C22001</t>
  </si>
  <si>
    <t>B20683</t>
  </si>
  <si>
    <t>B20721</t>
  </si>
  <si>
    <t>B20722</t>
  </si>
  <si>
    <t>S10637</t>
  </si>
  <si>
    <t>A10012</t>
  </si>
  <si>
    <t>B20581</t>
  </si>
  <si>
    <t>S10677</t>
  </si>
  <si>
    <t>S10840</t>
  </si>
  <si>
    <t>S10368</t>
  </si>
  <si>
    <t>H00110</t>
  </si>
  <si>
    <t>B20587</t>
  </si>
  <si>
    <t>B20748</t>
  </si>
  <si>
    <t>B20688</t>
  </si>
  <si>
    <t>B20590</t>
  </si>
  <si>
    <t>B20591</t>
  </si>
  <si>
    <t>B20592</t>
  </si>
  <si>
    <t>B20641</t>
  </si>
  <si>
    <t>B20626</t>
  </si>
  <si>
    <t>B20594</t>
  </si>
  <si>
    <t>B20715</t>
  </si>
  <si>
    <t>B20595</t>
  </si>
  <si>
    <t>B20616</t>
  </si>
  <si>
    <t>B20599</t>
  </si>
  <si>
    <t>S10423</t>
  </si>
  <si>
    <t>B20800</t>
  </si>
  <si>
    <t>B20601</t>
  </si>
  <si>
    <t>s10111</t>
  </si>
  <si>
    <t>S10546</t>
  </si>
  <si>
    <t>B20602</t>
  </si>
  <si>
    <t>S10880</t>
  </si>
  <si>
    <t>B20603</t>
  </si>
  <si>
    <t>B20631</t>
  </si>
  <si>
    <t>B20605</t>
  </si>
  <si>
    <t>B20606</t>
  </si>
  <si>
    <t>B20608</t>
  </si>
  <si>
    <t>H00098</t>
  </si>
  <si>
    <t>B20458</t>
  </si>
  <si>
    <t>B20712</t>
  </si>
  <si>
    <t>S10881</t>
  </si>
  <si>
    <t>B20609</t>
  </si>
  <si>
    <t>S10823</t>
  </si>
  <si>
    <t>H00109</t>
  </si>
  <si>
    <t>S10882</t>
  </si>
  <si>
    <t>A10031</t>
  </si>
  <si>
    <t>S10837</t>
  </si>
  <si>
    <t>D10128</t>
  </si>
  <si>
    <t>B20740</t>
  </si>
  <si>
    <t>S10170</t>
  </si>
  <si>
    <t>S10053</t>
  </si>
  <si>
    <t>S10694</t>
  </si>
  <si>
    <t>A10062</t>
  </si>
  <si>
    <t>A20018</t>
  </si>
  <si>
    <t>B20674</t>
  </si>
  <si>
    <t>B20774</t>
  </si>
  <si>
    <t>D42119</t>
  </si>
  <si>
    <t>B20732</t>
  </si>
  <si>
    <t>S10004</t>
  </si>
  <si>
    <t>B20623</t>
  </si>
  <si>
    <t>S20671</t>
  </si>
  <si>
    <t>B20775</t>
  </si>
  <si>
    <t>B20708</t>
  </si>
  <si>
    <t>B20627</t>
  </si>
  <si>
    <t>A90036</t>
  </si>
  <si>
    <t>s10715</t>
  </si>
  <si>
    <t>S10821</t>
  </si>
  <si>
    <t>S10792</t>
  </si>
  <si>
    <t>H10011</t>
  </si>
  <si>
    <t>H10010</t>
  </si>
  <si>
    <t>B20818</t>
  </si>
  <si>
    <t>B20670</t>
  </si>
  <si>
    <t>B20647</t>
  </si>
  <si>
    <t>B20671</t>
  </si>
  <si>
    <t>B20648</t>
  </si>
  <si>
    <t>B20649</t>
  </si>
  <si>
    <t>B20651</t>
  </si>
  <si>
    <t>B20655</t>
  </si>
  <si>
    <t>B20750</t>
  </si>
  <si>
    <t>B20658</t>
  </si>
  <si>
    <t>s10327</t>
  </si>
  <si>
    <t>B20330</t>
  </si>
  <si>
    <t>B20662</t>
  </si>
  <si>
    <t>B20782</t>
  </si>
  <si>
    <t>H20018</t>
  </si>
  <si>
    <t>S10838</t>
  </si>
  <si>
    <t>B20666</t>
  </si>
  <si>
    <t>B20751</t>
  </si>
  <si>
    <t>B20607</t>
  </si>
  <si>
    <t>H00093</t>
  </si>
  <si>
    <t>S10570</t>
  </si>
  <si>
    <t>B20672</t>
  </si>
  <si>
    <t>B20673</t>
  </si>
  <si>
    <t>B20214</t>
  </si>
  <si>
    <t>B20675</t>
  </si>
  <si>
    <t>B20579</t>
  </si>
  <si>
    <t>B20676</t>
  </si>
  <si>
    <t>B20588</t>
  </si>
  <si>
    <t>B20677</t>
  </si>
  <si>
    <t>S10673</t>
  </si>
  <si>
    <t>S10772</t>
  </si>
  <si>
    <t>B20678</t>
  </si>
  <si>
    <t>B20652</t>
  </si>
  <si>
    <t>S10722</t>
  </si>
  <si>
    <t>B20680</t>
  </si>
  <si>
    <t>A10060</t>
  </si>
  <si>
    <t>A90029</t>
  </si>
  <si>
    <t>B20681</t>
  </si>
  <si>
    <t>B20628</t>
  </si>
  <si>
    <t>B20682</t>
  </si>
  <si>
    <t>B20815</t>
  </si>
  <si>
    <t>H00027</t>
  </si>
  <si>
    <t>B20684</t>
  </si>
  <si>
    <t>B20825</t>
  </si>
  <si>
    <t>B20686</t>
  </si>
  <si>
    <t>B20834</t>
  </si>
  <si>
    <t>CU6001</t>
  </si>
  <si>
    <t>S10544</t>
  </si>
  <si>
    <t>s10766</t>
  </si>
  <si>
    <t>S10615</t>
  </si>
  <si>
    <t>S10756</t>
  </si>
  <si>
    <t>B20083</t>
  </si>
  <si>
    <t>B20799</t>
  </si>
  <si>
    <t>B20518</t>
  </si>
  <si>
    <t>B20248</t>
  </si>
  <si>
    <t>S10519</t>
  </si>
  <si>
    <t>S10011</t>
  </si>
  <si>
    <t>B20695</t>
  </si>
  <si>
    <t>B20696</t>
  </si>
  <si>
    <t>B20697</t>
  </si>
  <si>
    <t>B20254</t>
  </si>
  <si>
    <t>B20698</t>
  </si>
  <si>
    <t>B20512</t>
  </si>
  <si>
    <t>B20699</t>
  </si>
  <si>
    <t>B20700</t>
  </si>
  <si>
    <t>B20701</t>
  </si>
  <si>
    <t>B20781</t>
  </si>
  <si>
    <t>B20702</t>
  </si>
  <si>
    <t>B20703</t>
  </si>
  <si>
    <t>B20704</t>
  </si>
  <si>
    <t>B20778</t>
  </si>
  <si>
    <t>B20706</t>
  </si>
  <si>
    <t>H00094</t>
  </si>
  <si>
    <t>A10028</t>
  </si>
  <si>
    <t>B20709</t>
  </si>
  <si>
    <t>H20003</t>
  </si>
  <si>
    <t>B20816</t>
  </si>
  <si>
    <t>A90005</t>
  </si>
  <si>
    <t>B20713</t>
  </si>
  <si>
    <t>B20768</t>
  </si>
  <si>
    <t>B20714</t>
  </si>
  <si>
    <t>A04001</t>
  </si>
  <si>
    <t>B20186</t>
  </si>
  <si>
    <t>B20644</t>
  </si>
  <si>
    <t>B20803</t>
  </si>
  <si>
    <t>B20719</t>
  </si>
  <si>
    <t>S10447</t>
  </si>
  <si>
    <t>B20215</t>
  </si>
  <si>
    <t>B20720</t>
  </si>
  <si>
    <t>B20511</t>
  </si>
  <si>
    <t>D00100</t>
  </si>
  <si>
    <t>B20727</t>
  </si>
  <si>
    <t>B20814</t>
  </si>
  <si>
    <t>B20728</t>
  </si>
  <si>
    <t>B20729</t>
  </si>
  <si>
    <t>B20730</t>
  </si>
  <si>
    <t>S10868</t>
  </si>
  <si>
    <t>S10452</t>
  </si>
  <si>
    <t>S10631</t>
  </si>
  <si>
    <t>B20817</t>
  </si>
  <si>
    <t>B20736</t>
  </si>
  <si>
    <t>B20216</t>
  </si>
  <si>
    <t>B20737</t>
  </si>
  <si>
    <t>B20813</t>
  </si>
  <si>
    <t>B20738</t>
  </si>
  <si>
    <t>B20753</t>
  </si>
  <si>
    <t>B20739</t>
  </si>
  <si>
    <t>A10058</t>
  </si>
  <si>
    <t>B20742</t>
  </si>
  <si>
    <t>A10067</t>
  </si>
  <si>
    <t>A20010</t>
  </si>
  <si>
    <t>B20744</t>
  </si>
  <si>
    <t>B20527</t>
  </si>
  <si>
    <t>B20745</t>
  </si>
  <si>
    <t>B20746</t>
  </si>
  <si>
    <t>B20231</t>
  </si>
  <si>
    <t>B20747</t>
  </si>
  <si>
    <t>B20654</t>
  </si>
  <si>
    <t>B20749</t>
  </si>
  <si>
    <t>CI2100</t>
  </si>
  <si>
    <t>B20629</t>
  </si>
  <si>
    <t>B20773</t>
  </si>
  <si>
    <t>S10658</t>
  </si>
  <si>
    <t>B20752</t>
  </si>
  <si>
    <t>S10704</t>
  </si>
  <si>
    <t>B20754</t>
  </si>
  <si>
    <t>B20755</t>
  </si>
  <si>
    <t>B20756</t>
  </si>
  <si>
    <t>S10800</t>
  </si>
  <si>
    <t>B20757</t>
  </si>
  <si>
    <t>S10541</t>
  </si>
  <si>
    <t>B20758</t>
  </si>
  <si>
    <t>B20826</t>
  </si>
  <si>
    <t>B20759</t>
  </si>
  <si>
    <t>B20760</t>
  </si>
  <si>
    <t>B20761</t>
  </si>
  <si>
    <t>S10796</t>
  </si>
  <si>
    <t>B20762</t>
  </si>
  <si>
    <t>B20763</t>
  </si>
  <si>
    <t>S10608</t>
  </si>
  <si>
    <t>B20764</t>
  </si>
  <si>
    <t>B20787</t>
  </si>
  <si>
    <t>B20772</t>
  </si>
  <si>
    <t>B20767</t>
  </si>
  <si>
    <t>B20776</t>
  </si>
  <si>
    <t>S10490</t>
  </si>
  <si>
    <t>B20547</t>
  </si>
  <si>
    <t>B20779</t>
  </si>
  <si>
    <t>B20769</t>
  </si>
  <si>
    <t>B20824</t>
  </si>
  <si>
    <t>B20770</t>
  </si>
  <si>
    <t>S10145</t>
  </si>
  <si>
    <t>B20771</t>
  </si>
  <si>
    <t>A10059</t>
  </si>
  <si>
    <t>A90031</t>
  </si>
  <si>
    <t>B20204</t>
  </si>
  <si>
    <t>B20777</t>
  </si>
  <si>
    <t>S10061</t>
  </si>
  <si>
    <t>S10657</t>
  </si>
  <si>
    <t>B20780</t>
  </si>
  <si>
    <t>B20783</t>
  </si>
  <si>
    <t>s10851</t>
  </si>
  <si>
    <t>S10020</t>
  </si>
  <si>
    <t>S10520</t>
  </si>
  <si>
    <t>B20784</t>
  </si>
  <si>
    <t>S10064</t>
  </si>
  <si>
    <t>B20785</t>
  </si>
  <si>
    <t>B20786</t>
  </si>
  <si>
    <t>A20032</t>
  </si>
  <si>
    <t>B20788</t>
  </si>
  <si>
    <t>B20580</t>
  </si>
  <si>
    <t>B20789</t>
  </si>
  <si>
    <t>B20790</t>
  </si>
  <si>
    <t>B20791</t>
  </si>
  <si>
    <t>S20663</t>
  </si>
  <si>
    <t>B20794</t>
  </si>
  <si>
    <t>B20795</t>
  </si>
  <si>
    <t>A90030</t>
  </si>
  <si>
    <t>B20796</t>
  </si>
  <si>
    <t>S10542</t>
  </si>
  <si>
    <t>B20322</t>
  </si>
  <si>
    <t>B20798</t>
  </si>
  <si>
    <t>S10628</t>
  </si>
  <si>
    <t>B20801</t>
  </si>
  <si>
    <t>B20802</t>
  </si>
  <si>
    <t>S10043</t>
  </si>
  <si>
    <t>B20819</t>
  </si>
  <si>
    <t>B20806</t>
  </si>
  <si>
    <t>B20821</t>
  </si>
  <si>
    <t>B20807</t>
  </si>
  <si>
    <t>H20004</t>
  </si>
  <si>
    <t>B20808</t>
  </si>
  <si>
    <t>B20809</t>
  </si>
  <si>
    <t>A10081</t>
  </si>
  <si>
    <t>B20810</t>
  </si>
  <si>
    <t>B20812</t>
  </si>
  <si>
    <t>S10804</t>
  </si>
  <si>
    <t>s10879</t>
  </si>
  <si>
    <t>S10612</t>
  </si>
  <si>
    <t>B20583</t>
  </si>
  <si>
    <t>B20820</t>
  </si>
  <si>
    <t>S10498</t>
  </si>
  <si>
    <t>S10296</t>
  </si>
  <si>
    <t>B20822</t>
  </si>
  <si>
    <t>B20823</t>
  </si>
  <si>
    <t>B20827</t>
  </si>
  <si>
    <t>B20289</t>
  </si>
  <si>
    <t>B20828</t>
  </si>
  <si>
    <t>B20833</t>
  </si>
  <si>
    <t>B20668</t>
  </si>
  <si>
    <t>B20669</t>
  </si>
  <si>
    <t>B20526</t>
  </si>
  <si>
    <t>S10849</t>
  </si>
  <si>
    <t>S10811</t>
  </si>
  <si>
    <t>S10625</t>
  </si>
  <si>
    <t>B20517</t>
  </si>
  <si>
    <t>S10873</t>
  </si>
  <si>
    <t>s10109</t>
  </si>
  <si>
    <t>S10672</t>
  </si>
  <si>
    <t>s10609</t>
  </si>
  <si>
    <t>S10745</t>
  </si>
  <si>
    <t>B20285</t>
  </si>
  <si>
    <t>S20664</t>
  </si>
  <si>
    <t>S10746</t>
  </si>
  <si>
    <t>S10712</t>
  </si>
  <si>
    <t>A20048</t>
  </si>
  <si>
    <t>S10872</t>
  </si>
  <si>
    <t>S10500</t>
  </si>
  <si>
    <t>S10377</t>
  </si>
  <si>
    <t>S10650</t>
  </si>
  <si>
    <t>S10875</t>
  </si>
  <si>
    <t>B20324</t>
  </si>
  <si>
    <t>S10793</t>
  </si>
  <si>
    <t>S10817</t>
  </si>
  <si>
    <t>S10613</t>
  </si>
  <si>
    <t>S10675</t>
  </si>
  <si>
    <t>S10648</t>
  </si>
  <si>
    <t>S10828</t>
  </si>
  <si>
    <t>A10023</t>
  </si>
  <si>
    <t>A10048</t>
  </si>
  <si>
    <t>S10799</t>
  </si>
  <si>
    <t>B20520</t>
  </si>
  <si>
    <t>H00103</t>
  </si>
  <si>
    <t>s10878</t>
  </si>
  <si>
    <t>B20128</t>
  </si>
  <si>
    <t>B20663</t>
  </si>
  <si>
    <t>H10012</t>
  </si>
  <si>
    <t>S10856</t>
  </si>
  <si>
    <t>H20019</t>
  </si>
  <si>
    <t>H20020</t>
  </si>
  <si>
    <t>H20021</t>
  </si>
  <si>
    <t>S10298</t>
  </si>
  <si>
    <t>H20022</t>
  </si>
  <si>
    <t>S10497</t>
  </si>
  <si>
    <t>H20023</t>
  </si>
  <si>
    <t>B20306</t>
  </si>
  <si>
    <t>H20024</t>
  </si>
  <si>
    <t>NEW_ITEM</t>
  </si>
  <si>
    <t>S10523</t>
  </si>
  <si>
    <t>B20528</t>
  </si>
  <si>
    <t>S10559</t>
  </si>
  <si>
    <t>B20401</t>
  </si>
  <si>
    <t>S10699</t>
  </si>
  <si>
    <t>S10443</t>
  </si>
  <si>
    <t>A20040</t>
  </si>
  <si>
    <t>A10017</t>
  </si>
  <si>
    <t>A10041</t>
  </si>
  <si>
    <t>S10858</t>
  </si>
  <si>
    <t>B20515</t>
  </si>
  <si>
    <t>S20665</t>
  </si>
  <si>
    <t>S10647</t>
  </si>
  <si>
    <t>S10105</t>
  </si>
  <si>
    <t>s10710</t>
  </si>
  <si>
    <t>S10553</t>
  </si>
  <si>
    <t>B20542</t>
  </si>
  <si>
    <t>S10846</t>
  </si>
  <si>
    <t>S10599</t>
  </si>
  <si>
    <t>S10758</t>
  </si>
  <si>
    <t>S10850</t>
  </si>
  <si>
    <t>S10356</t>
  </si>
  <si>
    <t>S10755</t>
  </si>
  <si>
    <t>S10697</t>
  </si>
  <si>
    <t>S10477</t>
  </si>
  <si>
    <t>B20531</t>
  </si>
  <si>
    <t>S10499</t>
  </si>
  <si>
    <t>B20485</t>
  </si>
  <si>
    <t>B20533</t>
  </si>
  <si>
    <t>S10834</t>
  </si>
  <si>
    <t>S10779</t>
  </si>
  <si>
    <t>B20217</t>
  </si>
  <si>
    <t>s10869</t>
  </si>
  <si>
    <t>S10149</t>
  </si>
  <si>
    <t>S10543</t>
  </si>
  <si>
    <t>h10005</t>
  </si>
  <si>
    <t>B20505</t>
  </si>
  <si>
    <t>S10696</t>
  </si>
  <si>
    <t>S10554</t>
  </si>
  <si>
    <t>S10260</t>
  </si>
  <si>
    <t>S10517</t>
  </si>
  <si>
    <t>B20310</t>
  </si>
  <si>
    <t>S10595</t>
  </si>
  <si>
    <t>S10785</t>
  </si>
  <si>
    <t>S10596</t>
  </si>
  <si>
    <t>s10857</t>
  </si>
  <si>
    <t>S10614</t>
  </si>
  <si>
    <t>S20668</t>
  </si>
  <si>
    <t>A10032</t>
  </si>
  <si>
    <t>s10643</t>
  </si>
  <si>
    <t>S10627</t>
  </si>
  <si>
    <t>S10867</t>
  </si>
  <si>
    <t>S10649</t>
  </si>
  <si>
    <t>A90034</t>
  </si>
  <si>
    <t>A20041</t>
  </si>
  <si>
    <t>B20078</t>
  </si>
  <si>
    <t>B20266</t>
  </si>
  <si>
    <t>B20584</t>
  </si>
  <si>
    <t>S10318</t>
  </si>
  <si>
    <t>S10716</t>
  </si>
  <si>
    <t>B20664</t>
  </si>
  <si>
    <t>S10663</t>
  </si>
  <si>
    <t>S10749</t>
  </si>
  <si>
    <t>B20452</t>
  </si>
  <si>
    <t>S10874</t>
  </si>
  <si>
    <t>S10381</t>
  </si>
  <si>
    <t>B20132</t>
  </si>
  <si>
    <t>B20130</t>
  </si>
  <si>
    <t>S10706</t>
  </si>
  <si>
    <t>S10757</t>
  </si>
  <si>
    <t>S10786</t>
  </si>
  <si>
    <t>S10666</t>
  </si>
  <si>
    <t>S10798</t>
  </si>
  <si>
    <t>h10007</t>
  </si>
  <si>
    <t>S10794</t>
  </si>
  <si>
    <t>S10795</t>
  </si>
  <si>
    <t>B20538</t>
  </si>
  <si>
    <t>S10139</t>
  </si>
  <si>
    <t>S10810</t>
  </si>
  <si>
    <t>B20342</t>
  </si>
  <si>
    <t>S10270</t>
  </si>
  <si>
    <t>B20539</t>
  </si>
  <si>
    <t>S10836</t>
  </si>
  <si>
    <t>s10859</t>
  </si>
  <si>
    <t>B20642</t>
  </si>
  <si>
    <t>S10437</t>
  </si>
  <si>
    <t>S10317</t>
  </si>
  <si>
    <t>S10025</t>
  </si>
  <si>
    <t>S10816</t>
  </si>
  <si>
    <t>B20244</t>
  </si>
  <si>
    <t>S10897</t>
  </si>
  <si>
    <t>B20245</t>
  </si>
  <si>
    <t>S10898</t>
  </si>
  <si>
    <t>S10309</t>
  </si>
  <si>
    <t>S20670</t>
  </si>
  <si>
    <t>S20666</t>
  </si>
  <si>
    <t>S20667</t>
  </si>
  <si>
    <t>s10654</t>
  </si>
  <si>
    <t>B20610</t>
  </si>
  <si>
    <t>B20333</t>
  </si>
  <si>
    <t>A10073</t>
  </si>
  <si>
    <t>s10689</t>
  </si>
  <si>
    <t>h10004</t>
  </si>
  <si>
    <t>h10006</t>
  </si>
  <si>
    <t>S10653</t>
  </si>
  <si>
    <t>S10319</t>
  </si>
  <si>
    <t>S10320</t>
  </si>
  <si>
    <t>A90016</t>
  </si>
  <si>
    <t>H20009</t>
  </si>
  <si>
    <t>H20010</t>
  </si>
  <si>
    <t>CK2027</t>
  </si>
  <si>
    <t>S10819</t>
  </si>
  <si>
    <t>H20001</t>
  </si>
  <si>
    <t>S10714</t>
  </si>
  <si>
    <t>S10709</t>
  </si>
  <si>
    <t>S10703</t>
  </si>
  <si>
    <t>S10717</t>
  </si>
  <si>
    <t>S10225</t>
  </si>
  <si>
    <t>S10264</t>
  </si>
  <si>
    <t>s10096</t>
  </si>
  <si>
    <t>S10737</t>
  </si>
  <si>
    <t>S10818</t>
  </si>
  <si>
    <t>B20252</t>
  </si>
  <si>
    <t>S10668</t>
  </si>
  <si>
    <t>S10802</t>
  </si>
  <si>
    <t>S10809</t>
  </si>
  <si>
    <t>S10626</t>
  </si>
  <si>
    <t>S20669</t>
  </si>
  <si>
    <t>S10775</t>
  </si>
  <si>
    <t>B20315</t>
  </si>
  <si>
    <t>B20541</t>
  </si>
  <si>
    <t>S10632</t>
  </si>
  <si>
    <t>B20575</t>
  </si>
  <si>
    <t>B20576</t>
  </si>
  <si>
    <t>B20598</t>
  </si>
  <si>
    <t>B20611</t>
  </si>
  <si>
    <t>B20612</t>
  </si>
  <si>
    <t>B20540</t>
  </si>
  <si>
    <t>S10688</t>
  </si>
  <si>
    <t>B20364</t>
  </si>
  <si>
    <t>B20522</t>
  </si>
  <si>
    <t>B20544</t>
  </si>
  <si>
    <t>S10690</t>
  </si>
  <si>
    <t>S10861</t>
  </si>
  <si>
    <t>B20661</t>
  </si>
  <si>
    <t>S10679</t>
  </si>
  <si>
    <t>S10759</t>
  </si>
  <si>
    <t>S10854</t>
  </si>
  <si>
    <t>S10797</t>
  </si>
  <si>
    <t>B20349</t>
  </si>
  <si>
    <t>B20112</t>
  </si>
  <si>
    <t>B20113</t>
  </si>
  <si>
    <t>s10705</t>
  </si>
  <si>
    <t>B20679</t>
  </si>
  <si>
    <t>S10723</t>
  </si>
  <si>
    <t>S10803</t>
  </si>
  <si>
    <t>S10290</t>
  </si>
  <si>
    <t>S10791</t>
  </si>
  <si>
    <t>S10718</t>
  </si>
  <si>
    <t>S10693</t>
  </si>
  <si>
    <t>S10695</t>
  </si>
  <si>
    <t>S10805</t>
  </si>
  <si>
    <t>S10855</t>
  </si>
  <si>
    <t>H20016</t>
  </si>
  <si>
    <t>S10801</t>
  </si>
  <si>
    <t>S10713</t>
  </si>
  <si>
    <t>S20672</t>
  </si>
  <si>
    <t>B20534</t>
  </si>
  <si>
    <t>A90037</t>
  </si>
  <si>
    <t>B20209</t>
  </si>
  <si>
    <t>S10761</t>
  </si>
  <si>
    <t>B20361</t>
  </si>
  <si>
    <t>S10776</t>
  </si>
  <si>
    <t>A10064</t>
  </si>
  <si>
    <t>B20502</t>
  </si>
  <si>
    <t>s10140</t>
  </si>
  <si>
    <t>H00104</t>
  </si>
  <si>
    <t>s10863</t>
  </si>
  <si>
    <t>s10864</t>
  </si>
  <si>
    <t>s10865</t>
  </si>
  <si>
    <t>S10773</t>
  </si>
  <si>
    <t>s10862</t>
  </si>
  <si>
    <t>A90017</t>
  </si>
  <si>
    <t>s10160</t>
  </si>
  <si>
    <t>S10768</t>
  </si>
  <si>
    <t>S10667</t>
  </si>
  <si>
    <t>S10762</t>
  </si>
  <si>
    <t>s10885</t>
  </si>
  <si>
    <t>S10516</t>
  </si>
  <si>
    <t>S10174</t>
  </si>
  <si>
    <t>S10721</t>
  </si>
  <si>
    <t>S10806</t>
  </si>
  <si>
    <t>S10424</t>
  </si>
  <si>
    <t>S10384</t>
  </si>
  <si>
    <t>S10655</t>
  </si>
  <si>
    <t>S10725</t>
  </si>
  <si>
    <t>S10765</t>
  </si>
  <si>
    <t>S10379</t>
  </si>
  <si>
    <t>S10687</t>
  </si>
  <si>
    <t>S10651</t>
  </si>
  <si>
    <t>S10719</t>
  </si>
  <si>
    <t>S10720</t>
  </si>
  <si>
    <t>S10676</t>
  </si>
  <si>
    <t>A10083</t>
  </si>
  <si>
    <t>S10764</t>
  </si>
  <si>
    <t>s10333</t>
  </si>
  <si>
    <t>S10808</t>
  </si>
  <si>
    <t>B20525</t>
  </si>
  <si>
    <t>S10784</t>
  </si>
  <si>
    <t>S10743</t>
  </si>
  <si>
    <t>S10186</t>
  </si>
  <si>
    <t>S10763</t>
  </si>
  <si>
    <t>S10664</t>
  </si>
  <si>
    <t>S10732</t>
  </si>
  <si>
    <t>S10778</t>
  </si>
  <si>
    <t>S10777</t>
  </si>
  <si>
    <t>S10744</t>
  </si>
  <si>
    <t>S10659</t>
  </si>
  <si>
    <t>S10790</t>
  </si>
  <si>
    <t>A10074</t>
  </si>
  <si>
    <t>S10726</t>
  </si>
  <si>
    <t>A10090</t>
  </si>
  <si>
    <t>S10735</t>
  </si>
  <si>
    <t>S10729</t>
  </si>
  <si>
    <t>S10730</t>
  </si>
  <si>
    <t>S10731</t>
  </si>
  <si>
    <t>S10733</t>
  </si>
  <si>
    <t>S10660</t>
  </si>
  <si>
    <t>B20536</t>
  </si>
  <si>
    <t>B20535</t>
  </si>
  <si>
    <t>S10661</t>
  </si>
  <si>
    <t>S10727</t>
  </si>
  <si>
    <t>S10728</t>
  </si>
  <si>
    <t>S10736</t>
  </si>
  <si>
    <t>S10734</t>
  </si>
  <si>
    <t>S10662</t>
  </si>
  <si>
    <t>Check số PO đã làm theo nhân viên</t>
  </si>
  <si>
    <t>PR_Pending</t>
  </si>
  <si>
    <t>X</t>
  </si>
  <si>
    <t>Y</t>
  </si>
  <si>
    <t>Z</t>
  </si>
  <si>
    <t>Dự đoán tổng PR 6 tháng tới</t>
  </si>
  <si>
    <t>VALUE</t>
  </si>
  <si>
    <t>AX</t>
  </si>
  <si>
    <t>AY</t>
  </si>
  <si>
    <t>AZ</t>
  </si>
  <si>
    <t>B</t>
  </si>
  <si>
    <t>BX</t>
  </si>
  <si>
    <t>BY</t>
  </si>
  <si>
    <t>BZ</t>
  </si>
  <si>
    <t>Người làm PO</t>
  </si>
  <si>
    <t>C</t>
  </si>
  <si>
    <t>CX</t>
  </si>
  <si>
    <t>CY</t>
  </si>
  <si>
    <t>CZ</t>
  </si>
  <si>
    <t>DO TRUC LAM</t>
  </si>
  <si>
    <t>DO MAI HA</t>
  </si>
  <si>
    <t>BUI NHU BAO</t>
  </si>
  <si>
    <t>DO MINH AN</t>
  </si>
  <si>
    <t>BUI BICH HAI</t>
  </si>
  <si>
    <t>TRAN BICH HANG</t>
  </si>
  <si>
    <t>DO NGOC HA</t>
  </si>
  <si>
    <t>Procurement</t>
  </si>
  <si>
    <t>Total PR</t>
  </si>
  <si>
    <t>Người làm PR</t>
  </si>
  <si>
    <t>FORECASTABILITY</t>
  </si>
  <si>
    <t>PO_Pending</t>
  </si>
  <si>
    <t>Nhân viên thu mua</t>
  </si>
  <si>
    <t>Của nhân viên tạo PR</t>
  </si>
  <si>
    <t>Của nhân viên khác</t>
  </si>
  <si>
    <t>HƯỚNG DẪN</t>
  </si>
  <si>
    <t>Cách chạy và xem REPORT</t>
  </si>
  <si>
    <r>
      <t>+ Click chọn sheet "</t>
    </r>
    <r>
      <rPr>
        <b/>
        <sz val="11"/>
        <color theme="1"/>
        <rFont val="Calibri"/>
        <family val="2"/>
        <scheme val="minor"/>
      </rPr>
      <t>Phòng mua hàng</t>
    </r>
    <r>
      <rPr>
        <sz val="11"/>
        <color theme="1"/>
        <rFont val="Calibri"/>
        <family val="2"/>
        <scheme val="minor"/>
      </rPr>
      <t>" hoặc click vào đường dẫn đến "</t>
    </r>
    <r>
      <rPr>
        <b/>
        <sz val="11"/>
        <color theme="1"/>
        <rFont val="Calibri"/>
        <family val="2"/>
        <scheme val="minor"/>
      </rPr>
      <t>Phòng mua hàng</t>
    </r>
    <r>
      <rPr>
        <sz val="11"/>
        <color theme="1"/>
        <rFont val="Calibri"/>
        <family val="2"/>
        <scheme val="minor"/>
      </rPr>
      <t>" ở mục "</t>
    </r>
    <r>
      <rPr>
        <b/>
        <sz val="11"/>
        <color theme="1"/>
        <rFont val="Calibri"/>
        <family val="2"/>
        <scheme val="minor"/>
      </rPr>
      <t>MỘT SỐ ĐƯỜNG DẪN</t>
    </r>
    <r>
      <rPr>
        <sz val="11"/>
        <color theme="1"/>
        <rFont val="Calibri"/>
        <family val="2"/>
        <scheme val="minor"/>
      </rPr>
      <t xml:space="preserve">" phía dưới để xem </t>
    </r>
    <r>
      <rPr>
        <b/>
        <sz val="11"/>
        <color theme="5"/>
        <rFont val="Calibri"/>
        <family val="2"/>
        <scheme val="minor"/>
      </rPr>
      <t>Dashboard Phòng mua hàng</t>
    </r>
    <r>
      <rPr>
        <sz val="11"/>
        <color theme="1"/>
        <rFont val="Calibri"/>
        <family val="2"/>
        <scheme val="minor"/>
      </rPr>
      <t xml:space="preserve">
+ </t>
    </r>
    <r>
      <rPr>
        <b/>
        <sz val="11"/>
        <color theme="5"/>
        <rFont val="Calibri"/>
        <family val="2"/>
        <scheme val="minor"/>
      </rPr>
      <t>Dashboard Phòng mua hàng</t>
    </r>
    <r>
      <rPr>
        <sz val="11"/>
        <color theme="1"/>
        <rFont val="Calibri"/>
        <family val="2"/>
        <scheme val="minor"/>
      </rPr>
      <t xml:space="preserve"> gồm </t>
    </r>
    <r>
      <rPr>
        <b/>
        <sz val="11"/>
        <color rgb="FF00B050"/>
        <rFont val="Calibri"/>
        <family val="2"/>
        <scheme val="minor"/>
      </rPr>
      <t>5 biểu đồ</t>
    </r>
    <r>
      <rPr>
        <sz val="11"/>
        <color theme="1"/>
        <rFont val="Calibri"/>
        <family val="2"/>
        <scheme val="minor"/>
      </rPr>
      <t xml:space="preserve"> (</t>
    </r>
    <r>
      <rPr>
        <i/>
        <sz val="11"/>
        <color theme="1"/>
        <rFont val="Calibri"/>
        <family val="2"/>
        <scheme val="minor"/>
      </rPr>
      <t>Total PR &amp; Total PO, PR Urgent &amp; PR Urgent Complete, PR Pending, PO Pending, PR-PO Average Processing Time</t>
    </r>
    <r>
      <rPr>
        <sz val="11"/>
        <color theme="1"/>
        <rFont val="Calibri"/>
        <family val="2"/>
        <scheme val="minor"/>
      </rPr>
      <t xml:space="preserve">) và </t>
    </r>
    <r>
      <rPr>
        <b/>
        <sz val="11"/>
        <color rgb="FF00B050"/>
        <rFont val="Calibri"/>
        <family val="2"/>
        <scheme val="minor"/>
      </rPr>
      <t>3 thông số</t>
    </r>
    <r>
      <rPr>
        <sz val="11"/>
        <color theme="1"/>
        <rFont val="Calibri"/>
        <family val="2"/>
        <scheme val="minor"/>
      </rPr>
      <t xml:space="preserve"> (</t>
    </r>
    <r>
      <rPr>
        <i/>
        <sz val="11"/>
        <color theme="1"/>
        <rFont val="Calibri"/>
        <family val="2"/>
        <scheme val="minor"/>
      </rPr>
      <t>Total PR, Total PO, Total PO Complete</t>
    </r>
    <r>
      <rPr>
        <sz val="11"/>
        <color theme="1"/>
        <rFont val="Calibri"/>
        <family val="2"/>
        <scheme val="minor"/>
      </rPr>
      <t>)
+ Click nút "</t>
    </r>
    <r>
      <rPr>
        <b/>
        <sz val="11"/>
        <color theme="1"/>
        <rFont val="Calibri"/>
        <family val="2"/>
        <scheme val="minor"/>
      </rPr>
      <t>Nhân viên mua hàng</t>
    </r>
    <r>
      <rPr>
        <sz val="11"/>
        <color theme="1"/>
        <rFont val="Calibri"/>
        <family val="2"/>
        <scheme val="minor"/>
      </rPr>
      <t>" nếu muốn chuyển sang</t>
    </r>
    <r>
      <rPr>
        <b/>
        <sz val="11"/>
        <color theme="4"/>
        <rFont val="Calibri"/>
        <family val="2"/>
        <scheme val="minor"/>
      </rPr>
      <t xml:space="preserve"> Dashboard Nhân viên mua hàng</t>
    </r>
    <r>
      <rPr>
        <sz val="11"/>
        <color theme="1"/>
        <rFont val="Calibri"/>
        <family val="2"/>
        <scheme val="minor"/>
      </rPr>
      <t xml:space="preserve">
+ </t>
    </r>
    <r>
      <rPr>
        <b/>
        <sz val="11"/>
        <color theme="4"/>
        <rFont val="Calibri"/>
        <family val="2"/>
        <scheme val="minor"/>
      </rPr>
      <t>Dashboard Nhân viên mua hàng</t>
    </r>
    <r>
      <rPr>
        <sz val="11"/>
        <color theme="1"/>
        <rFont val="Calibri"/>
        <family val="2"/>
        <scheme val="minor"/>
      </rPr>
      <t xml:space="preserve"> gồm </t>
    </r>
    <r>
      <rPr>
        <b/>
        <sz val="11"/>
        <color rgb="FF00B050"/>
        <rFont val="Calibri"/>
        <family val="2"/>
        <scheme val="minor"/>
      </rPr>
      <t>7 biểu đồ</t>
    </r>
    <r>
      <rPr>
        <sz val="11"/>
        <color theme="1"/>
        <rFont val="Calibri"/>
        <family val="2"/>
        <scheme val="minor"/>
      </rPr>
      <t xml:space="preserve"> (</t>
    </r>
    <r>
      <rPr>
        <i/>
        <sz val="11"/>
        <color theme="1"/>
        <rFont val="Calibri"/>
        <family val="2"/>
        <scheme val="minor"/>
      </rPr>
      <t>Total PR, PR Pending, PR-PO Average Processing Time, Total PO, PO Pending, PR Urgent, Sum PR &amp; PO</t>
    </r>
    <r>
      <rPr>
        <sz val="11"/>
        <color theme="1"/>
        <rFont val="Calibri"/>
        <family val="2"/>
        <scheme val="minor"/>
      </rPr>
      <t xml:space="preserve">)  và 3 nút bấm đến Dashboard của từng nhân viên nằm trong Top3
+ Từ </t>
    </r>
    <r>
      <rPr>
        <b/>
        <sz val="11"/>
        <color theme="4"/>
        <rFont val="Calibri"/>
        <family val="2"/>
        <scheme val="minor"/>
      </rPr>
      <t>Dashboard Nhân viên mua hàng</t>
    </r>
    <r>
      <rPr>
        <sz val="11"/>
        <color theme="1"/>
        <rFont val="Calibri"/>
        <family val="2"/>
        <scheme val="minor"/>
      </rPr>
      <t xml:space="preserve"> có thể click nút "</t>
    </r>
    <r>
      <rPr>
        <b/>
        <sz val="11"/>
        <color theme="1"/>
        <rFont val="Calibri"/>
        <family val="2"/>
        <scheme val="minor"/>
      </rPr>
      <t>Phòng mua hàng</t>
    </r>
    <r>
      <rPr>
        <sz val="11"/>
        <color theme="1"/>
        <rFont val="Calibri"/>
        <family val="2"/>
        <scheme val="minor"/>
      </rPr>
      <t xml:space="preserve">" để quay về </t>
    </r>
    <r>
      <rPr>
        <b/>
        <sz val="11"/>
        <color theme="5"/>
        <rFont val="Calibri"/>
        <family val="2"/>
        <scheme val="minor"/>
      </rPr>
      <t>Dashboard Phòng mua hàng</t>
    </r>
    <r>
      <rPr>
        <sz val="11"/>
        <color theme="1"/>
        <rFont val="Calibri"/>
        <family val="2"/>
        <scheme val="minor"/>
      </rPr>
      <t xml:space="preserve">
+ Click các nút </t>
    </r>
    <r>
      <rPr>
        <b/>
        <sz val="11"/>
        <color theme="1"/>
        <rFont val="Calibri"/>
        <family val="2"/>
        <scheme val="minor"/>
      </rPr>
      <t>tên nhân viên</t>
    </r>
    <r>
      <rPr>
        <sz val="11"/>
        <color theme="1"/>
        <rFont val="Calibri"/>
        <family val="2"/>
        <scheme val="minor"/>
      </rPr>
      <t xml:space="preserve"> trong sheet "</t>
    </r>
    <r>
      <rPr>
        <b/>
        <sz val="11"/>
        <color theme="1"/>
        <rFont val="Calibri"/>
        <family val="2"/>
        <scheme val="minor"/>
      </rPr>
      <t>Nhân viên mua hàng</t>
    </r>
    <r>
      <rPr>
        <sz val="11"/>
        <color theme="1"/>
        <rFont val="Calibri"/>
        <family val="2"/>
        <scheme val="minor"/>
      </rPr>
      <t xml:space="preserve">" nếu muốn xem </t>
    </r>
    <r>
      <rPr>
        <b/>
        <sz val="11"/>
        <color rgb="FF7030A0"/>
        <rFont val="Calibri"/>
        <family val="2"/>
        <scheme val="minor"/>
      </rPr>
      <t>Dashboard từng nhân viên</t>
    </r>
    <r>
      <rPr>
        <sz val="11"/>
        <color theme="1"/>
        <rFont val="Calibri"/>
        <family val="2"/>
        <scheme val="minor"/>
      </rPr>
      <t xml:space="preserve"> nằm trong Top3
+ </t>
    </r>
    <r>
      <rPr>
        <b/>
        <sz val="11"/>
        <color rgb="FF7030A0"/>
        <rFont val="Calibri"/>
        <family val="2"/>
        <scheme val="minor"/>
      </rPr>
      <t>Dashboard từng nhân viên</t>
    </r>
    <r>
      <rPr>
        <sz val="11"/>
        <color theme="1"/>
        <rFont val="Calibri"/>
        <family val="2"/>
        <scheme val="minor"/>
      </rPr>
      <t xml:space="preserve"> gồm </t>
    </r>
    <r>
      <rPr>
        <b/>
        <sz val="11"/>
        <color rgb="FF00B050"/>
        <rFont val="Calibri"/>
        <family val="2"/>
        <scheme val="minor"/>
      </rPr>
      <t>5 biểu đồ</t>
    </r>
    <r>
      <rPr>
        <sz val="11"/>
        <color theme="1"/>
        <rFont val="Calibri"/>
        <family val="2"/>
        <scheme val="minor"/>
      </rPr>
      <t xml:space="preserve"> (</t>
    </r>
    <r>
      <rPr>
        <i/>
        <sz val="11"/>
        <color theme="1"/>
        <rFont val="Calibri"/>
        <family val="2"/>
        <scheme val="minor"/>
      </rPr>
      <t>Total PR &amp; Total PO, PR Urgent &amp; PR Urgent Complete, PR Pending, PO Pending, PR-PO Average Processing Time</t>
    </r>
    <r>
      <rPr>
        <sz val="11"/>
        <color theme="1"/>
        <rFont val="Calibri"/>
        <family val="2"/>
        <scheme val="minor"/>
      </rPr>
      <t xml:space="preserve">)
+ Từ </t>
    </r>
    <r>
      <rPr>
        <b/>
        <sz val="11"/>
        <color rgb="FF7030A0"/>
        <rFont val="Calibri"/>
        <family val="2"/>
        <scheme val="minor"/>
      </rPr>
      <t>Dashboard từng nhân viên</t>
    </r>
    <r>
      <rPr>
        <sz val="11"/>
        <color theme="1"/>
        <rFont val="Calibri"/>
        <family val="2"/>
        <scheme val="minor"/>
      </rPr>
      <t xml:space="preserve"> có thể click nút</t>
    </r>
    <r>
      <rPr>
        <b/>
        <sz val="11"/>
        <color theme="1"/>
        <rFont val="Calibri"/>
        <family val="2"/>
        <scheme val="minor"/>
      </rPr>
      <t xml:space="preserve"> mũi tên</t>
    </r>
    <r>
      <rPr>
        <sz val="11"/>
        <color theme="1"/>
        <rFont val="Calibri"/>
        <family val="2"/>
        <scheme val="minor"/>
      </rPr>
      <t xml:space="preserve"> "</t>
    </r>
    <r>
      <rPr>
        <b/>
        <sz val="11"/>
        <color theme="1"/>
        <rFont val="Calibri"/>
        <family val="2"/>
        <scheme val="minor"/>
      </rPr>
      <t>Nhân viên mua hàng</t>
    </r>
    <r>
      <rPr>
        <sz val="11"/>
        <color theme="1"/>
        <rFont val="Calibri"/>
        <family val="2"/>
        <scheme val="minor"/>
      </rPr>
      <t xml:space="preserve">" để quay về </t>
    </r>
    <r>
      <rPr>
        <b/>
        <sz val="11"/>
        <color theme="4"/>
        <rFont val="Calibri"/>
        <family val="2"/>
        <scheme val="minor"/>
      </rPr>
      <t>Dashboard Nhân viên mua hàng</t>
    </r>
    <r>
      <rPr>
        <sz val="11"/>
        <color theme="1"/>
        <rFont val="Calibri"/>
        <family val="2"/>
        <scheme val="minor"/>
      </rPr>
      <t xml:space="preserve">
+ Click vào </t>
    </r>
    <r>
      <rPr>
        <b/>
        <sz val="11"/>
        <color theme="1"/>
        <rFont val="Calibri"/>
        <family val="2"/>
        <scheme val="minor"/>
      </rPr>
      <t>biểu đồ</t>
    </r>
    <r>
      <rPr>
        <sz val="11"/>
        <color theme="1"/>
        <rFont val="Calibri"/>
        <family val="2"/>
        <scheme val="minor"/>
      </rPr>
      <t xml:space="preserve"> nếu muốn phóng to, sau đó có thể quay lại sheet cũ bằng cách click vào </t>
    </r>
    <r>
      <rPr>
        <b/>
        <sz val="11"/>
        <color theme="1"/>
        <rFont val="Calibri"/>
        <family val="2"/>
        <scheme val="minor"/>
      </rPr>
      <t>mũi tên</t>
    </r>
    <r>
      <rPr>
        <sz val="11"/>
        <color theme="1"/>
        <rFont val="Calibri"/>
        <family val="2"/>
        <scheme val="minor"/>
      </rPr>
      <t xml:space="preserve"> ở đầu sheet
+ Click nút "</t>
    </r>
    <r>
      <rPr>
        <b/>
        <sz val="11"/>
        <color theme="9"/>
        <rFont val="Calibri"/>
        <family val="2"/>
        <scheme val="minor"/>
      </rPr>
      <t>REPORT</t>
    </r>
    <r>
      <rPr>
        <sz val="11"/>
        <color theme="1"/>
        <rFont val="Calibri"/>
        <family val="2"/>
        <scheme val="minor"/>
      </rPr>
      <t xml:space="preserve">" ở </t>
    </r>
    <r>
      <rPr>
        <b/>
        <sz val="11"/>
        <color theme="5"/>
        <rFont val="Calibri"/>
        <family val="2"/>
        <scheme val="minor"/>
      </rPr>
      <t>Dashboard Phòng mua hàng</t>
    </r>
    <r>
      <rPr>
        <sz val="11"/>
        <color theme="1"/>
        <rFont val="Calibri"/>
        <family val="2"/>
        <scheme val="minor"/>
      </rPr>
      <t xml:space="preserve"> nếu muốn cập nhật data</t>
    </r>
  </si>
  <si>
    <t>Lưu ý</t>
  </si>
  <si>
    <r>
      <t>+ File excel này phải được ở cùng 1 folder với các file records nếu muốn cập nhật data
+ Không thay đổi công thức excel trong sheet "</t>
    </r>
    <r>
      <rPr>
        <b/>
        <sz val="11"/>
        <color theme="1"/>
        <rFont val="Calibri"/>
        <family val="2"/>
        <scheme val="minor"/>
      </rPr>
      <t>Data</t>
    </r>
    <r>
      <rPr>
        <sz val="11"/>
        <color theme="1"/>
        <rFont val="Calibri"/>
        <family val="2"/>
        <scheme val="minor"/>
      </rPr>
      <t>"
+ Có thể chỉnh sửa độ lớn các trục của chart để dễ cập nhật insight khi data thay đổi</t>
    </r>
  </si>
  <si>
    <t>MỘT SỐ ĐƯỜNG DẪN TRONG FILE</t>
  </si>
  <si>
    <t>Data và tính toán</t>
  </si>
  <si>
    <t>Dashboard Phòng mua hàng</t>
  </si>
  <si>
    <t>Dashboard Nhân viên mua hàng</t>
  </si>
  <si>
    <t>Dashboard Nhân viên 1</t>
  </si>
  <si>
    <t>Dashboard Nhân viên 2</t>
  </si>
  <si>
    <t>Dashboard Nhân viên 3</t>
  </si>
  <si>
    <t>CHỈNH SỬA FILE</t>
  </si>
  <si>
    <t>Ngày</t>
  </si>
  <si>
    <t>Nội dung chỉnh sửa</t>
  </si>
  <si>
    <t>- Thay đổi cách tính average processing time của phòng mua hàng
- Có thêm một số chart vào sheet Data để dễ nhận thấy insight</t>
  </si>
  <si>
    <t>PR Pending</t>
  </si>
  <si>
    <t>PO Pending</t>
  </si>
  <si>
    <t>PR_PO Average Processing Time</t>
  </si>
  <si>
    <t>PR Urgent</t>
  </si>
  <si>
    <t>PR Urgent complete</t>
  </si>
  <si>
    <t>Total PR_PO</t>
  </si>
  <si>
    <t>PO complete</t>
  </si>
  <si>
    <t>Data cho Dashboard Phòng mua hàng</t>
  </si>
  <si>
    <t>Data cho Dashboard Nhân viên mua hàng</t>
  </si>
  <si>
    <t>PR được tạo và PO user tương ứng</t>
  </si>
  <si>
    <t>Sum_PR_Line</t>
  </si>
  <si>
    <t>Thang</t>
  </si>
  <si>
    <t>Nam</t>
  </si>
  <si>
    <t>Total_PO</t>
  </si>
  <si>
    <t>Avg_Processing_Time</t>
  </si>
  <si>
    <t>PR_Urgent</t>
  </si>
  <si>
    <t>PO_Complete</t>
  </si>
  <si>
    <t>Sum_PR_PO</t>
  </si>
  <si>
    <t>Total_PO_complete</t>
  </si>
  <si>
    <t>Oct</t>
  </si>
  <si>
    <t>Nov</t>
  </si>
  <si>
    <t>Dec</t>
  </si>
  <si>
    <t>Crtd_user_PO</t>
  </si>
  <si>
    <t>PR</t>
  </si>
  <si>
    <t>YTD 2021</t>
  </si>
  <si>
    <t>BAOBN</t>
  </si>
  <si>
    <t>PO</t>
  </si>
  <si>
    <t>PR pending</t>
  </si>
  <si>
    <t>PO pending</t>
  </si>
  <si>
    <t>Total PO complete</t>
  </si>
  <si>
    <t>PR-PO Average Processing Time</t>
  </si>
  <si>
    <t>HANGTB</t>
  </si>
  <si>
    <t>PR_Urgent_complete</t>
  </si>
  <si>
    <t>% PR pending</t>
  </si>
  <si>
    <t>% PO pending</t>
  </si>
  <si>
    <t>Other calculation for chart</t>
  </si>
  <si>
    <t>% PO Complete</t>
  </si>
  <si>
    <t>HADM</t>
  </si>
  <si>
    <t>Standard Process Time</t>
  </si>
  <si>
    <t>Abnormal</t>
  </si>
  <si>
    <t>Base PR-PO</t>
  </si>
  <si>
    <t>Gap PR Urgent</t>
  </si>
  <si>
    <t>Difference Between Each Month</t>
  </si>
  <si>
    <t>ANDM</t>
  </si>
  <si>
    <t>avg time</t>
  </si>
  <si>
    <t>số đơn</t>
  </si>
  <si>
    <t>sum</t>
  </si>
  <si>
    <t>LAMDT</t>
  </si>
  <si>
    <t>HADN</t>
  </si>
  <si>
    <t>PR Urgent Complete</t>
  </si>
  <si>
    <t>Base</t>
  </si>
  <si>
    <t>Bubble PR Pending</t>
  </si>
  <si>
    <t>NV3</t>
  </si>
  <si>
    <t>NV2</t>
  </si>
  <si>
    <t>NV1</t>
  </si>
  <si>
    <t>Bubble PO Pending</t>
  </si>
  <si>
    <t>AVG PR-PO Processing Time</t>
  </si>
  <si>
    <t>Total 3 NV</t>
  </si>
  <si>
    <t>Max</t>
  </si>
  <si>
    <t>Min</t>
  </si>
  <si>
    <t>Gap PR Urgent vs Complete</t>
  </si>
  <si>
    <t>Pareto chart</t>
  </si>
  <si>
    <t>PO_Line</t>
  </si>
  <si>
    <t>Percentage</t>
  </si>
  <si>
    <t>Acumulative</t>
  </si>
  <si>
    <t>DASHBOARD ĐO LƯỜNG HIỆU QUẢ HOẠT ĐỘNG PHÒNG MUA HÀNG &amp; NHÂN VIÊN MUA HÀNG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</si>
</sst>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#,###.00"/>
    <numFmt numFmtId="165" formatCode="mm\-dd\-yyyy"/>
    <numFmt numFmtId="166" formatCode="mmm"/>
    <numFmt numFmtId="167" formatCode="0.0"/>
    <numFmt numFmtId="168" formatCode="0.0%"/>
    <numFmt numFmtId="169" formatCode="_(* #,##0_);_(* \(#,##0\);_(* &quot;-&quot;??_);_(@_)"/>
    <numFmt numFmtId="170" formatCode="0.000%"/>
  </numFmts>
  <fonts count="3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444444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18"/>
      <color theme="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Wingdings 3"/>
      <family val="1"/>
      <charset val="2"/>
    </font>
    <font>
      <i/>
      <sz val="15"/>
      <color theme="1"/>
      <name val="Wingdings 3"/>
      <family val="1"/>
      <charset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rgb="FF00B05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1"/>
      <color theme="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rgb="FF595959"/>
      <name val="Calibri"/>
      <family val="2"/>
      <scheme val="minor"/>
    </font>
    <font>
      <sz val="18"/>
      <color theme="1"/>
      <name val="Arial"/>
      <family val="2"/>
    </font>
    <font>
      <sz val="12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63973F"/>
        <bgColor indexed="64"/>
      </patternFill>
    </fill>
    <fill>
      <patternFill patternType="solid">
        <fgColor rgb="FF7CB953"/>
        <bgColor indexed="64"/>
      </patternFill>
    </fill>
    <fill>
      <patternFill patternType="solid">
        <fgColor rgb="FF97C777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23CFCF"/>
        <bgColor indexed="64"/>
      </patternFill>
    </fill>
    <fill>
      <patternFill patternType="solid">
        <fgColor rgb="FFFFCD2D"/>
        <bgColor indexed="64"/>
      </patternFill>
    </fill>
    <fill>
      <patternFill patternType="solid">
        <fgColor rgb="FFE93748"/>
        <bgColor indexed="64"/>
      </patternFill>
    </fill>
    <fill>
      <patternFill patternType="solid">
        <fgColor rgb="FFFF4B4F"/>
        <bgColor rgb="FF000000"/>
      </patternFill>
    </fill>
    <fill>
      <patternFill patternType="solid">
        <fgColor rgb="FFFFD900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rgb="FF40D8CC"/>
        <bgColor rgb="FF000000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ck">
        <color theme="5"/>
      </right>
      <top/>
      <bottom style="thick">
        <color theme="5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20" fillId="0" borderId="0" applyNumberFormat="0" applyFill="0" applyBorder="0" applyAlignment="0" applyProtection="0"/>
    <xf numFmtId="43" fontId="3" fillId="0" borderId="0" applyFont="0" applyFill="0" applyBorder="0" applyAlignment="0" applyProtection="0"/>
  </cellStyleXfs>
  <cellXfs count="192">
    <xf numFmtId="0" fontId="0" fillId="0" borderId="0" xfId="0"/>
    <xf numFmtId="49" fontId="0" fillId="0" borderId="0" xfId="0" applyNumberFormat="1" applyAlignment="1">
      <alignment wrapText="1"/>
    </xf>
    <xf numFmtId="164" fontId="0" fillId="0" borderId="0" xfId="0" applyNumberFormat="1"/>
    <xf numFmtId="0" fontId="0" fillId="0" borderId="0" xfId="0" applyAlignment="1">
      <alignment wrapText="1"/>
    </xf>
    <xf numFmtId="165" fontId="0" fillId="0" borderId="0" xfId="0" applyNumberFormat="1"/>
    <xf numFmtId="0" fontId="0" fillId="2" borderId="0" xfId="0" applyFill="1"/>
    <xf numFmtId="49" fontId="0" fillId="0" borderId="1" xfId="0" applyNumberFormat="1" applyBorder="1" applyAlignment="1">
      <alignment wrapText="1"/>
    </xf>
    <xf numFmtId="0" fontId="0" fillId="0" borderId="1" xfId="0" applyBorder="1"/>
    <xf numFmtId="0" fontId="0" fillId="3" borderId="0" xfId="0" applyFill="1"/>
    <xf numFmtId="0" fontId="0" fillId="3" borderId="1" xfId="0" applyFill="1" applyBorder="1"/>
    <xf numFmtId="49" fontId="0" fillId="0" borderId="1" xfId="0" applyNumberFormat="1" applyBorder="1"/>
    <xf numFmtId="9" fontId="0" fillId="0" borderId="1" xfId="1" applyFont="1" applyBorder="1"/>
    <xf numFmtId="9" fontId="0" fillId="0" borderId="1" xfId="0" applyNumberFormat="1" applyBorder="1"/>
    <xf numFmtId="166" fontId="0" fillId="0" borderId="1" xfId="0" applyNumberFormat="1" applyBorder="1"/>
    <xf numFmtId="0" fontId="0" fillId="0" borderId="2" xfId="0" applyBorder="1"/>
    <xf numFmtId="0" fontId="0" fillId="0" borderId="4" xfId="0" applyBorder="1"/>
    <xf numFmtId="0" fontId="0" fillId="0" borderId="6" xfId="0" applyBorder="1"/>
    <xf numFmtId="0" fontId="4" fillId="0" borderId="0" xfId="0" applyFont="1" applyAlignment="1">
      <alignment wrapText="1"/>
    </xf>
    <xf numFmtId="0" fontId="4" fillId="0" borderId="0" xfId="0" applyFont="1"/>
    <xf numFmtId="0" fontId="4" fillId="0" borderId="0" xfId="0" quotePrefix="1" applyFont="1"/>
    <xf numFmtId="14" fontId="0" fillId="0" borderId="0" xfId="0" applyNumberFormat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/>
    <xf numFmtId="0" fontId="0" fillId="0" borderId="5" xfId="0" applyBorder="1"/>
    <xf numFmtId="164" fontId="0" fillId="0" borderId="1" xfId="0" applyNumberFormat="1" applyBorder="1"/>
    <xf numFmtId="0" fontId="0" fillId="6" borderId="0" xfId="0" applyFill="1"/>
    <xf numFmtId="49" fontId="0" fillId="6" borderId="0" xfId="0" applyNumberFormat="1" applyFill="1" applyAlignment="1">
      <alignment wrapText="1"/>
    </xf>
    <xf numFmtId="0" fontId="4" fillId="6" borderId="0" xfId="0" applyFont="1" applyFill="1"/>
    <xf numFmtId="0" fontId="5" fillId="6" borderId="0" xfId="0" applyFont="1" applyFill="1"/>
    <xf numFmtId="0" fontId="8" fillId="0" borderId="0" xfId="0" applyFont="1"/>
    <xf numFmtId="0" fontId="9" fillId="0" borderId="0" xfId="0" applyFont="1"/>
    <xf numFmtId="49" fontId="0" fillId="0" borderId="3" xfId="0" applyNumberFormat="1" applyBorder="1"/>
    <xf numFmtId="0" fontId="0" fillId="0" borderId="8" xfId="0" applyBorder="1"/>
    <xf numFmtId="0" fontId="0" fillId="0" borderId="9" xfId="0" applyBorder="1"/>
    <xf numFmtId="49" fontId="0" fillId="6" borderId="0" xfId="0" applyNumberFormat="1" applyFill="1"/>
    <xf numFmtId="0" fontId="7" fillId="6" borderId="0" xfId="0" applyFont="1" applyFill="1"/>
    <xf numFmtId="0" fontId="10" fillId="6" borderId="0" xfId="0" applyFont="1" applyFill="1"/>
    <xf numFmtId="167" fontId="0" fillId="0" borderId="1" xfId="0" applyNumberFormat="1" applyBorder="1"/>
    <xf numFmtId="1" fontId="0" fillId="0" borderId="1" xfId="0" applyNumberFormat="1" applyBorder="1"/>
    <xf numFmtId="0" fontId="0" fillId="4" borderId="0" xfId="0" applyFill="1"/>
    <xf numFmtId="0" fontId="11" fillId="4" borderId="0" xfId="0" applyFont="1" applyFill="1"/>
    <xf numFmtId="0" fontId="0" fillId="7" borderId="0" xfId="0" applyFill="1"/>
    <xf numFmtId="49" fontId="0" fillId="7" borderId="0" xfId="0" applyNumberFormat="1" applyFill="1" applyAlignment="1">
      <alignment horizontal="center" wrapText="1"/>
    </xf>
    <xf numFmtId="0" fontId="11" fillId="7" borderId="0" xfId="0" applyFont="1" applyFill="1" applyAlignment="1">
      <alignment wrapText="1"/>
    </xf>
    <xf numFmtId="0" fontId="0" fillId="0" borderId="10" xfId="0" applyBorder="1"/>
    <xf numFmtId="0" fontId="0" fillId="0" borderId="7" xfId="0" applyBorder="1"/>
    <xf numFmtId="0" fontId="0" fillId="0" borderId="11" xfId="0" applyBorder="1"/>
    <xf numFmtId="0" fontId="0" fillId="0" borderId="12" xfId="0" applyBorder="1"/>
    <xf numFmtId="49" fontId="0" fillId="0" borderId="7" xfId="0" applyNumberFormat="1" applyBorder="1"/>
    <xf numFmtId="0" fontId="11" fillId="0" borderId="0" xfId="0" applyFont="1"/>
    <xf numFmtId="167" fontId="0" fillId="0" borderId="0" xfId="0" applyNumberFormat="1"/>
    <xf numFmtId="167" fontId="0" fillId="0" borderId="11" xfId="0" applyNumberFormat="1" applyBorder="1"/>
    <xf numFmtId="167" fontId="0" fillId="0" borderId="6" xfId="0" applyNumberFormat="1" applyBorder="1"/>
    <xf numFmtId="167" fontId="0" fillId="0" borderId="9" xfId="0" applyNumberFormat="1" applyBorder="1"/>
    <xf numFmtId="167" fontId="0" fillId="0" borderId="4" xfId="0" applyNumberFormat="1" applyBorder="1"/>
    <xf numFmtId="167" fontId="0" fillId="0" borderId="8" xfId="0" applyNumberFormat="1" applyBorder="1"/>
    <xf numFmtId="49" fontId="0" fillId="0" borderId="5" xfId="0" applyNumberFormat="1" applyBorder="1"/>
    <xf numFmtId="0" fontId="0" fillId="0" borderId="14" xfId="0" applyBorder="1"/>
    <xf numFmtId="0" fontId="11" fillId="0" borderId="13" xfId="0" applyFont="1" applyBorder="1"/>
    <xf numFmtId="1" fontId="0" fillId="0" borderId="0" xfId="0" applyNumberFormat="1"/>
    <xf numFmtId="0" fontId="0" fillId="8" borderId="0" xfId="0" applyFill="1"/>
    <xf numFmtId="0" fontId="12" fillId="8" borderId="0" xfId="0" applyFont="1" applyFill="1"/>
    <xf numFmtId="0" fontId="11" fillId="7" borderId="1" xfId="0" applyFont="1" applyFill="1" applyBorder="1" applyAlignment="1">
      <alignment horizontal="center" vertical="center"/>
    </xf>
    <xf numFmtId="0" fontId="20" fillId="0" borderId="0" xfId="2"/>
    <xf numFmtId="0" fontId="2" fillId="0" borderId="2" xfId="0" quotePrefix="1" applyFont="1" applyBorder="1"/>
    <xf numFmtId="167" fontId="0" fillId="0" borderId="10" xfId="0" applyNumberFormat="1" applyBorder="1"/>
    <xf numFmtId="49" fontId="4" fillId="6" borderId="0" xfId="0" applyNumberFormat="1" applyFont="1" applyFill="1" applyAlignment="1">
      <alignment wrapText="1"/>
    </xf>
    <xf numFmtId="164" fontId="0" fillId="6" borderId="0" xfId="0" applyNumberFormat="1" applyFill="1"/>
    <xf numFmtId="164" fontId="0" fillId="6" borderId="0" xfId="0" quotePrefix="1" applyNumberFormat="1" applyFill="1"/>
    <xf numFmtId="164" fontId="4" fillId="6" borderId="0" xfId="0" applyNumberFormat="1" applyFont="1" applyFill="1"/>
    <xf numFmtId="49" fontId="4" fillId="0" borderId="0" xfId="0" applyNumberFormat="1" applyFont="1" applyAlignment="1">
      <alignment wrapText="1"/>
    </xf>
    <xf numFmtId="164" fontId="4" fillId="0" borderId="0" xfId="0" applyNumberFormat="1" applyFont="1"/>
    <xf numFmtId="0" fontId="21" fillId="6" borderId="0" xfId="0" applyFont="1" applyFill="1" applyAlignment="1">
      <alignment horizontal="center" vertical="center" wrapText="1"/>
    </xf>
    <xf numFmtId="9" fontId="0" fillId="0" borderId="0" xfId="1" applyFont="1"/>
    <xf numFmtId="0" fontId="0" fillId="0" borderId="15" xfId="0" applyBorder="1"/>
    <xf numFmtId="0" fontId="22" fillId="0" borderId="1" xfId="0" applyFont="1" applyBorder="1"/>
    <xf numFmtId="9" fontId="0" fillId="0" borderId="15" xfId="1" applyFont="1" applyFill="1" applyBorder="1"/>
    <xf numFmtId="168" fontId="0" fillId="0" borderId="0" xfId="1" applyNumberFormat="1" applyFont="1"/>
    <xf numFmtId="9" fontId="2" fillId="0" borderId="15" xfId="1" applyFont="1" applyFill="1" applyBorder="1"/>
    <xf numFmtId="49" fontId="0" fillId="0" borderId="0" xfId="0" applyNumberFormat="1"/>
    <xf numFmtId="1" fontId="0" fillId="0" borderId="14" xfId="1" applyNumberFormat="1" applyFont="1" applyFill="1" applyBorder="1"/>
    <xf numFmtId="9" fontId="0" fillId="3" borderId="16" xfId="1" applyFont="1" applyFill="1" applyBorder="1"/>
    <xf numFmtId="9" fontId="0" fillId="3" borderId="0" xfId="1" applyFont="1" applyFill="1" applyBorder="1"/>
    <xf numFmtId="0" fontId="11" fillId="9" borderId="0" xfId="0" applyFont="1" applyFill="1" applyAlignment="1">
      <alignment horizontal="center" vertical="center"/>
    </xf>
    <xf numFmtId="49" fontId="11" fillId="4" borderId="0" xfId="0" applyNumberFormat="1" applyFont="1" applyFill="1" applyAlignment="1">
      <alignment horizontal="center" vertical="center"/>
    </xf>
    <xf numFmtId="49" fontId="11" fillId="10" borderId="17" xfId="0" applyNumberFormat="1" applyFont="1" applyFill="1" applyBorder="1" applyAlignment="1">
      <alignment horizontal="center" vertical="center"/>
    </xf>
    <xf numFmtId="49" fontId="11" fillId="11" borderId="17" xfId="0" applyNumberFormat="1" applyFont="1" applyFill="1" applyBorder="1" applyAlignment="1">
      <alignment horizontal="center" vertical="center"/>
    </xf>
    <xf numFmtId="49" fontId="11" fillId="12" borderId="17" xfId="0" applyNumberFormat="1" applyFont="1" applyFill="1" applyBorder="1" applyAlignment="1">
      <alignment horizontal="center" vertical="center"/>
    </xf>
    <xf numFmtId="49" fontId="11" fillId="4" borderId="18" xfId="0" applyNumberFormat="1" applyFont="1" applyFill="1" applyBorder="1" applyAlignment="1">
      <alignment horizontal="center" vertical="center"/>
    </xf>
    <xf numFmtId="0" fontId="0" fillId="0" borderId="19" xfId="0" applyBorder="1"/>
    <xf numFmtId="0" fontId="0" fillId="4" borderId="19" xfId="0" applyFill="1" applyBorder="1" applyAlignment="1">
      <alignment wrapText="1"/>
    </xf>
    <xf numFmtId="0" fontId="11" fillId="13" borderId="19" xfId="0" applyFont="1" applyFill="1" applyBorder="1" applyAlignment="1">
      <alignment wrapText="1"/>
    </xf>
    <xf numFmtId="0" fontId="11" fillId="13" borderId="19" xfId="0" applyFont="1" applyFill="1" applyBorder="1"/>
    <xf numFmtId="9" fontId="0" fillId="3" borderId="0" xfId="0" applyNumberFormat="1" applyFill="1"/>
    <xf numFmtId="49" fontId="11" fillId="11" borderId="0" xfId="0" applyNumberFormat="1" applyFont="1" applyFill="1" applyAlignment="1">
      <alignment horizontal="center" vertical="center"/>
    </xf>
    <xf numFmtId="49" fontId="11" fillId="12" borderId="0" xfId="0" applyNumberFormat="1" applyFont="1" applyFill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14" borderId="0" xfId="0" applyFont="1" applyFill="1"/>
    <xf numFmtId="0" fontId="0" fillId="4" borderId="20" xfId="0" applyFill="1" applyBorder="1"/>
    <xf numFmtId="0" fontId="0" fillId="0" borderId="1" xfId="0" applyBorder="1" applyAlignment="1">
      <alignment horizontal="center" vertical="center"/>
    </xf>
    <xf numFmtId="0" fontId="0" fillId="7" borderId="20" xfId="0" applyFill="1" applyBorder="1"/>
    <xf numFmtId="0" fontId="0" fillId="0" borderId="0" xfId="0" applyAlignment="1">
      <alignment horizontal="center"/>
    </xf>
    <xf numFmtId="0" fontId="0" fillId="0" borderId="21" xfId="0" applyBorder="1"/>
    <xf numFmtId="169" fontId="0" fillId="0" borderId="0" xfId="3" applyNumberFormat="1" applyFont="1"/>
    <xf numFmtId="169" fontId="0" fillId="0" borderId="1" xfId="3" applyNumberFormat="1" applyFont="1" applyBorder="1"/>
    <xf numFmtId="170" fontId="0" fillId="0" borderId="1" xfId="1" applyNumberFormat="1" applyFont="1" applyBorder="1"/>
    <xf numFmtId="0" fontId="24" fillId="16" borderId="1" xfId="0" applyFont="1" applyFill="1" applyBorder="1"/>
    <xf numFmtId="0" fontId="11" fillId="17" borderId="1" xfId="0" applyFont="1" applyFill="1" applyBorder="1"/>
    <xf numFmtId="0" fontId="11" fillId="18" borderId="1" xfId="0" applyFont="1" applyFill="1" applyBorder="1"/>
    <xf numFmtId="0" fontId="24" fillId="0" borderId="2" xfId="0" applyFont="1" applyBorder="1" applyAlignment="1">
      <alignment vertical="top" wrapText="1"/>
    </xf>
    <xf numFmtId="0" fontId="24" fillId="0" borderId="10" xfId="0" applyFont="1" applyBorder="1" applyAlignment="1">
      <alignment vertical="top" wrapText="1"/>
    </xf>
    <xf numFmtId="9" fontId="24" fillId="0" borderId="1" xfId="0" applyNumberFormat="1" applyFont="1" applyBorder="1"/>
    <xf numFmtId="0" fontId="24" fillId="0" borderId="1" xfId="0" applyFont="1" applyBorder="1"/>
    <xf numFmtId="0" fontId="25" fillId="19" borderId="1" xfId="0" applyFont="1" applyFill="1" applyBorder="1" applyAlignment="1">
      <alignment horizontal="left" vertical="center" wrapText="1" readingOrder="1"/>
    </xf>
    <xf numFmtId="0" fontId="25" fillId="20" borderId="1" xfId="0" applyFont="1" applyFill="1" applyBorder="1" applyAlignment="1">
      <alignment horizontal="left" vertical="center" wrapText="1" readingOrder="1"/>
    </xf>
    <xf numFmtId="0" fontId="25" fillId="21" borderId="1" xfId="0" applyFont="1" applyFill="1" applyBorder="1" applyAlignment="1">
      <alignment horizontal="left" vertical="center" wrapText="1" readingOrder="1"/>
    </xf>
    <xf numFmtId="0" fontId="25" fillId="22" borderId="1" xfId="0" applyFont="1" applyFill="1" applyBorder="1" applyAlignment="1">
      <alignment horizontal="left" vertical="center" wrapText="1" readingOrder="1"/>
    </xf>
    <xf numFmtId="0" fontId="26" fillId="0" borderId="1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7" fillId="0" borderId="14" xfId="0" applyFont="1" applyBorder="1" applyAlignment="1">
      <alignment horizontal="center"/>
    </xf>
    <xf numFmtId="0" fontId="11" fillId="0" borderId="22" xfId="0" applyFont="1" applyBorder="1"/>
    <xf numFmtId="0" fontId="0" fillId="0" borderId="23" xfId="0" applyBorder="1"/>
    <xf numFmtId="0" fontId="28" fillId="0" borderId="0" xfId="0" applyFont="1" applyAlignment="1">
      <alignment horizontal="left" vertical="top" readingOrder="1"/>
    </xf>
    <xf numFmtId="0" fontId="11" fillId="0" borderId="24" xfId="0" applyFont="1" applyBorder="1"/>
    <xf numFmtId="0" fontId="0" fillId="0" borderId="25" xfId="0" applyBorder="1"/>
    <xf numFmtId="0" fontId="11" fillId="0" borderId="1" xfId="0" applyFont="1" applyBorder="1" applyAlignment="1">
      <alignment horizontal="right" vertical="top"/>
    </xf>
    <xf numFmtId="1" fontId="11" fillId="0" borderId="1" xfId="0" applyNumberFormat="1" applyFont="1" applyBorder="1"/>
    <xf numFmtId="0" fontId="0" fillId="0" borderId="0" xfId="0" applyAlignment="1">
      <alignment horizontal="right"/>
    </xf>
    <xf numFmtId="0" fontId="29" fillId="0" borderId="0" xfId="0" applyFont="1"/>
    <xf numFmtId="0" fontId="11" fillId="14" borderId="1" xfId="0" applyFont="1" applyFill="1" applyBorder="1"/>
    <xf numFmtId="0" fontId="30" fillId="0" borderId="0" xfId="0" applyFont="1"/>
    <xf numFmtId="0" fontId="0" fillId="0" borderId="1" xfId="0" applyBorder="1" applyAlignment="1">
      <alignment horizontal="left"/>
    </xf>
    <xf numFmtId="168" fontId="0" fillId="0" borderId="1" xfId="1" applyNumberFormat="1" applyFont="1" applyBorder="1"/>
    <xf numFmtId="49" fontId="0" fillId="0" borderId="1" xfId="1" applyNumberFormat="1" applyFont="1" applyBorder="1" applyAlignment="1">
      <alignment wrapText="1"/>
    </xf>
    <xf numFmtId="0" fontId="11" fillId="14" borderId="0" xfId="0" applyFont="1" applyFill="1" applyAlignment="1">
      <alignment wrapText="1"/>
    </xf>
    <xf numFmtId="0" fontId="0" fillId="23" borderId="1" xfId="0" applyFill="1" applyBorder="1"/>
    <xf numFmtId="0" fontId="26" fillId="23" borderId="1" xfId="0" applyFont="1" applyFill="1" applyBorder="1" applyAlignment="1">
      <alignment horizontal="center"/>
    </xf>
    <xf numFmtId="0" fontId="27" fillId="23" borderId="1" xfId="0" applyFont="1" applyFill="1" applyBorder="1" applyAlignment="1">
      <alignment horizontal="center" wrapText="1"/>
    </xf>
    <xf numFmtId="0" fontId="11" fillId="23" borderId="1" xfId="0" applyFont="1" applyFill="1" applyBorder="1" applyAlignment="1">
      <alignment horizontal="center"/>
    </xf>
    <xf numFmtId="0" fontId="11" fillId="23" borderId="1" xfId="0" applyFont="1" applyFill="1" applyBorder="1" applyAlignment="1">
      <alignment horizontal="center" wrapText="1"/>
    </xf>
    <xf numFmtId="49" fontId="0" fillId="3" borderId="0" xfId="0" applyNumberFormat="1" applyFill="1" applyAlignment="1">
      <alignment horizontal="center" wrapText="1"/>
    </xf>
    <xf numFmtId="49" fontId="11" fillId="4" borderId="1" xfId="0" applyNumberFormat="1" applyFont="1" applyFill="1" applyBorder="1" applyAlignment="1">
      <alignment horizontal="center" vertical="center"/>
    </xf>
    <xf numFmtId="1" fontId="0" fillId="0" borderId="1" xfId="1" applyNumberFormat="1" applyFont="1" applyFill="1" applyBorder="1"/>
    <xf numFmtId="49" fontId="11" fillId="11" borderId="1" xfId="0" applyNumberFormat="1" applyFont="1" applyFill="1" applyBorder="1" applyAlignment="1">
      <alignment horizontal="center" vertical="center"/>
    </xf>
    <xf numFmtId="49" fontId="11" fillId="12" borderId="1" xfId="0" applyNumberFormat="1" applyFont="1" applyFill="1" applyBorder="1" applyAlignment="1">
      <alignment horizontal="center" vertical="center"/>
    </xf>
    <xf numFmtId="49" fontId="11" fillId="10" borderId="1" xfId="0" applyNumberFormat="1" applyFont="1" applyFill="1" applyBorder="1" applyAlignment="1">
      <alignment horizontal="center" vertical="center"/>
    </xf>
    <xf numFmtId="9" fontId="0" fillId="3" borderId="26" xfId="1" applyFont="1" applyFill="1" applyBorder="1"/>
    <xf numFmtId="0" fontId="11" fillId="3" borderId="0" xfId="0" applyFont="1" applyFill="1"/>
    <xf numFmtId="0" fontId="22" fillId="0" borderId="0" xfId="0" applyFont="1"/>
    <xf numFmtId="0" fontId="11" fillId="15" borderId="0" xfId="0" applyFont="1" applyFill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24" fillId="0" borderId="2" xfId="0" applyFont="1" applyBorder="1" applyAlignment="1">
      <alignment vertical="top"/>
    </xf>
    <xf numFmtId="0" fontId="24" fillId="0" borderId="10" xfId="0" applyFont="1" applyBorder="1" applyAlignment="1">
      <alignment vertical="top"/>
    </xf>
    <xf numFmtId="0" fontId="5" fillId="4" borderId="2" xfId="0" applyFont="1" applyFill="1" applyBorder="1" applyAlignment="1">
      <alignment horizontal="center" vertical="center" textRotation="90"/>
    </xf>
    <xf numFmtId="0" fontId="5" fillId="4" borderId="15" xfId="0" applyFont="1" applyFill="1" applyBorder="1" applyAlignment="1">
      <alignment horizontal="center" vertical="center" textRotation="90"/>
    </xf>
    <xf numFmtId="0" fontId="5" fillId="4" borderId="10" xfId="0" applyFont="1" applyFill="1" applyBorder="1" applyAlignment="1">
      <alignment horizontal="center" vertical="center" textRotation="90"/>
    </xf>
    <xf numFmtId="0" fontId="5" fillId="4" borderId="13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 textRotation="90"/>
    </xf>
    <xf numFmtId="0" fontId="5" fillId="7" borderId="15" xfId="0" applyFont="1" applyFill="1" applyBorder="1" applyAlignment="1">
      <alignment horizontal="center" vertical="center" textRotation="90"/>
    </xf>
    <xf numFmtId="0" fontId="5" fillId="7" borderId="10" xfId="0" applyFont="1" applyFill="1" applyBorder="1" applyAlignment="1">
      <alignment horizontal="center" vertical="center" textRotation="90"/>
    </xf>
    <xf numFmtId="0" fontId="5" fillId="7" borderId="13" xfId="0" applyFont="1" applyFill="1" applyBorder="1" applyAlignment="1">
      <alignment horizontal="center" vertical="center"/>
    </xf>
    <xf numFmtId="0" fontId="5" fillId="7" borderId="12" xfId="0" applyFont="1" applyFill="1" applyBorder="1" applyAlignment="1">
      <alignment horizontal="center" vertical="center"/>
    </xf>
    <xf numFmtId="0" fontId="5" fillId="7" borderId="14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textRotation="90"/>
    </xf>
    <xf numFmtId="0" fontId="11" fillId="24" borderId="0" xfId="0" applyFont="1" applyFill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13" fillId="7" borderId="0" xfId="0" applyFont="1" applyFill="1" applyAlignment="1">
      <alignment horizontal="left"/>
    </xf>
    <xf numFmtId="0" fontId="0" fillId="0" borderId="0" xfId="0" quotePrefix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1" fillId="7" borderId="13" xfId="0" applyFont="1" applyFill="1" applyBorder="1" applyAlignment="1">
      <alignment horizontal="center" vertical="center"/>
    </xf>
    <xf numFmtId="0" fontId="11" fillId="7" borderId="12" xfId="0" applyFont="1" applyFill="1" applyBorder="1" applyAlignment="1">
      <alignment horizontal="center" vertical="center"/>
    </xf>
    <xf numFmtId="0" fontId="11" fillId="7" borderId="14" xfId="0" applyFont="1" applyFill="1" applyBorder="1" applyAlignment="1">
      <alignment horizontal="center" vertical="center"/>
    </xf>
    <xf numFmtId="0" fontId="0" fillId="0" borderId="13" xfId="0" quotePrefix="1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14" xfId="0" applyBorder="1" applyAlignment="1">
      <alignment horizontal="left" vertical="center" wrapText="1"/>
    </xf>
    <xf numFmtId="49" fontId="11" fillId="4" borderId="0" xfId="0" applyNumberFormat="1" applyFont="1" applyFill="1" applyAlignment="1">
      <alignment horizontal="center" wrapText="1"/>
    </xf>
    <xf numFmtId="0" fontId="11" fillId="9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textRotation="90"/>
    </xf>
    <xf numFmtId="0" fontId="6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22" fillId="0" borderId="2" xfId="0" applyFont="1" applyBorder="1" applyAlignment="1"/>
    <xf numFmtId="0" fontId="24" fillId="0" borderId="2" xfId="0" applyFont="1" applyBorder="1" applyAlignment="1"/>
    <xf numFmtId="0" fontId="22" fillId="0" borderId="10" xfId="0" applyFont="1" applyBorder="1" applyAlignment="1"/>
    <xf numFmtId="0" fontId="24" fillId="0" borderId="10" xfId="0" applyFont="1" applyBorder="1" applyAlignment="1"/>
    <xf numFmtId="0" fontId="4" fillId="0" borderId="0" xfId="0" applyFont="1" applyAlignment="1"/>
  </cellXfs>
  <cellStyles count="4">
    <cellStyle name="Comma" xfId="3" builtinId="3"/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5353"/>
      <color rgb="FFFFC611"/>
      <color rgb="FFF0EC42"/>
      <color rgb="FFF0DD6A"/>
      <color rgb="FF00D2CD"/>
      <color rgb="FF00E2DD"/>
      <color rgb="FFFF7C80"/>
      <color rgb="FFE9BE43"/>
      <color rgb="FF00EBE6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eetMetadata" Target="metadata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2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Hiệu</a:t>
            </a:r>
            <a:r>
              <a:rPr lang="en-US" sz="1600" b="1" baseline="0"/>
              <a:t> số đánh giá độ hiệu quả của nhà cung cấp                       </a:t>
            </a:r>
            <a:endParaRPr lang="en-US" sz="1600" b="1"/>
          </a:p>
        </c:rich>
      </c:tx>
      <c:layout>
        <c:manualLayout>
          <c:xMode val="edge"/>
          <c:yMode val="edge"/>
          <c:x val="2.9658031868267789E-2"/>
          <c:y val="1.94600773448690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3082153707594431"/>
          <c:y val="0.1170523652293876"/>
          <c:w val="0.64693742406479637"/>
          <c:h val="0.80446427454134106"/>
        </c:manualLayout>
      </c:layout>
      <c:barChart>
        <c:barDir val="bar"/>
        <c:grouping val="clustered"/>
        <c:varyColors val="0"/>
        <c:ser>
          <c:idx val="0"/>
          <c:order val="0"/>
          <c:tx>
            <c:v>Điểm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535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1F-48F3-950C-BFA43E96B86B}"/>
              </c:ext>
            </c:extLst>
          </c:dPt>
          <c:dPt>
            <c:idx val="1"/>
            <c:invertIfNegative val="0"/>
            <c:bubble3D val="0"/>
            <c:spPr>
              <a:solidFill>
                <a:srgbClr val="FF535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51F-48F3-950C-BFA43E96B86B}"/>
              </c:ext>
            </c:extLst>
          </c:dPt>
          <c:dPt>
            <c:idx val="2"/>
            <c:invertIfNegative val="0"/>
            <c:bubble3D val="0"/>
            <c:spPr>
              <a:solidFill>
                <a:srgbClr val="FF535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51F-48F3-950C-BFA43E96B86B}"/>
              </c:ext>
            </c:extLst>
          </c:dPt>
          <c:dPt>
            <c:idx val="3"/>
            <c:invertIfNegative val="0"/>
            <c:bubble3D val="0"/>
            <c:spPr>
              <a:solidFill>
                <a:srgbClr val="FF535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51F-48F3-950C-BFA43E96B86B}"/>
              </c:ext>
            </c:extLst>
          </c:dPt>
          <c:dPt>
            <c:idx val="4"/>
            <c:invertIfNegative val="0"/>
            <c:bubble3D val="0"/>
            <c:spPr>
              <a:solidFill>
                <a:srgbClr val="FF535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51F-48F3-950C-BFA43E96B86B}"/>
              </c:ext>
            </c:extLst>
          </c:dPt>
          <c:dPt>
            <c:idx val="5"/>
            <c:invertIfNegative val="0"/>
            <c:bubble3D val="0"/>
            <c:spPr>
              <a:solidFill>
                <a:srgbClr val="FFC61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51F-48F3-950C-BFA43E96B86B}"/>
              </c:ext>
            </c:extLst>
          </c:dPt>
          <c:dPt>
            <c:idx val="6"/>
            <c:invertIfNegative val="0"/>
            <c:bubble3D val="0"/>
            <c:spPr>
              <a:solidFill>
                <a:srgbClr val="FFC61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51F-48F3-950C-BFA43E96B86B}"/>
              </c:ext>
            </c:extLst>
          </c:dPt>
          <c:dPt>
            <c:idx val="7"/>
            <c:invertIfNegative val="0"/>
            <c:bubble3D val="0"/>
            <c:spPr>
              <a:solidFill>
                <a:srgbClr val="FFC61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51F-48F3-950C-BFA43E96B86B}"/>
              </c:ext>
            </c:extLst>
          </c:dPt>
          <c:dPt>
            <c:idx val="8"/>
            <c:invertIfNegative val="0"/>
            <c:bubble3D val="0"/>
            <c:spPr>
              <a:solidFill>
                <a:srgbClr val="FFC61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51F-48F3-950C-BFA43E96B86B}"/>
              </c:ext>
            </c:extLst>
          </c:dPt>
          <c:dPt>
            <c:idx val="9"/>
            <c:invertIfNegative val="0"/>
            <c:bubble3D val="0"/>
            <c:spPr>
              <a:solidFill>
                <a:srgbClr val="FFC61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51F-48F3-950C-BFA43E96B86B}"/>
              </c:ext>
            </c:extLst>
          </c:dPt>
          <c:dPt>
            <c:idx val="10"/>
            <c:invertIfNegative val="0"/>
            <c:bubble3D val="0"/>
            <c:spPr>
              <a:solidFill>
                <a:srgbClr val="FFC61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51F-48F3-950C-BFA43E96B86B}"/>
              </c:ext>
            </c:extLst>
          </c:dPt>
          <c:dPt>
            <c:idx val="11"/>
            <c:invertIfNegative val="0"/>
            <c:bubble3D val="0"/>
            <c:spPr>
              <a:solidFill>
                <a:srgbClr val="FFC61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51F-48F3-950C-BFA43E96B86B}"/>
              </c:ext>
            </c:extLst>
          </c:dPt>
          <c:dPt>
            <c:idx val="12"/>
            <c:invertIfNegative val="0"/>
            <c:bubble3D val="0"/>
            <c:spPr>
              <a:solidFill>
                <a:srgbClr val="FFC61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551F-48F3-950C-BFA43E96B86B}"/>
              </c:ext>
            </c:extLst>
          </c:dPt>
          <c:dPt>
            <c:idx val="13"/>
            <c:invertIfNegative val="0"/>
            <c:bubble3D val="0"/>
            <c:spPr>
              <a:solidFill>
                <a:srgbClr val="00D2C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551F-48F3-950C-BFA43E96B86B}"/>
              </c:ext>
            </c:extLst>
          </c:dPt>
          <c:dPt>
            <c:idx val="14"/>
            <c:invertIfNegative val="0"/>
            <c:bubble3D val="0"/>
            <c:spPr>
              <a:solidFill>
                <a:srgbClr val="00D2C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551F-48F3-950C-BFA43E96B86B}"/>
              </c:ext>
            </c:extLst>
          </c:dPt>
          <c:dPt>
            <c:idx val="15"/>
            <c:invertIfNegative val="0"/>
            <c:bubble3D val="0"/>
            <c:spPr>
              <a:solidFill>
                <a:srgbClr val="00D2C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551F-48F3-950C-BFA43E96B86B}"/>
              </c:ext>
            </c:extLst>
          </c:dPt>
          <c:cat>
            <c:strRef>
              <c:f>'Data round 3'!$AU$6:$AU$21</c:f>
              <c:strCache>
                <c:ptCount val="16"/>
                <c:pt idx="0">
                  <c:v> CTy TNHH TS Molymer Viet Nam</c:v>
                </c:pt>
                <c:pt idx="1">
                  <c:v> CTy TNHH Shinei Corona </c:v>
                </c:pt>
                <c:pt idx="2">
                  <c:v> CTy ông ty khác</c:v>
                </c:pt>
                <c:pt idx="3">
                  <c:v> CTy TNHH SX&amp;TM Mai Xa Huong</c:v>
                </c:pt>
                <c:pt idx="4">
                  <c:v> CTy Co Phan Hoa Phuong</c:v>
                </c:pt>
                <c:pt idx="5">
                  <c:v> CTyTNHH TM CKVTDL Hoang Long</c:v>
                </c:pt>
                <c:pt idx="6">
                  <c:v> CTy TNHH TM&amp;DV Nhat Minh</c:v>
                </c:pt>
                <c:pt idx="7">
                  <c:v> CTy TNHH TMDV OTo Trieu Giang</c:v>
                </c:pt>
                <c:pt idx="8">
                  <c:v> CTy Co Phan Nhan Luc</c:v>
                </c:pt>
                <c:pt idx="9">
                  <c:v> CTy TNHH Nagata </c:v>
                </c:pt>
                <c:pt idx="10">
                  <c:v> CTy TNHH XNK VINATRADE</c:v>
                </c:pt>
                <c:pt idx="11">
                  <c:v> CTy TNHH An Linh</c:v>
                </c:pt>
                <c:pt idx="12">
                  <c:v> CTy Co Phan O To Viet</c:v>
                </c:pt>
                <c:pt idx="13">
                  <c:v> CTy TNHH Thuong Mai Taiyo</c:v>
                </c:pt>
                <c:pt idx="14">
                  <c:v> CTy TNHH MTV DTPTHT KCN</c:v>
                </c:pt>
                <c:pt idx="15">
                  <c:v> CTy Co Phan Cong Nghe An Toan </c:v>
                </c:pt>
              </c:strCache>
            </c:strRef>
          </c:cat>
          <c:val>
            <c:numRef>
              <c:f>'Data round 3'!$BA$6:$BA$21</c:f>
              <c:numCache>
                <c:formatCode>General</c:formatCode>
                <c:ptCount val="16"/>
                <c:pt idx="0">
                  <c:v>0.95</c:v>
                </c:pt>
                <c:pt idx="1">
                  <c:v>1.7999999999999998</c:v>
                </c:pt>
                <c:pt idx="2">
                  <c:v>2</c:v>
                </c:pt>
                <c:pt idx="3">
                  <c:v>2.0500000000000003</c:v>
                </c:pt>
                <c:pt idx="4">
                  <c:v>2.0500000000000003</c:v>
                </c:pt>
                <c:pt idx="5">
                  <c:v>2.5500000000000003</c:v>
                </c:pt>
                <c:pt idx="6">
                  <c:v>2.8</c:v>
                </c:pt>
                <c:pt idx="7">
                  <c:v>2.85</c:v>
                </c:pt>
                <c:pt idx="8">
                  <c:v>2.9499999999999997</c:v>
                </c:pt>
                <c:pt idx="9">
                  <c:v>3.5</c:v>
                </c:pt>
                <c:pt idx="10">
                  <c:v>3.7</c:v>
                </c:pt>
                <c:pt idx="11">
                  <c:v>4.0999999999999996</c:v>
                </c:pt>
                <c:pt idx="12">
                  <c:v>4.4000000000000004</c:v>
                </c:pt>
                <c:pt idx="13">
                  <c:v>5.7999999999999989</c:v>
                </c:pt>
                <c:pt idx="14">
                  <c:v>6.4499999999999993</c:v>
                </c:pt>
                <c:pt idx="15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551F-48F3-950C-BFA43E96B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6"/>
        <c:axId val="1657503855"/>
        <c:axId val="1657523823"/>
      </c:barChart>
      <c:catAx>
        <c:axId val="16575038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Aharoni" panose="02010803020104030203" pitchFamily="2" charset="-79"/>
              </a:defRPr>
            </a:pPr>
            <a:endParaRPr lang="en-US"/>
          </a:p>
        </c:txPr>
        <c:crossAx val="1657523823"/>
        <c:crosses val="autoZero"/>
        <c:auto val="1"/>
        <c:lblAlgn val="ctr"/>
        <c:lblOffset val="100"/>
        <c:noMultiLvlLbl val="0"/>
      </c:catAx>
      <c:valAx>
        <c:axId val="1657523823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rnd" cmpd="sng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0385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rnd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88018551584398"/>
          <c:y val="4.2707442468567822E-2"/>
          <c:w val="0.72003174324399044"/>
          <c:h val="0.80225014008080453"/>
        </c:manualLayout>
      </c:layout>
      <c:lineChart>
        <c:grouping val="standard"/>
        <c:varyColors val="0"/>
        <c:ser>
          <c:idx val="0"/>
          <c:order val="0"/>
          <c:tx>
            <c:strRef>
              <c:f>'Data round 3'!$BG$3</c:f>
              <c:strCache>
                <c:ptCount val="1"/>
                <c:pt idx="0">
                  <c:v>Total PR  2021</c:v>
                </c:pt>
              </c:strCache>
            </c:strRef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1"/>
            <c:marker>
              <c:symbol val="circle"/>
              <c:size val="7"/>
              <c:spPr>
                <a:solidFill>
                  <a:schemeClr val="bg1">
                    <a:lumMod val="65000"/>
                  </a:schemeClr>
                </a:solidFill>
                <a:ln w="12700">
                  <a:solidFill>
                    <a:schemeClr val="bg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898E-407C-B4C7-E1E09DD47C38}"/>
              </c:ext>
            </c:extLst>
          </c:dPt>
          <c:cat>
            <c:strLit>
              <c:ptCount val="12"/>
              <c:pt idx="0">
                <c:v>J</c:v>
              </c:pt>
              <c:pt idx="1">
                <c:v>F</c:v>
              </c:pt>
              <c:pt idx="2">
                <c:v>M</c:v>
              </c:pt>
              <c:pt idx="3">
                <c:v>A</c:v>
              </c:pt>
              <c:pt idx="4">
                <c:v>M</c:v>
              </c:pt>
              <c:pt idx="5">
                <c:v>J</c:v>
              </c:pt>
              <c:pt idx="6">
                <c:v>J</c:v>
              </c:pt>
              <c:pt idx="7">
                <c:v>A</c:v>
              </c:pt>
              <c:pt idx="8">
                <c:v>S</c:v>
              </c:pt>
              <c:pt idx="9">
                <c:v>O</c:v>
              </c:pt>
              <c:pt idx="10">
                <c:v>N</c:v>
              </c:pt>
              <c:pt idx="11">
                <c:v>D</c:v>
              </c:pt>
            </c:strLit>
          </c:cat>
          <c:val>
            <c:numRef>
              <c:f>'Data round 3'!$BG$4:$BG$15</c:f>
              <c:numCache>
                <c:formatCode>General</c:formatCode>
                <c:ptCount val="12"/>
                <c:pt idx="0">
                  <c:v>363</c:v>
                </c:pt>
                <c:pt idx="1">
                  <c:v>190</c:v>
                </c:pt>
                <c:pt idx="2">
                  <c:v>252</c:v>
                </c:pt>
                <c:pt idx="3">
                  <c:v>447</c:v>
                </c:pt>
                <c:pt idx="4">
                  <c:v>465</c:v>
                </c:pt>
                <c:pt idx="5">
                  <c:v>562</c:v>
                </c:pt>
                <c:pt idx="6">
                  <c:v>574</c:v>
                </c:pt>
                <c:pt idx="7">
                  <c:v>748</c:v>
                </c:pt>
                <c:pt idx="8">
                  <c:v>325</c:v>
                </c:pt>
                <c:pt idx="9">
                  <c:v>240</c:v>
                </c:pt>
                <c:pt idx="10">
                  <c:v>330</c:v>
                </c:pt>
                <c:pt idx="11">
                  <c:v>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8E-407C-B4C7-E1E09DD47C38}"/>
            </c:ext>
          </c:extLst>
        </c:ser>
        <c:ser>
          <c:idx val="1"/>
          <c:order val="1"/>
          <c:tx>
            <c:strRef>
              <c:f>'Data round 3'!$BK$3</c:f>
              <c:strCache>
                <c:ptCount val="1"/>
                <c:pt idx="0">
                  <c:v>Total PR forecast 2022</c:v>
                </c:pt>
              </c:strCache>
            </c:strRef>
          </c:tx>
          <c:spPr>
            <a:ln w="31750" cap="rnd">
              <a:solidFill>
                <a:schemeClr val="accent2">
                  <a:lumMod val="75000"/>
                  <a:alpha val="99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Pt>
            <c:idx val="11"/>
            <c:marker>
              <c:symbol val="circle"/>
              <c:size val="8"/>
              <c:spPr>
                <a:solidFill>
                  <a:schemeClr val="accent2">
                    <a:lumMod val="75000"/>
                  </a:schemeClr>
                </a:solidFill>
                <a:ln w="12700">
                  <a:solidFill>
                    <a:schemeClr val="bg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898E-407C-B4C7-E1E09DD47C38}"/>
              </c:ext>
            </c:extLst>
          </c:dPt>
          <c:cat>
            <c:strLit>
              <c:ptCount val="12"/>
              <c:pt idx="0">
                <c:v>J</c:v>
              </c:pt>
              <c:pt idx="1">
                <c:v>F</c:v>
              </c:pt>
              <c:pt idx="2">
                <c:v>M</c:v>
              </c:pt>
              <c:pt idx="3">
                <c:v>A</c:v>
              </c:pt>
              <c:pt idx="4">
                <c:v>M</c:v>
              </c:pt>
              <c:pt idx="5">
                <c:v>J</c:v>
              </c:pt>
              <c:pt idx="6">
                <c:v>J</c:v>
              </c:pt>
              <c:pt idx="7">
                <c:v>A</c:v>
              </c:pt>
              <c:pt idx="8">
                <c:v>S</c:v>
              </c:pt>
              <c:pt idx="9">
                <c:v>O</c:v>
              </c:pt>
              <c:pt idx="10">
                <c:v>N</c:v>
              </c:pt>
              <c:pt idx="11">
                <c:v>D</c:v>
              </c:pt>
            </c:strLit>
          </c:cat>
          <c:val>
            <c:numRef>
              <c:f>'Data round 3'!$BK$4:$BK$15</c:f>
              <c:numCache>
                <c:formatCode>General</c:formatCode>
                <c:ptCount val="12"/>
                <c:pt idx="0">
                  <c:v>664.71680855927059</c:v>
                </c:pt>
                <c:pt idx="1">
                  <c:v>221.21922917933134</c:v>
                </c:pt>
                <c:pt idx="2">
                  <c:v>447.60439148936166</c:v>
                </c:pt>
                <c:pt idx="3">
                  <c:v>538.17256559270515</c:v>
                </c:pt>
                <c:pt idx="4">
                  <c:v>398.34440680851066</c:v>
                </c:pt>
                <c:pt idx="5">
                  <c:v>698.91399586626142</c:v>
                </c:pt>
                <c:pt idx="6">
                  <c:v>725.21804936170224</c:v>
                </c:pt>
                <c:pt idx="7">
                  <c:v>959.88816534954424</c:v>
                </c:pt>
                <c:pt idx="8">
                  <c:v>719.96264924012155</c:v>
                </c:pt>
                <c:pt idx="9">
                  <c:v>476.25360729483276</c:v>
                </c:pt>
                <c:pt idx="10">
                  <c:v>443.108673556231</c:v>
                </c:pt>
                <c:pt idx="11">
                  <c:v>657.99008748936183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8E-407C-B4C7-E1E09DD47C38}"/>
            </c:ext>
          </c:extLst>
        </c:ser>
        <c:ser>
          <c:idx val="2"/>
          <c:order val="2"/>
          <c:tx>
            <c:strRef>
              <c:f>'Data round 3'!$BM$3</c:f>
              <c:strCache>
                <c:ptCount val="1"/>
                <c:pt idx="0">
                  <c:v>Total PR forecast 2023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dPt>
            <c:idx val="11"/>
            <c:marker>
              <c:symbol val="circle"/>
              <c:size val="8"/>
              <c:spPr>
                <a:solidFill>
                  <a:schemeClr val="accent2"/>
                </a:solidFill>
                <a:ln w="9525">
                  <a:solidFill>
                    <a:schemeClr val="bg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898E-407C-B4C7-E1E09DD47C38}"/>
              </c:ext>
            </c:extLst>
          </c:dPt>
          <c:val>
            <c:numRef>
              <c:f>'Data round 3'!$BM$4:$BM$15</c:f>
              <c:numCache>
                <c:formatCode>General</c:formatCode>
                <c:ptCount val="12"/>
                <c:pt idx="0">
                  <c:v>802.90215683890574</c:v>
                </c:pt>
                <c:pt idx="1">
                  <c:v>266.42449118541037</c:v>
                </c:pt>
                <c:pt idx="2">
                  <c:v>537.53907063829774</c:v>
                </c:pt>
                <c:pt idx="3">
                  <c:v>644.52389252279636</c:v>
                </c:pt>
                <c:pt idx="4">
                  <c:v>475.78815829787237</c:v>
                </c:pt>
                <c:pt idx="5">
                  <c:v>832.62640243161104</c:v>
                </c:pt>
                <c:pt idx="6">
                  <c:v>861.78552510638303</c:v>
                </c:pt>
                <c:pt idx="7">
                  <c:v>1137.8541441945288</c:v>
                </c:pt>
                <c:pt idx="8">
                  <c:v>851.4147927051672</c:v>
                </c:pt>
                <c:pt idx="9">
                  <c:v>561.90568267477204</c:v>
                </c:pt>
                <c:pt idx="10">
                  <c:v>521.62307598784207</c:v>
                </c:pt>
                <c:pt idx="11">
                  <c:v>772.88282971428589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8E-407C-B4C7-E1E09DD47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326376"/>
        <c:axId val="499324736"/>
      </c:lineChart>
      <c:catAx>
        <c:axId val="499326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24736"/>
        <c:crosses val="autoZero"/>
        <c:auto val="1"/>
        <c:lblAlgn val="ctr"/>
        <c:lblOffset val="100"/>
        <c:noMultiLvlLbl val="0"/>
      </c:catAx>
      <c:valAx>
        <c:axId val="4993247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  <a:latin typeface="Arial" panose="020B0604020202020204" pitchFamily="34" charset="0"/>
                    <a:cs typeface="Arial" panose="020B0604020202020204" pitchFamily="34" charset="0"/>
                  </a:rPr>
                  <a:t>Tổng PR</a:t>
                </a:r>
                <a:endParaRPr lang="en-US" sz="800">
                  <a:effectLst/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9.3540119752688888E-3"/>
              <c:y val="5.320613013260981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2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v>Total PR</c:v>
          </c:tx>
          <c:spPr>
            <a:solidFill>
              <a:schemeClr val="accent6">
                <a:lumMod val="40000"/>
                <a:lumOff val="60000"/>
              </a:schemeClr>
            </a:solidFill>
            <a:ln w="15875">
              <a:solidFill>
                <a:schemeClr val="accent6">
                  <a:lumMod val="60000"/>
                  <a:lumOff val="40000"/>
                </a:schemeClr>
              </a:solidFill>
            </a:ln>
            <a:effectLst/>
          </c:spPr>
          <c:invertIfNegative val="0"/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bubbleSize>
            <c:numRef>
              <c:f>Data!$BH$4</c:f>
              <c:numCache>
                <c:formatCode>General</c:formatCode>
                <c:ptCount val="1"/>
                <c:pt idx="0">
                  <c:v>3926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60F8-4604-924D-45D5C70E1286}"/>
            </c:ext>
          </c:extLst>
        </c:ser>
        <c:ser>
          <c:idx val="1"/>
          <c:order val="1"/>
          <c:tx>
            <c:v>PR Urgent</c:v>
          </c:tx>
          <c:spPr>
            <a:solidFill>
              <a:schemeClr val="accent2">
                <a:lumMod val="60000"/>
                <a:lumOff val="40000"/>
              </a:schemeClr>
            </a:solidFill>
            <a:ln w="12700">
              <a:solidFill>
                <a:schemeClr val="accent2"/>
              </a:solidFill>
            </a:ln>
            <a:effectLst/>
          </c:spPr>
          <c:invertIfNegative val="0"/>
          <c:xVal>
            <c:numLit>
              <c:formatCode>General</c:formatCode>
              <c:ptCount val="1"/>
              <c:pt idx="0">
                <c:v>1.1000000000000001</c:v>
              </c:pt>
            </c:numLit>
          </c:xVal>
          <c:yVal>
            <c:numLit>
              <c:formatCode>General</c:formatCode>
              <c:ptCount val="1"/>
              <c:pt idx="0">
                <c:v>0.95</c:v>
              </c:pt>
            </c:numLit>
          </c:yVal>
          <c:bubbleSize>
            <c:numRef>
              <c:f>Data!$BH$10</c:f>
              <c:numCache>
                <c:formatCode>General</c:formatCode>
                <c:ptCount val="1"/>
                <c:pt idx="0">
                  <c:v>134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60F8-4604-924D-45D5C70E1286}"/>
            </c:ext>
          </c:extLst>
        </c:ser>
        <c:ser>
          <c:idx val="2"/>
          <c:order val="2"/>
          <c:tx>
            <c:v>PR Urgent Complete</c:v>
          </c:tx>
          <c:spPr>
            <a:solidFill>
              <a:schemeClr val="accent4">
                <a:lumMod val="40000"/>
                <a:lumOff val="60000"/>
              </a:schemeClr>
            </a:solidFill>
            <a:ln w="12700">
              <a:solidFill>
                <a:schemeClr val="accent4"/>
              </a:solidFill>
            </a:ln>
            <a:effectLst/>
          </c:spPr>
          <c:invertIfNegative val="0"/>
          <c:xVal>
            <c:numLit>
              <c:formatCode>General</c:formatCode>
              <c:ptCount val="1"/>
              <c:pt idx="0">
                <c:v>1.105</c:v>
              </c:pt>
            </c:numLit>
          </c:xVal>
          <c:yVal>
            <c:numLit>
              <c:formatCode>General</c:formatCode>
              <c:ptCount val="1"/>
              <c:pt idx="0">
                <c:v>0.94499999999999995</c:v>
              </c:pt>
            </c:numLit>
          </c:yVal>
          <c:bubbleSize>
            <c:numRef>
              <c:f>Data!$BH$11</c:f>
              <c:numCache>
                <c:formatCode>General</c:formatCode>
                <c:ptCount val="1"/>
                <c:pt idx="0">
                  <c:v>72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60F8-4604-924D-45D5C70E1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300"/>
        <c:showNegBubbles val="0"/>
        <c:axId val="508819239"/>
        <c:axId val="508819599"/>
      </c:bubbleChart>
      <c:valAx>
        <c:axId val="508819239"/>
        <c:scaling>
          <c:orientation val="minMax"/>
          <c:max val="1.5"/>
          <c:min val="0.5"/>
        </c:scaling>
        <c:delete val="1"/>
        <c:axPos val="b"/>
        <c:numFmt formatCode="General" sourceLinked="1"/>
        <c:majorTickMark val="out"/>
        <c:minorTickMark val="none"/>
        <c:tickLblPos val="nextTo"/>
        <c:crossAx val="508819599"/>
        <c:crosses val="autoZero"/>
        <c:crossBetween val="midCat"/>
      </c:valAx>
      <c:valAx>
        <c:axId val="508819599"/>
        <c:scaling>
          <c:orientation val="minMax"/>
          <c:max val="1.2"/>
          <c:min val="0.8"/>
        </c:scaling>
        <c:delete val="1"/>
        <c:axPos val="l"/>
        <c:numFmt formatCode="General" sourceLinked="1"/>
        <c:majorTickMark val="out"/>
        <c:minorTickMark val="none"/>
        <c:tickLblPos val="nextTo"/>
        <c:crossAx val="508819239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vert="horz"/>
          <a:lstStyle/>
          <a:p>
            <a:pPr>
              <a:defRPr sz="1500"/>
            </a:pPr>
            <a:r>
              <a:rPr lang="en-US" sz="1500"/>
              <a:t>Thống</a:t>
            </a:r>
            <a:r>
              <a:rPr lang="en-US" sz="1500" baseline="0"/>
              <a:t> kê tổng số PR và PO từ đầu năm đến tháng 09/2021</a:t>
            </a:r>
            <a:endParaRPr lang="en-US" sz="1500"/>
          </a:p>
        </c:rich>
      </c:tx>
      <c:layout>
        <c:manualLayout>
          <c:xMode val="edge"/>
          <c:yMode val="edge"/>
          <c:x val="1.5320197060564859E-2"/>
          <c:y val="2.603197833811440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9620552044761853E-2"/>
          <c:y val="0.27906379633562378"/>
          <c:w val="0.87598703103288555"/>
          <c:h val="0.57146068336638134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Data!$AU$21</c:f>
              <c:strCache>
                <c:ptCount val="1"/>
                <c:pt idx="0">
                  <c:v>Base PR-PO</c:v>
                </c:pt>
              </c:strCache>
            </c:strRef>
          </c:tx>
          <c:invertIfNegative val="0"/>
          <c:val>
            <c:numRef>
              <c:f>Data!$AV$21:$BG$21</c:f>
              <c:numCache>
                <c:formatCode>General</c:formatCode>
                <c:ptCount val="12"/>
                <c:pt idx="0">
                  <c:v>349</c:v>
                </c:pt>
                <c:pt idx="1">
                  <c:v>181</c:v>
                </c:pt>
                <c:pt idx="2">
                  <c:v>252</c:v>
                </c:pt>
                <c:pt idx="3">
                  <c:v>447</c:v>
                </c:pt>
                <c:pt idx="4">
                  <c:v>408</c:v>
                </c:pt>
                <c:pt idx="5">
                  <c:v>427</c:v>
                </c:pt>
                <c:pt idx="6">
                  <c:v>262</c:v>
                </c:pt>
                <c:pt idx="7">
                  <c:v>343</c:v>
                </c:pt>
                <c:pt idx="8">
                  <c:v>107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F6-42D8-A55C-74A8F859302A}"/>
            </c:ext>
          </c:extLst>
        </c:ser>
        <c:ser>
          <c:idx val="3"/>
          <c:order val="3"/>
          <c:tx>
            <c:strRef>
              <c:f>Data!$AU$22</c:f>
              <c:strCache>
                <c:ptCount val="1"/>
                <c:pt idx="0">
                  <c:v>Gap PR-PO</c:v>
                </c:pt>
              </c:strCache>
            </c:strRef>
          </c:tx>
          <c:spPr>
            <a:pattFill prst="dkUpDiag">
              <a:fgClr>
                <a:srgbClr val="FFC000"/>
              </a:fgClr>
              <a:bgClr>
                <a:schemeClr val="bg1"/>
              </a:bgClr>
            </a:pattFill>
            <a:ln>
              <a:solidFill>
                <a:schemeClr val="bg1"/>
              </a:solidFill>
              <a:prstDash val="sysDot"/>
            </a:ln>
            <a:effectLst/>
          </c:spPr>
          <c:invertIfNegative val="0"/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Data!$AV$22:$BG$22</c:f>
              <c:numCache>
                <c:formatCode>General</c:formatCode>
                <c:ptCount val="12"/>
                <c:pt idx="0">
                  <c:v>14</c:v>
                </c:pt>
                <c:pt idx="1">
                  <c:v>9</c:v>
                </c:pt>
                <c:pt idx="2">
                  <c:v>#N/A</c:v>
                </c:pt>
                <c:pt idx="3">
                  <c:v>#N/A</c:v>
                </c:pt>
                <c:pt idx="4">
                  <c:v>57</c:v>
                </c:pt>
                <c:pt idx="5">
                  <c:v>135</c:v>
                </c:pt>
                <c:pt idx="6">
                  <c:v>312</c:v>
                </c:pt>
                <c:pt idx="7">
                  <c:v>405</c:v>
                </c:pt>
                <c:pt idx="8">
                  <c:v>218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F6-42D8-A55C-74A8F859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3"/>
        <c:overlap val="100"/>
        <c:axId val="609249432"/>
        <c:axId val="609247792"/>
      </c:barChart>
      <c:barChart>
        <c:barDir val="col"/>
        <c:grouping val="clustered"/>
        <c:varyColors val="0"/>
        <c:ser>
          <c:idx val="0"/>
          <c:order val="0"/>
          <c:tx>
            <c:v>Total PR</c:v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Data!$AV$4:$BG$4</c:f>
              <c:numCache>
                <c:formatCode>General</c:formatCode>
                <c:ptCount val="12"/>
                <c:pt idx="0">
                  <c:v>363</c:v>
                </c:pt>
                <c:pt idx="1">
                  <c:v>190</c:v>
                </c:pt>
                <c:pt idx="2">
                  <c:v>252</c:v>
                </c:pt>
                <c:pt idx="3">
                  <c:v>447</c:v>
                </c:pt>
                <c:pt idx="4">
                  <c:v>465</c:v>
                </c:pt>
                <c:pt idx="5">
                  <c:v>562</c:v>
                </c:pt>
                <c:pt idx="6">
                  <c:v>574</c:v>
                </c:pt>
                <c:pt idx="7">
                  <c:v>748</c:v>
                </c:pt>
                <c:pt idx="8">
                  <c:v>325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F6-42D8-A55C-74A8F859302A}"/>
            </c:ext>
          </c:extLst>
        </c:ser>
        <c:ser>
          <c:idx val="1"/>
          <c:order val="1"/>
          <c:tx>
            <c:v>Total PO</c:v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Data!#REF!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Data!$AV$5:$BG$5</c:f>
              <c:numCache>
                <c:formatCode>General</c:formatCode>
                <c:ptCount val="12"/>
                <c:pt idx="0">
                  <c:v>349</c:v>
                </c:pt>
                <c:pt idx="1">
                  <c:v>181</c:v>
                </c:pt>
                <c:pt idx="2">
                  <c:v>273</c:v>
                </c:pt>
                <c:pt idx="3">
                  <c:v>476</c:v>
                </c:pt>
                <c:pt idx="4">
                  <c:v>408</c:v>
                </c:pt>
                <c:pt idx="5">
                  <c:v>427</c:v>
                </c:pt>
                <c:pt idx="6">
                  <c:v>262</c:v>
                </c:pt>
                <c:pt idx="7">
                  <c:v>343</c:v>
                </c:pt>
                <c:pt idx="8">
                  <c:v>107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F6-42D8-A55C-74A8F859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3"/>
        <c:axId val="948959464"/>
        <c:axId val="948955144"/>
      </c:barChart>
      <c:catAx>
        <c:axId val="609249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09247792"/>
        <c:crosses val="autoZero"/>
        <c:auto val="1"/>
        <c:lblAlgn val="ctr"/>
        <c:lblOffset val="100"/>
        <c:noMultiLvlLbl val="0"/>
      </c:catAx>
      <c:valAx>
        <c:axId val="6092477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09249432"/>
        <c:crosses val="autoZero"/>
        <c:crossBetween val="between"/>
        <c:majorUnit val="200"/>
      </c:valAx>
      <c:valAx>
        <c:axId val="94895514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948959464"/>
        <c:crosses val="max"/>
        <c:crossBetween val="between"/>
      </c:valAx>
      <c:catAx>
        <c:axId val="948959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489551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55074700654763"/>
          <c:y val="5.5805749101506194E-2"/>
          <c:w val="0.81139260348964803"/>
          <c:h val="0.77244472138824372"/>
        </c:manualLayout>
      </c:layout>
      <c:areaChart>
        <c:grouping val="stacked"/>
        <c:varyColors val="0"/>
        <c:ser>
          <c:idx val="1"/>
          <c:order val="1"/>
          <c:tx>
            <c:strRef>
              <c:f>'Data round 3'!$BU$3</c:f>
              <c:strCache>
                <c:ptCount val="1"/>
                <c:pt idx="0">
                  <c:v>Total PO</c:v>
                </c:pt>
              </c:strCache>
            </c:strRef>
          </c:tx>
          <c:spPr>
            <a:solidFill>
              <a:schemeClr val="bg1"/>
            </a:solidFill>
            <a:ln w="25400">
              <a:noFill/>
            </a:ln>
            <a:effectLst/>
          </c:spPr>
          <c:val>
            <c:numRef>
              <c:f>'Data round 3'!$BU$4:$BU$18</c:f>
              <c:numCache>
                <c:formatCode>General</c:formatCode>
                <c:ptCount val="15"/>
                <c:pt idx="0">
                  <c:v>349</c:v>
                </c:pt>
                <c:pt idx="1">
                  <c:v>181</c:v>
                </c:pt>
                <c:pt idx="2">
                  <c:v>273</c:v>
                </c:pt>
                <c:pt idx="3">
                  <c:v>476</c:v>
                </c:pt>
                <c:pt idx="4">
                  <c:v>408</c:v>
                </c:pt>
                <c:pt idx="5">
                  <c:v>427</c:v>
                </c:pt>
                <c:pt idx="6">
                  <c:v>262</c:v>
                </c:pt>
                <c:pt idx="7">
                  <c:v>343</c:v>
                </c:pt>
                <c:pt idx="8">
                  <c:v>107</c:v>
                </c:pt>
                <c:pt idx="9">
                  <c:v>178</c:v>
                </c:pt>
                <c:pt idx="10">
                  <c:v>205</c:v>
                </c:pt>
                <c:pt idx="11">
                  <c:v>250</c:v>
                </c:pt>
                <c:pt idx="12">
                  <c:v>306</c:v>
                </c:pt>
                <c:pt idx="13">
                  <c:v>125</c:v>
                </c:pt>
                <c:pt idx="14">
                  <c:v>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E56-436A-A872-BBD202E6848B}"/>
            </c:ext>
          </c:extLst>
        </c:ser>
        <c:ser>
          <c:idx val="2"/>
          <c:order val="2"/>
          <c:tx>
            <c:strRef>
              <c:f>'Data round 3'!$BV$3</c:f>
              <c:strCache>
                <c:ptCount val="1"/>
                <c:pt idx="0">
                  <c:v>Gap PR-PO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val>
            <c:numRef>
              <c:f>'Data round 3'!$BV$4:$BV$18</c:f>
              <c:numCache>
                <c:formatCode>General</c:formatCode>
                <c:ptCount val="15"/>
                <c:pt idx="9">
                  <c:v>62</c:v>
                </c:pt>
                <c:pt idx="10">
                  <c:v>125</c:v>
                </c:pt>
                <c:pt idx="11">
                  <c:v>189</c:v>
                </c:pt>
                <c:pt idx="12">
                  <c:v>358.71680859999998</c:v>
                </c:pt>
                <c:pt idx="13">
                  <c:v>96.219229179999999</c:v>
                </c:pt>
                <c:pt idx="14">
                  <c:v>163.60439149999999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E56-436A-A872-BBD202E68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8307488"/>
        <c:axId val="708313392"/>
      </c:areaChart>
      <c:lineChart>
        <c:grouping val="standard"/>
        <c:varyColors val="0"/>
        <c:ser>
          <c:idx val="0"/>
          <c:order val="0"/>
          <c:tx>
            <c:strRef>
              <c:f>'Data round 3'!$BT$3</c:f>
              <c:strCache>
                <c:ptCount val="1"/>
                <c:pt idx="0">
                  <c:v>Total PR  2021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3"/>
            <c:marker>
              <c:symbol val="none"/>
            </c:marker>
            <c:bubble3D val="0"/>
            <c:spPr>
              <a:ln w="28575" cap="rnd">
                <a:solidFill>
                  <a:schemeClr val="bg1">
                    <a:lumMod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0E56-436A-A872-BBD202E6848B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8575" cap="rnd">
                <a:solidFill>
                  <a:schemeClr val="bg1">
                    <a:lumMod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0E56-436A-A872-BBD202E6848B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8575" cap="rnd">
                <a:solidFill>
                  <a:schemeClr val="bg1">
                    <a:lumMod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0E56-436A-A872-BBD202E6848B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8575" cap="rnd">
                <a:solidFill>
                  <a:schemeClr val="bg1">
                    <a:lumMod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0E56-436A-A872-BBD202E6848B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8575" cap="rnd">
                <a:solidFill>
                  <a:schemeClr val="bg1">
                    <a:lumMod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0E56-436A-A872-BBD202E6848B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8575" cap="rnd">
                <a:solidFill>
                  <a:schemeClr val="bg1">
                    <a:lumMod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0E56-436A-A872-BBD202E6848B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8575" cap="rnd">
                <a:solidFill>
                  <a:schemeClr val="bg1">
                    <a:lumMod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0E56-436A-A872-BBD202E6848B}"/>
              </c:ext>
            </c:extLst>
          </c:dPt>
          <c:cat>
            <c:multiLvlStrRef>
              <c:f>[2]Forecast!$C$20:$D$34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</c:lvl>
                <c:lvl>
                  <c:pt idx="0">
                    <c:v>2021</c:v>
                  </c:pt>
                  <c:pt idx="12">
                    <c:v>2022</c:v>
                  </c:pt>
                </c:lvl>
              </c:multiLvlStrCache>
            </c:multiLvlStrRef>
          </c:cat>
          <c:val>
            <c:numRef>
              <c:f>'Data round 3'!$BT$4:$BT$18</c:f>
              <c:numCache>
                <c:formatCode>General</c:formatCode>
                <c:ptCount val="15"/>
                <c:pt idx="0">
                  <c:v>363</c:v>
                </c:pt>
                <c:pt idx="1">
                  <c:v>190</c:v>
                </c:pt>
                <c:pt idx="2">
                  <c:v>252</c:v>
                </c:pt>
                <c:pt idx="3">
                  <c:v>447</c:v>
                </c:pt>
                <c:pt idx="4">
                  <c:v>465</c:v>
                </c:pt>
                <c:pt idx="5">
                  <c:v>562</c:v>
                </c:pt>
                <c:pt idx="6">
                  <c:v>574</c:v>
                </c:pt>
                <c:pt idx="7">
                  <c:v>748</c:v>
                </c:pt>
                <c:pt idx="8">
                  <c:v>325</c:v>
                </c:pt>
                <c:pt idx="9">
                  <c:v>240</c:v>
                </c:pt>
                <c:pt idx="10">
                  <c:v>330</c:v>
                </c:pt>
                <c:pt idx="11">
                  <c:v>439</c:v>
                </c:pt>
                <c:pt idx="12" formatCode="0">
                  <c:v>664.71680855927059</c:v>
                </c:pt>
                <c:pt idx="13" formatCode="0">
                  <c:v>221.21922917933134</c:v>
                </c:pt>
                <c:pt idx="14" formatCode="0">
                  <c:v>447.60439148936166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E56-436A-A872-BBD202E6848B}"/>
            </c:ext>
          </c:extLst>
        </c:ser>
        <c:ser>
          <c:idx val="3"/>
          <c:order val="3"/>
          <c:tx>
            <c:strRef>
              <c:f>'Data round 3'!$BU$3</c:f>
              <c:strCache>
                <c:ptCount val="1"/>
                <c:pt idx="0">
                  <c:v>Total PO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'Data round 3'!$BU$4:$BU$18</c:f>
              <c:numCache>
                <c:formatCode>General</c:formatCode>
                <c:ptCount val="15"/>
                <c:pt idx="0">
                  <c:v>349</c:v>
                </c:pt>
                <c:pt idx="1">
                  <c:v>181</c:v>
                </c:pt>
                <c:pt idx="2">
                  <c:v>273</c:v>
                </c:pt>
                <c:pt idx="3">
                  <c:v>476</c:v>
                </c:pt>
                <c:pt idx="4">
                  <c:v>408</c:v>
                </c:pt>
                <c:pt idx="5">
                  <c:v>427</c:v>
                </c:pt>
                <c:pt idx="6">
                  <c:v>262</c:v>
                </c:pt>
                <c:pt idx="7">
                  <c:v>343</c:v>
                </c:pt>
                <c:pt idx="8">
                  <c:v>107</c:v>
                </c:pt>
                <c:pt idx="9">
                  <c:v>178</c:v>
                </c:pt>
                <c:pt idx="10">
                  <c:v>205</c:v>
                </c:pt>
                <c:pt idx="11">
                  <c:v>250</c:v>
                </c:pt>
                <c:pt idx="12">
                  <c:v>306</c:v>
                </c:pt>
                <c:pt idx="13">
                  <c:v>125</c:v>
                </c:pt>
                <c:pt idx="14">
                  <c:v>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E56-436A-A872-BBD202E68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326376"/>
        <c:axId val="499324736"/>
      </c:lineChart>
      <c:catAx>
        <c:axId val="499326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24736"/>
        <c:crosses val="autoZero"/>
        <c:auto val="1"/>
        <c:lblAlgn val="ctr"/>
        <c:lblOffset val="100"/>
        <c:noMultiLvlLbl val="0"/>
      </c:catAx>
      <c:valAx>
        <c:axId val="4993247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latin typeface="Arial" panose="020B0604020202020204" pitchFamily="34" charset="0"/>
                    <a:cs typeface="Arial" panose="020B0604020202020204" pitchFamily="34" charset="0"/>
                  </a:rPr>
                  <a:t>Tổng</a:t>
                </a:r>
                <a:r>
                  <a:rPr lang="en-US" sz="1200" baseline="0">
                    <a:latin typeface="Arial" panose="020B0604020202020204" pitchFamily="34" charset="0"/>
                    <a:cs typeface="Arial" panose="020B0604020202020204" pitchFamily="34" charset="0"/>
                  </a:rPr>
                  <a:t> PR</a:t>
                </a:r>
                <a:endParaRPr lang="en-US" sz="1200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2.4143565132459518E-2"/>
              <c:y val="4.206820458918045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26376"/>
        <c:crosses val="autoZero"/>
        <c:crossBetween val="between"/>
      </c:valAx>
      <c:valAx>
        <c:axId val="708313392"/>
        <c:scaling>
          <c:orientation val="minMax"/>
          <c:max val="8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307488"/>
        <c:crosses val="max"/>
        <c:crossBetween val="between"/>
      </c:valAx>
      <c:catAx>
        <c:axId val="708307488"/>
        <c:scaling>
          <c:orientation val="minMax"/>
        </c:scaling>
        <c:delete val="1"/>
        <c:axPos val="b"/>
        <c:majorTickMark val="out"/>
        <c:minorTickMark val="none"/>
        <c:tickLblPos val="nextTo"/>
        <c:crossAx val="7083133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v>Total PR</c:v>
          </c:tx>
          <c:spPr>
            <a:solidFill>
              <a:schemeClr val="accent6">
                <a:lumMod val="40000"/>
                <a:lumOff val="60000"/>
              </a:schemeClr>
            </a:solidFill>
            <a:ln w="15875">
              <a:solidFill>
                <a:schemeClr val="accent6">
                  <a:lumMod val="60000"/>
                  <a:lumOff val="40000"/>
                </a:schemeClr>
              </a:solidFill>
            </a:ln>
            <a:effectLst/>
          </c:spPr>
          <c:invertIfNegative val="0"/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bubbleSize>
            <c:numRef>
              <c:f>Data!$BH$4</c:f>
              <c:numCache>
                <c:formatCode>General</c:formatCode>
                <c:ptCount val="1"/>
                <c:pt idx="0">
                  <c:v>3926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9DB8-464D-A73D-D8F7FEBB5783}"/>
            </c:ext>
          </c:extLst>
        </c:ser>
        <c:ser>
          <c:idx val="1"/>
          <c:order val="1"/>
          <c:tx>
            <c:v>PR Urgent</c:v>
          </c:tx>
          <c:spPr>
            <a:solidFill>
              <a:schemeClr val="accent2">
                <a:lumMod val="60000"/>
                <a:lumOff val="40000"/>
              </a:schemeClr>
            </a:solidFill>
            <a:ln w="12700">
              <a:solidFill>
                <a:schemeClr val="accent2"/>
              </a:solidFill>
            </a:ln>
            <a:effectLst/>
          </c:spPr>
          <c:invertIfNegative val="0"/>
          <c:xVal>
            <c:numLit>
              <c:formatCode>General</c:formatCode>
              <c:ptCount val="1"/>
              <c:pt idx="0">
                <c:v>1.1000000000000001</c:v>
              </c:pt>
            </c:numLit>
          </c:xVal>
          <c:yVal>
            <c:numLit>
              <c:formatCode>General</c:formatCode>
              <c:ptCount val="1"/>
              <c:pt idx="0">
                <c:v>0.95</c:v>
              </c:pt>
            </c:numLit>
          </c:yVal>
          <c:bubbleSize>
            <c:numRef>
              <c:f>Data!$BH$10</c:f>
              <c:numCache>
                <c:formatCode>General</c:formatCode>
                <c:ptCount val="1"/>
                <c:pt idx="0">
                  <c:v>134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3-9DB8-464D-A73D-D8F7FEBB5783}"/>
            </c:ext>
          </c:extLst>
        </c:ser>
        <c:ser>
          <c:idx val="2"/>
          <c:order val="2"/>
          <c:tx>
            <c:v>PR Urgent Complete</c:v>
          </c:tx>
          <c:spPr>
            <a:solidFill>
              <a:schemeClr val="accent4">
                <a:lumMod val="40000"/>
                <a:lumOff val="60000"/>
              </a:schemeClr>
            </a:solidFill>
            <a:ln w="12700">
              <a:solidFill>
                <a:schemeClr val="accent4"/>
              </a:solidFill>
            </a:ln>
            <a:effectLst/>
          </c:spPr>
          <c:invertIfNegative val="0"/>
          <c:xVal>
            <c:numLit>
              <c:formatCode>General</c:formatCode>
              <c:ptCount val="1"/>
              <c:pt idx="0">
                <c:v>1.105</c:v>
              </c:pt>
            </c:numLit>
          </c:xVal>
          <c:yVal>
            <c:numLit>
              <c:formatCode>General</c:formatCode>
              <c:ptCount val="1"/>
              <c:pt idx="0">
                <c:v>0.94499999999999995</c:v>
              </c:pt>
            </c:numLit>
          </c:yVal>
          <c:bubbleSize>
            <c:numRef>
              <c:f>Data!$BH$11</c:f>
              <c:numCache>
                <c:formatCode>General</c:formatCode>
                <c:ptCount val="1"/>
                <c:pt idx="0">
                  <c:v>72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4-9DB8-464D-A73D-D8F7FEBB5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300"/>
        <c:showNegBubbles val="0"/>
        <c:axId val="508819239"/>
        <c:axId val="508819599"/>
      </c:bubbleChart>
      <c:valAx>
        <c:axId val="508819239"/>
        <c:scaling>
          <c:orientation val="minMax"/>
          <c:max val="1.5"/>
          <c:min val="0.5"/>
        </c:scaling>
        <c:delete val="1"/>
        <c:axPos val="b"/>
        <c:numFmt formatCode="General" sourceLinked="1"/>
        <c:majorTickMark val="out"/>
        <c:minorTickMark val="none"/>
        <c:tickLblPos val="nextTo"/>
        <c:crossAx val="508819599"/>
        <c:crosses val="autoZero"/>
        <c:crossBetween val="midCat"/>
      </c:valAx>
      <c:valAx>
        <c:axId val="508819599"/>
        <c:scaling>
          <c:orientation val="minMax"/>
          <c:max val="1.2"/>
          <c:min val="0.8"/>
        </c:scaling>
        <c:delete val="1"/>
        <c:axPos val="l"/>
        <c:numFmt formatCode="General" sourceLinked="1"/>
        <c:majorTickMark val="out"/>
        <c:minorTickMark val="none"/>
        <c:tickLblPos val="nextTo"/>
        <c:crossAx val="508819239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Data!$BP$179</c:f>
              <c:strCache>
                <c:ptCount val="1"/>
                <c:pt idx="0">
                  <c:v>Của nhân viên tạo PR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Data!$BO$180:$BO$182</c:f>
              <c:strCache>
                <c:ptCount val="3"/>
                <c:pt idx="0">
                  <c:v>DO TRUC LAM</c:v>
                </c:pt>
                <c:pt idx="1">
                  <c:v>DO MAI HA</c:v>
                </c:pt>
                <c:pt idx="2">
                  <c:v>BUI NHU BAO</c:v>
                </c:pt>
              </c:strCache>
            </c:strRef>
          </c:cat>
          <c:val>
            <c:numRef>
              <c:f>Data!$BP$180:$BP$182</c:f>
              <c:numCache>
                <c:formatCode>0%</c:formatCode>
                <c:ptCount val="3"/>
                <c:pt idx="0">
                  <c:v>9.0836653386454178E-2</c:v>
                </c:pt>
                <c:pt idx="1">
                  <c:v>1</c:v>
                </c:pt>
                <c:pt idx="2">
                  <c:v>0.52873563218390807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08-42B7-8AC4-67871677F5F7}"/>
            </c:ext>
          </c:extLst>
        </c:ser>
        <c:ser>
          <c:idx val="1"/>
          <c:order val="1"/>
          <c:tx>
            <c:strRef>
              <c:f>Data!$BQ$179</c:f>
              <c:strCache>
                <c:ptCount val="1"/>
                <c:pt idx="0">
                  <c:v>Của nhân viên khác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Data!$BO$180:$BO$182</c:f>
              <c:strCache>
                <c:ptCount val="3"/>
                <c:pt idx="0">
                  <c:v>DO TRUC LAM</c:v>
                </c:pt>
                <c:pt idx="1">
                  <c:v>DO MAI HA</c:v>
                </c:pt>
                <c:pt idx="2">
                  <c:v>BUI NHU BAO</c:v>
                </c:pt>
              </c:strCache>
            </c:strRef>
          </c:cat>
          <c:val>
            <c:numRef>
              <c:f>Data!$BQ$180:$BQ$182</c:f>
              <c:numCache>
                <c:formatCode>0%</c:formatCode>
                <c:ptCount val="3"/>
                <c:pt idx="0">
                  <c:v>0.90916334661354581</c:v>
                </c:pt>
                <c:pt idx="1">
                  <c:v>0</c:v>
                </c:pt>
                <c:pt idx="2">
                  <c:v>0.47126436781609193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08-42B7-8AC4-67871677F5F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100"/>
        <c:axId val="854687232"/>
        <c:axId val="854688312"/>
      </c:barChart>
      <c:catAx>
        <c:axId val="85468723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688312"/>
        <c:crosses val="autoZero"/>
        <c:auto val="1"/>
        <c:lblAlgn val="ctr"/>
        <c:lblOffset val="100"/>
        <c:noMultiLvlLbl val="0"/>
      </c:catAx>
      <c:valAx>
        <c:axId val="854688312"/>
        <c:scaling>
          <c:orientation val="minMax"/>
          <c:max val="1"/>
        </c:scaling>
        <c:delete val="0"/>
        <c:axPos val="t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68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vert="horz"/>
          <a:lstStyle/>
          <a:p>
            <a:pPr>
              <a:defRPr sz="1500"/>
            </a:pPr>
            <a:r>
              <a:rPr lang="en-US" sz="1500"/>
              <a:t>Thống</a:t>
            </a:r>
            <a:r>
              <a:rPr lang="en-US" sz="1500" baseline="0"/>
              <a:t> kê tổng số PR và PO từ đầu năm đến tháng 09/2021</a:t>
            </a:r>
            <a:endParaRPr lang="en-US" sz="1500"/>
          </a:p>
        </c:rich>
      </c:tx>
      <c:layout>
        <c:manualLayout>
          <c:xMode val="edge"/>
          <c:yMode val="edge"/>
          <c:x val="1.5320197060564859E-2"/>
          <c:y val="2.603197833811440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9620552044761853E-2"/>
          <c:y val="0.27906379633562378"/>
          <c:w val="0.87598703103288555"/>
          <c:h val="0.57146068336638134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Data!$AU$21</c:f>
              <c:strCache>
                <c:ptCount val="1"/>
                <c:pt idx="0">
                  <c:v>Base PR-PO</c:v>
                </c:pt>
              </c:strCache>
            </c:strRef>
          </c:tx>
          <c:invertIfNegative val="0"/>
          <c:val>
            <c:numRef>
              <c:f>Data!$AV$21:$BG$21</c:f>
              <c:numCache>
                <c:formatCode>General</c:formatCode>
                <c:ptCount val="12"/>
                <c:pt idx="0">
                  <c:v>349</c:v>
                </c:pt>
                <c:pt idx="1">
                  <c:v>181</c:v>
                </c:pt>
                <c:pt idx="2">
                  <c:v>252</c:v>
                </c:pt>
                <c:pt idx="3">
                  <c:v>447</c:v>
                </c:pt>
                <c:pt idx="4">
                  <c:v>408</c:v>
                </c:pt>
                <c:pt idx="5">
                  <c:v>427</c:v>
                </c:pt>
                <c:pt idx="6">
                  <c:v>262</c:v>
                </c:pt>
                <c:pt idx="7">
                  <c:v>343</c:v>
                </c:pt>
                <c:pt idx="8">
                  <c:v>107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5D-490B-AB58-86DA7DB2FAA8}"/>
            </c:ext>
          </c:extLst>
        </c:ser>
        <c:ser>
          <c:idx val="3"/>
          <c:order val="3"/>
          <c:tx>
            <c:strRef>
              <c:f>Data!$AU$22</c:f>
              <c:strCache>
                <c:ptCount val="1"/>
                <c:pt idx="0">
                  <c:v>Gap PR-PO</c:v>
                </c:pt>
              </c:strCache>
            </c:strRef>
          </c:tx>
          <c:spPr>
            <a:pattFill prst="dkUpDiag">
              <a:fgClr>
                <a:srgbClr val="FFC000"/>
              </a:fgClr>
              <a:bgClr>
                <a:schemeClr val="bg1"/>
              </a:bgClr>
            </a:pattFill>
            <a:ln>
              <a:solidFill>
                <a:schemeClr val="bg1"/>
              </a:solidFill>
              <a:prstDash val="sysDot"/>
            </a:ln>
            <a:effectLst/>
          </c:spPr>
          <c:invertIfNegative val="0"/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Data!$AV$22:$BG$22</c:f>
              <c:numCache>
                <c:formatCode>General</c:formatCode>
                <c:ptCount val="12"/>
                <c:pt idx="0">
                  <c:v>14</c:v>
                </c:pt>
                <c:pt idx="1">
                  <c:v>9</c:v>
                </c:pt>
                <c:pt idx="2">
                  <c:v>#N/A</c:v>
                </c:pt>
                <c:pt idx="3">
                  <c:v>#N/A</c:v>
                </c:pt>
                <c:pt idx="4">
                  <c:v>57</c:v>
                </c:pt>
                <c:pt idx="5">
                  <c:v>135</c:v>
                </c:pt>
                <c:pt idx="6">
                  <c:v>312</c:v>
                </c:pt>
                <c:pt idx="7">
                  <c:v>405</c:v>
                </c:pt>
                <c:pt idx="8">
                  <c:v>218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5D-490B-AB58-86DA7DB2F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3"/>
        <c:overlap val="100"/>
        <c:axId val="609249432"/>
        <c:axId val="609247792"/>
      </c:barChart>
      <c:barChart>
        <c:barDir val="col"/>
        <c:grouping val="clustered"/>
        <c:varyColors val="0"/>
        <c:ser>
          <c:idx val="0"/>
          <c:order val="0"/>
          <c:tx>
            <c:v>Total PR</c:v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Data!$AV$4:$BG$4</c:f>
              <c:numCache>
                <c:formatCode>General</c:formatCode>
                <c:ptCount val="12"/>
                <c:pt idx="0">
                  <c:v>363</c:v>
                </c:pt>
                <c:pt idx="1">
                  <c:v>190</c:v>
                </c:pt>
                <c:pt idx="2">
                  <c:v>252</c:v>
                </c:pt>
                <c:pt idx="3">
                  <c:v>447</c:v>
                </c:pt>
                <c:pt idx="4">
                  <c:v>465</c:v>
                </c:pt>
                <c:pt idx="5">
                  <c:v>562</c:v>
                </c:pt>
                <c:pt idx="6">
                  <c:v>574</c:v>
                </c:pt>
                <c:pt idx="7">
                  <c:v>748</c:v>
                </c:pt>
                <c:pt idx="8">
                  <c:v>325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5D-490B-AB58-86DA7DB2FAA8}"/>
            </c:ext>
          </c:extLst>
        </c:ser>
        <c:ser>
          <c:idx val="1"/>
          <c:order val="1"/>
          <c:tx>
            <c:v>Total PO</c:v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Data!#REF!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Data!$AV$5:$BG$5</c:f>
              <c:numCache>
                <c:formatCode>General</c:formatCode>
                <c:ptCount val="12"/>
                <c:pt idx="0">
                  <c:v>349</c:v>
                </c:pt>
                <c:pt idx="1">
                  <c:v>181</c:v>
                </c:pt>
                <c:pt idx="2">
                  <c:v>273</c:v>
                </c:pt>
                <c:pt idx="3">
                  <c:v>476</c:v>
                </c:pt>
                <c:pt idx="4">
                  <c:v>408</c:v>
                </c:pt>
                <c:pt idx="5">
                  <c:v>427</c:v>
                </c:pt>
                <c:pt idx="6">
                  <c:v>262</c:v>
                </c:pt>
                <c:pt idx="7">
                  <c:v>343</c:v>
                </c:pt>
                <c:pt idx="8">
                  <c:v>107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5D-490B-AB58-86DA7DB2F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3"/>
        <c:axId val="948959464"/>
        <c:axId val="948955144"/>
      </c:barChart>
      <c:catAx>
        <c:axId val="609249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09247792"/>
        <c:crosses val="autoZero"/>
        <c:auto val="1"/>
        <c:lblAlgn val="ctr"/>
        <c:lblOffset val="100"/>
        <c:noMultiLvlLbl val="0"/>
      </c:catAx>
      <c:valAx>
        <c:axId val="6092477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09249432"/>
        <c:crosses val="autoZero"/>
        <c:crossBetween val="between"/>
        <c:majorUnit val="200"/>
      </c:valAx>
      <c:valAx>
        <c:axId val="94895514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948959464"/>
        <c:crosses val="max"/>
        <c:crossBetween val="between"/>
      </c:valAx>
      <c:catAx>
        <c:axId val="948959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489551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4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Thời gian xử lý trung bình là một điểm sáng của phòng thu mua</a:t>
            </a:r>
          </a:p>
        </c:rich>
      </c:tx>
      <c:layout>
        <c:manualLayout>
          <c:xMode val="edge"/>
          <c:yMode val="edge"/>
          <c:x val="1.4289207411501165E-2"/>
          <c:y val="2.75051328476258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4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Data!$AU$9</c:f>
              <c:strCache>
                <c:ptCount val="1"/>
                <c:pt idx="0">
                  <c:v>PR-PO Average Processing Time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Data!$BE$42:$BE$50</c:f>
              <c:numCache>
                <c:formatCode>General</c:formatCode>
                <c:ptCount val="9"/>
                <c:pt idx="0">
                  <c:v>0.75872092999999996</c:v>
                </c:pt>
                <c:pt idx="1">
                  <c:v>1.7976190480000001</c:v>
                </c:pt>
                <c:pt idx="2">
                  <c:v>2.1408450700000001</c:v>
                </c:pt>
                <c:pt idx="3">
                  <c:v>1.8516949149999999</c:v>
                </c:pt>
                <c:pt idx="4">
                  <c:v>1.5585365849999999</c:v>
                </c:pt>
                <c:pt idx="5">
                  <c:v>2.193103448</c:v>
                </c:pt>
                <c:pt idx="6">
                  <c:v>1.8549618320000001</c:v>
                </c:pt>
                <c:pt idx="7">
                  <c:v>1.5552325579999999</c:v>
                </c:pt>
                <c:pt idx="8">
                  <c:v>2.9345794390000002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AE-42EB-889F-C65E8D29CFB7}"/>
            </c:ext>
          </c:extLst>
        </c:ser>
        <c:ser>
          <c:idx val="1"/>
          <c:order val="1"/>
          <c:tx>
            <c:strRef>
              <c:f>Data!$AU$19</c:f>
              <c:strCache>
                <c:ptCount val="1"/>
                <c:pt idx="0">
                  <c:v>Standard Process Time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Data!$AV$19:$BG$19</c:f>
              <c:numCache>
                <c:formatCode>0</c:formatCode>
                <c:ptCount val="12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AE-42EB-889F-C65E8D29C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547672"/>
        <c:axId val="1137553792"/>
      </c:lineChart>
      <c:catAx>
        <c:axId val="1137547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553792"/>
        <c:crosses val="autoZero"/>
        <c:auto val="1"/>
        <c:lblAlgn val="ctr"/>
        <c:lblOffset val="100"/>
        <c:noMultiLvlLbl val="0"/>
      </c:catAx>
      <c:valAx>
        <c:axId val="1137553792"/>
        <c:scaling>
          <c:orientation val="minMax"/>
          <c:max val="14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547672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Total PO complete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230529007111374"/>
          <c:y val="0.19260455604442539"/>
          <c:w val="0.60764165800029712"/>
          <c:h val="0.73611473065997057"/>
        </c:manualLayout>
      </c:layout>
      <c:doughnutChart>
        <c:varyColors val="1"/>
        <c:ser>
          <c:idx val="0"/>
          <c:order val="0"/>
          <c:tx>
            <c:strRef>
              <c:f>Data!$AU$18</c:f>
              <c:strCache>
                <c:ptCount val="1"/>
                <c:pt idx="0">
                  <c:v>% PO Complete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896-4355-9BB4-E44BD8603CBD}"/>
              </c:ext>
            </c:extLst>
          </c:dPt>
          <c:dPt>
            <c:idx val="1"/>
            <c:bubble3D val="0"/>
            <c:spPr>
              <a:solidFill>
                <a:schemeClr val="accent6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680-4B29-B20A-AC64601F0A2F}"/>
              </c:ext>
            </c:extLst>
          </c:dPt>
          <c:dLbls>
            <c:dLbl>
              <c:idx val="0"/>
              <c:layout>
                <c:manualLayout>
                  <c:x val="-9.9046549114209806E-2"/>
                  <c:y val="-0.27931840205367042"/>
                </c:manualLayout>
              </c:layout>
              <c:spPr>
                <a:noFill/>
                <a:ln>
                  <a:noFill/>
                </a:ln>
                <a:effectLst>
                  <a:outerShdw dist="190500" dir="3780000" sx="1000" sy="1000" algn="ctr" rotWithShape="0">
                    <a:sysClr val="window" lastClr="FFFFFF"/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500" b="1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28426547341373987"/>
                      <c:h val="0.319896295976982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896-4355-9BB4-E44BD8603CB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680-4B29-B20A-AC64601F0A2F}"/>
                </c:ext>
              </c:extLst>
            </c:dLbl>
            <c:spPr>
              <a:noFill/>
              <a:ln>
                <a:noFill/>
              </a:ln>
              <a:effectLst>
                <a:outerShdw dist="190500" dir="3780000" sx="1000" sy="1000" algn="ctr" rotWithShape="0">
                  <a:sysClr val="window" lastClr="FFFFFF"/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5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Data!$AV$18:$AW$18</c:f>
              <c:numCache>
                <c:formatCode>0%</c:formatCode>
                <c:ptCount val="2"/>
                <c:pt idx="0">
                  <c:v>0.87473460721868368</c:v>
                </c:pt>
                <c:pt idx="1">
                  <c:v>0.12526539278131632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5896-4355-9BB4-E44BD8603CB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vert="horz"/>
          <a:lstStyle/>
          <a:p>
            <a:pPr>
              <a:defRPr sz="1400"/>
            </a:pPr>
            <a:r>
              <a:rPr lang="en-US" sz="1400"/>
              <a:t>Total PR &amp; Total PO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9620552044761853E-2"/>
          <c:y val="0.27906379633562378"/>
          <c:w val="0.87598703103288555"/>
          <c:h val="0.57146068336638134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Data!$AU$21</c:f>
              <c:strCache>
                <c:ptCount val="1"/>
                <c:pt idx="0">
                  <c:v>Base PR-PO</c:v>
                </c:pt>
              </c:strCache>
            </c:strRef>
          </c:tx>
          <c:invertIfNegative val="0"/>
          <c:val>
            <c:numRef>
              <c:f>Data!$AV$21:$BG$21</c:f>
              <c:numCache>
                <c:formatCode>General</c:formatCode>
                <c:ptCount val="12"/>
                <c:pt idx="0">
                  <c:v>349</c:v>
                </c:pt>
                <c:pt idx="1">
                  <c:v>181</c:v>
                </c:pt>
                <c:pt idx="2">
                  <c:v>252</c:v>
                </c:pt>
                <c:pt idx="3">
                  <c:v>447</c:v>
                </c:pt>
                <c:pt idx="4">
                  <c:v>408</c:v>
                </c:pt>
                <c:pt idx="5">
                  <c:v>427</c:v>
                </c:pt>
                <c:pt idx="6">
                  <c:v>262</c:v>
                </c:pt>
                <c:pt idx="7">
                  <c:v>343</c:v>
                </c:pt>
                <c:pt idx="8">
                  <c:v>107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3E7-4D5C-BBA8-2B17ABA2A06F}"/>
            </c:ext>
          </c:extLst>
        </c:ser>
        <c:ser>
          <c:idx val="3"/>
          <c:order val="3"/>
          <c:tx>
            <c:strRef>
              <c:f>Data!$AU$22</c:f>
              <c:strCache>
                <c:ptCount val="1"/>
                <c:pt idx="0">
                  <c:v>Gap PR-PO</c:v>
                </c:pt>
              </c:strCache>
            </c:strRef>
          </c:tx>
          <c:spPr>
            <a:solidFill>
              <a:srgbClr val="FFB3B3"/>
            </a:solidFill>
            <a:ln>
              <a:solidFill>
                <a:schemeClr val="bg1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 lIns="228600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Data!$AV$22:$BG$22</c:f>
              <c:numCache>
                <c:formatCode>General</c:formatCode>
                <c:ptCount val="12"/>
                <c:pt idx="0">
                  <c:v>14</c:v>
                </c:pt>
                <c:pt idx="1">
                  <c:v>9</c:v>
                </c:pt>
                <c:pt idx="2">
                  <c:v>#N/A</c:v>
                </c:pt>
                <c:pt idx="3">
                  <c:v>#N/A</c:v>
                </c:pt>
                <c:pt idx="4">
                  <c:v>57</c:v>
                </c:pt>
                <c:pt idx="5">
                  <c:v>135</c:v>
                </c:pt>
                <c:pt idx="6">
                  <c:v>312</c:v>
                </c:pt>
                <c:pt idx="7">
                  <c:v>405</c:v>
                </c:pt>
                <c:pt idx="8">
                  <c:v>218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8F-4576-94CB-262247246D33}"/>
            </c:ext>
          </c:extLst>
        </c:ser>
        <c:ser>
          <c:idx val="5"/>
          <c:order val="4"/>
          <c:tx>
            <c:v>Gap PO-PR</c:v>
          </c:tx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bg1"/>
              </a:solidFill>
              <a:prstDash val="sysDot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val>
            <c:numRef>
              <c:f>Data!$AV$23:$BG$23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21</c:v>
                </c:pt>
                <c:pt idx="3">
                  <c:v>29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3E7-4D5C-BBA8-2B17ABA2A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3"/>
        <c:overlap val="100"/>
        <c:axId val="609249432"/>
        <c:axId val="609247792"/>
      </c:barChart>
      <c:barChart>
        <c:barDir val="col"/>
        <c:grouping val="clustered"/>
        <c:varyColors val="0"/>
        <c:ser>
          <c:idx val="0"/>
          <c:order val="0"/>
          <c:tx>
            <c:v>Total PR</c:v>
          </c:tx>
          <c:spPr>
            <a:solidFill>
              <a:srgbClr val="669F3F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Data!$AV$4:$BG$4</c:f>
              <c:numCache>
                <c:formatCode>General</c:formatCode>
                <c:ptCount val="12"/>
                <c:pt idx="0">
                  <c:v>363</c:v>
                </c:pt>
                <c:pt idx="1">
                  <c:v>190</c:v>
                </c:pt>
                <c:pt idx="2">
                  <c:v>252</c:v>
                </c:pt>
                <c:pt idx="3">
                  <c:v>447</c:v>
                </c:pt>
                <c:pt idx="4">
                  <c:v>465</c:v>
                </c:pt>
                <c:pt idx="5">
                  <c:v>562</c:v>
                </c:pt>
                <c:pt idx="6">
                  <c:v>574</c:v>
                </c:pt>
                <c:pt idx="7">
                  <c:v>748</c:v>
                </c:pt>
                <c:pt idx="8">
                  <c:v>325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D6-4354-8711-24DB6BF60A99}"/>
            </c:ext>
          </c:extLst>
        </c:ser>
        <c:ser>
          <c:idx val="1"/>
          <c:order val="1"/>
          <c:tx>
            <c:v>Total PO</c:v>
          </c:tx>
          <c:spPr>
            <a:solidFill>
              <a:srgbClr val="A4CF87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Data!#REF!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Data!$AV$5:$BG$5</c:f>
              <c:numCache>
                <c:formatCode>General</c:formatCode>
                <c:ptCount val="12"/>
                <c:pt idx="0">
                  <c:v>349</c:v>
                </c:pt>
                <c:pt idx="1">
                  <c:v>181</c:v>
                </c:pt>
                <c:pt idx="2">
                  <c:v>273</c:v>
                </c:pt>
                <c:pt idx="3">
                  <c:v>476</c:v>
                </c:pt>
                <c:pt idx="4">
                  <c:v>408</c:v>
                </c:pt>
                <c:pt idx="5">
                  <c:v>427</c:v>
                </c:pt>
                <c:pt idx="6">
                  <c:v>262</c:v>
                </c:pt>
                <c:pt idx="7">
                  <c:v>343</c:v>
                </c:pt>
                <c:pt idx="8">
                  <c:v>107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D6-4354-8711-24DB6BF60A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3"/>
        <c:axId val="948959464"/>
        <c:axId val="948955144"/>
      </c:barChart>
      <c:catAx>
        <c:axId val="609249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09247792"/>
        <c:crosses val="autoZero"/>
        <c:auto val="1"/>
        <c:lblAlgn val="ctr"/>
        <c:lblOffset val="100"/>
        <c:noMultiLvlLbl val="0"/>
      </c:catAx>
      <c:valAx>
        <c:axId val="60924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09249432"/>
        <c:crosses val="autoZero"/>
        <c:crossBetween val="between"/>
        <c:majorUnit val="200"/>
      </c:valAx>
      <c:valAx>
        <c:axId val="94895514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948959464"/>
        <c:crosses val="max"/>
        <c:crossBetween val="between"/>
      </c:valAx>
      <c:catAx>
        <c:axId val="948959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489551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overlay val="0"/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PR Urgent &amp; PR Urgent Complete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v>Base PR Urgent Com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Data!$AV$11:$BG$11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</c:v>
                </c:pt>
                <c:pt idx="5">
                  <c:v>25</c:v>
                </c:pt>
                <c:pt idx="6">
                  <c:v>29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45-47D4-87FF-2DFDF36DA788}"/>
            </c:ext>
          </c:extLst>
        </c:ser>
        <c:ser>
          <c:idx val="3"/>
          <c:order val="3"/>
          <c:tx>
            <c:strRef>
              <c:f>Data!$AU$24</c:f>
              <c:strCache>
                <c:ptCount val="1"/>
                <c:pt idx="0">
                  <c:v>Gap PR Urgent</c:v>
                </c:pt>
              </c:strCache>
            </c:strRef>
          </c:tx>
          <c:spPr>
            <a:solidFill>
              <a:srgbClr val="FFB3B3"/>
            </a:solidFill>
            <a:ln w="3175">
              <a:solidFill>
                <a:schemeClr val="bg1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Data!$AV$24:$BG$24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</c:v>
                </c:pt>
                <c:pt idx="5">
                  <c:v>#N/A</c:v>
                </c:pt>
                <c:pt idx="6">
                  <c:v>5</c:v>
                </c:pt>
                <c:pt idx="7">
                  <c:v>34</c:v>
                </c:pt>
                <c:pt idx="8">
                  <c:v>14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45-47D4-87FF-2DFDF36DA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overlap val="-10"/>
        <c:axId val="820921168"/>
        <c:axId val="820921528"/>
      </c:barChart>
      <c:barChart>
        <c:barDir val="col"/>
        <c:grouping val="clustered"/>
        <c:varyColors val="0"/>
        <c:ser>
          <c:idx val="0"/>
          <c:order val="0"/>
          <c:tx>
            <c:strRef>
              <c:f>Data!$AU$10</c:f>
              <c:strCache>
                <c:ptCount val="1"/>
                <c:pt idx="0">
                  <c:v>PR_Urgent</c:v>
                </c:pt>
              </c:strCache>
            </c:strRef>
          </c:tx>
          <c:spPr>
            <a:solidFill>
              <a:srgbClr val="62983E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Data!$AV$10:$BG$10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18</c:v>
                </c:pt>
                <c:pt idx="5">
                  <c:v>25</c:v>
                </c:pt>
                <c:pt idx="6">
                  <c:v>34</c:v>
                </c:pt>
                <c:pt idx="7">
                  <c:v>43</c:v>
                </c:pt>
                <c:pt idx="8">
                  <c:v>14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45-47D4-87FF-2DFDF36DA788}"/>
            </c:ext>
          </c:extLst>
        </c:ser>
        <c:ser>
          <c:idx val="1"/>
          <c:order val="1"/>
          <c:tx>
            <c:strRef>
              <c:f>Data!$AU$11</c:f>
              <c:strCache>
                <c:ptCount val="1"/>
                <c:pt idx="0">
                  <c:v>PR_Urgent_complete</c:v>
                </c:pt>
              </c:strCache>
            </c:strRef>
          </c:tx>
          <c:spPr>
            <a:solidFill>
              <a:srgbClr val="97C876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Data!$AV$11:$BG$11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</c:v>
                </c:pt>
                <c:pt idx="5">
                  <c:v>25</c:v>
                </c:pt>
                <c:pt idx="6">
                  <c:v>29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45-47D4-87FF-2DFDF36DA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3"/>
        <c:axId val="749150800"/>
        <c:axId val="749147560"/>
      </c:barChart>
      <c:catAx>
        <c:axId val="820921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921528"/>
        <c:crosses val="autoZero"/>
        <c:auto val="1"/>
        <c:lblAlgn val="ctr"/>
        <c:lblOffset val="100"/>
        <c:noMultiLvlLbl val="0"/>
      </c:catAx>
      <c:valAx>
        <c:axId val="820921528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921168"/>
        <c:crosses val="autoZero"/>
        <c:crossBetween val="between"/>
        <c:majorUnit val="15"/>
      </c:valAx>
      <c:valAx>
        <c:axId val="749147560"/>
        <c:scaling>
          <c:orientation val="minMax"/>
          <c:max val="50"/>
        </c:scaling>
        <c:delete val="1"/>
        <c:axPos val="r"/>
        <c:numFmt formatCode="General" sourceLinked="1"/>
        <c:majorTickMark val="out"/>
        <c:minorTickMark val="none"/>
        <c:tickLblPos val="nextTo"/>
        <c:crossAx val="749150800"/>
        <c:crosses val="max"/>
        <c:crossBetween val="between"/>
      </c:valAx>
      <c:catAx>
        <c:axId val="749150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491475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Data!$AU$6</c:f>
          <c:strCache>
            <c:ptCount val="1"/>
            <c:pt idx="0">
              <c:v>PR pending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Data!$AU$6</c:f>
              <c:strCache>
                <c:ptCount val="1"/>
                <c:pt idx="0">
                  <c:v>PR pending</c:v>
                </c:pt>
              </c:strCache>
            </c:strRef>
          </c:tx>
          <c:spPr>
            <a:solidFill>
              <a:srgbClr val="8BC365"/>
            </a:solidFill>
            <a:ln>
              <a:solidFill>
                <a:schemeClr val="accent6">
                  <a:lumMod val="75000"/>
                  <a:alpha val="98000"/>
                </a:schemeClr>
              </a:solidFill>
            </a:ln>
            <a:effectLst/>
          </c:spPr>
          <c:invertIfNegative val="0"/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Data!$AV$6:$BG$6</c:f>
              <c:numCache>
                <c:formatCode>General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65</c:v>
                </c:pt>
                <c:pt idx="5">
                  <c:v>187</c:v>
                </c:pt>
                <c:pt idx="6">
                  <c:v>325</c:v>
                </c:pt>
                <c:pt idx="7">
                  <c:v>417</c:v>
                </c:pt>
                <c:pt idx="8">
                  <c:v>243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6-4C44-83B8-E271E3CD6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axId val="820933048"/>
        <c:axId val="820933408"/>
      </c:barChart>
      <c:lineChart>
        <c:grouping val="stacked"/>
        <c:varyColors val="0"/>
        <c:ser>
          <c:idx val="1"/>
          <c:order val="1"/>
          <c:tx>
            <c:strRef>
              <c:f>Data!$AU$25</c:f>
              <c:strCache>
                <c:ptCount val="1"/>
                <c:pt idx="0">
                  <c:v>Difference Between Each Month</c:v>
                </c:pt>
              </c:strCache>
            </c:strRef>
          </c:tx>
          <c:spPr>
            <a:ln w="28575" cap="rnd">
              <a:solidFill>
                <a:srgbClr val="FFD54F"/>
              </a:solidFill>
              <a:round/>
            </a:ln>
            <a:effectLst/>
          </c:spPr>
          <c:marker>
            <c:symbol val="none"/>
          </c:marker>
          <c:dLbls>
            <c:numFmt formatCode="[Red]\▲0;[Blue]\▼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Data!$AV$25:$BG$25</c:f>
              <c:numCache>
                <c:formatCode>General</c:formatCode>
                <c:ptCount val="12"/>
                <c:pt idx="0">
                  <c:v>3</c:v>
                </c:pt>
                <c:pt idx="1">
                  <c:v>#N/A</c:v>
                </c:pt>
                <c:pt idx="2">
                  <c:v>1</c:v>
                </c:pt>
                <c:pt idx="3">
                  <c:v>3</c:v>
                </c:pt>
                <c:pt idx="4">
                  <c:v>58</c:v>
                </c:pt>
                <c:pt idx="5">
                  <c:v>122</c:v>
                </c:pt>
                <c:pt idx="6">
                  <c:v>138</c:v>
                </c:pt>
                <c:pt idx="7">
                  <c:v>92</c:v>
                </c:pt>
                <c:pt idx="8">
                  <c:v>-174</c:v>
                </c:pt>
                <c:pt idx="9">
                  <c:v>-243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26-4C44-83B8-E271E3CD6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492520"/>
        <c:axId val="743497920"/>
      </c:lineChart>
      <c:catAx>
        <c:axId val="820933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933408"/>
        <c:crosses val="autoZero"/>
        <c:auto val="1"/>
        <c:lblAlgn val="ctr"/>
        <c:lblOffset val="100"/>
        <c:noMultiLvlLbl val="0"/>
      </c:catAx>
      <c:valAx>
        <c:axId val="82093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933048"/>
        <c:crosses val="autoZero"/>
        <c:crossBetween val="between"/>
        <c:majorUnit val="150"/>
      </c:valAx>
      <c:valAx>
        <c:axId val="743497920"/>
        <c:scaling>
          <c:orientation val="minMax"/>
          <c:max val="250"/>
          <c:min val="-5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492520"/>
        <c:crosses val="max"/>
        <c:crossBetween val="between"/>
      </c:valAx>
      <c:catAx>
        <c:axId val="74349252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43497920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Data!$AU$7</c:f>
          <c:strCache>
            <c:ptCount val="1"/>
            <c:pt idx="0">
              <c:v>PO pending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Data!$AU$7</c:f>
              <c:strCache>
                <c:ptCount val="1"/>
                <c:pt idx="0">
                  <c:v>PO pending</c:v>
                </c:pt>
              </c:strCache>
            </c:strRef>
          </c:tx>
          <c:spPr>
            <a:solidFill>
              <a:srgbClr val="A4CF87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Data!$AV$7:$BG$7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23</c:v>
                </c:pt>
                <c:pt idx="3">
                  <c:v>23</c:v>
                </c:pt>
                <c:pt idx="4">
                  <c:v>44</c:v>
                </c:pt>
                <c:pt idx="5">
                  <c:v>27</c:v>
                </c:pt>
                <c:pt idx="6">
                  <c:v>55</c:v>
                </c:pt>
                <c:pt idx="7">
                  <c:v>127</c:v>
                </c:pt>
                <c:pt idx="8">
                  <c:v>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8C-4050-AB92-03673F167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axId val="705265792"/>
        <c:axId val="705266152"/>
      </c:barChart>
      <c:catAx>
        <c:axId val="705265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66152"/>
        <c:crosses val="autoZero"/>
        <c:auto val="1"/>
        <c:lblAlgn val="ctr"/>
        <c:lblOffset val="100"/>
        <c:noMultiLvlLbl val="0"/>
      </c:catAx>
      <c:valAx>
        <c:axId val="705266152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65792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Data!$AU$6</c:f>
          <c:strCache>
            <c:ptCount val="1"/>
            <c:pt idx="0">
              <c:v>PR pending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Data!$AU$6</c:f>
              <c:strCache>
                <c:ptCount val="1"/>
                <c:pt idx="0">
                  <c:v>PR pending</c:v>
                </c:pt>
              </c:strCache>
            </c:strRef>
          </c:tx>
          <c:spPr>
            <a:solidFill>
              <a:srgbClr val="8BC365"/>
            </a:solidFill>
            <a:ln>
              <a:solidFill>
                <a:schemeClr val="accent6">
                  <a:lumMod val="75000"/>
                  <a:alpha val="98000"/>
                </a:schemeClr>
              </a:solidFill>
            </a:ln>
            <a:effectLst/>
          </c:spPr>
          <c:invertIfNegative val="0"/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Data!$AV$6:$BG$6</c:f>
              <c:numCache>
                <c:formatCode>General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65</c:v>
                </c:pt>
                <c:pt idx="5">
                  <c:v>187</c:v>
                </c:pt>
                <c:pt idx="6">
                  <c:v>325</c:v>
                </c:pt>
                <c:pt idx="7">
                  <c:v>417</c:v>
                </c:pt>
                <c:pt idx="8">
                  <c:v>243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D9-4ED2-977C-6EBDA3BBB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axId val="820933048"/>
        <c:axId val="820933408"/>
      </c:barChart>
      <c:catAx>
        <c:axId val="820933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933408"/>
        <c:crosses val="autoZero"/>
        <c:auto val="1"/>
        <c:lblAlgn val="ctr"/>
        <c:lblOffset val="100"/>
        <c:noMultiLvlLbl val="0"/>
      </c:catAx>
      <c:valAx>
        <c:axId val="82093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933048"/>
        <c:crosses val="autoZero"/>
        <c:crossBetween val="between"/>
        <c:majorUnit val="15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[3]Data!$AU$6</c:f>
          <c:strCache>
            <c:ptCount val="1"/>
            <c:pt idx="0">
              <c:v>PR pending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Data!$AU$6</c:f>
              <c:strCache>
                <c:ptCount val="1"/>
                <c:pt idx="0">
                  <c:v>PR pending</c:v>
                </c:pt>
              </c:strCache>
            </c:strRef>
          </c:tx>
          <c:spPr>
            <a:solidFill>
              <a:srgbClr val="8BC365"/>
            </a:solidFill>
            <a:ln>
              <a:solidFill>
                <a:schemeClr val="accent6">
                  <a:lumMod val="75000"/>
                  <a:alpha val="98000"/>
                </a:schemeClr>
              </a:solidFill>
            </a:ln>
            <a:effectLst/>
          </c:spPr>
          <c:invertIfNegative val="0"/>
          <c:cat>
            <c:strRef>
              <c:f>[3]Data!$AV$3:$BG$3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Data!$AV$6:$BG$6</c:f>
              <c:numCache>
                <c:formatCode>General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65</c:v>
                </c:pt>
                <c:pt idx="5">
                  <c:v>187</c:v>
                </c:pt>
                <c:pt idx="6">
                  <c:v>325</c:v>
                </c:pt>
                <c:pt idx="7">
                  <c:v>417</c:v>
                </c:pt>
                <c:pt idx="8">
                  <c:v>243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5D-4253-9897-BF14BC447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axId val="820933048"/>
        <c:axId val="820933408"/>
      </c:barChart>
      <c:lineChart>
        <c:grouping val="stacked"/>
        <c:varyColors val="0"/>
        <c:ser>
          <c:idx val="1"/>
          <c:order val="1"/>
          <c:tx>
            <c:strRef>
              <c:f>Data!$AU$25</c:f>
              <c:strCache>
                <c:ptCount val="1"/>
                <c:pt idx="0">
                  <c:v>Difference Between Each Month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[Red]\▲0;[Blue]\▼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Data!$AV$25:$BG$25</c:f>
              <c:numCache>
                <c:formatCode>General</c:formatCode>
                <c:ptCount val="12"/>
                <c:pt idx="0">
                  <c:v>3</c:v>
                </c:pt>
                <c:pt idx="1">
                  <c:v>#N/A</c:v>
                </c:pt>
                <c:pt idx="2">
                  <c:v>1</c:v>
                </c:pt>
                <c:pt idx="3">
                  <c:v>3</c:v>
                </c:pt>
                <c:pt idx="4">
                  <c:v>58</c:v>
                </c:pt>
                <c:pt idx="5">
                  <c:v>122</c:v>
                </c:pt>
                <c:pt idx="6">
                  <c:v>138</c:v>
                </c:pt>
                <c:pt idx="7">
                  <c:v>92</c:v>
                </c:pt>
                <c:pt idx="8">
                  <c:v>-174</c:v>
                </c:pt>
                <c:pt idx="9">
                  <c:v>-243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5D-4253-9897-BF14BC447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492520"/>
        <c:axId val="743497920"/>
      </c:lineChart>
      <c:catAx>
        <c:axId val="820933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933408"/>
        <c:crosses val="autoZero"/>
        <c:auto val="1"/>
        <c:lblAlgn val="ctr"/>
        <c:lblOffset val="100"/>
        <c:noMultiLvlLbl val="0"/>
      </c:catAx>
      <c:valAx>
        <c:axId val="82093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933048"/>
        <c:crosses val="autoZero"/>
        <c:crossBetween val="between"/>
        <c:majorUnit val="150"/>
      </c:valAx>
      <c:valAx>
        <c:axId val="743497920"/>
        <c:scaling>
          <c:orientation val="minMax"/>
          <c:max val="250"/>
          <c:min val="-5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492520"/>
        <c:crosses val="max"/>
        <c:crossBetween val="between"/>
      </c:valAx>
      <c:catAx>
        <c:axId val="74349252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43497920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[3]Data!$AU$7</c:f>
          <c:strCache>
            <c:ptCount val="1"/>
            <c:pt idx="0">
              <c:v>PO pending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Data!$AU$7</c:f>
              <c:strCache>
                <c:ptCount val="1"/>
                <c:pt idx="0">
                  <c:v>PO pending</c:v>
                </c:pt>
              </c:strCache>
            </c:strRef>
          </c:tx>
          <c:spPr>
            <a:solidFill>
              <a:srgbClr val="A4CF87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strRef>
              <c:f>[3]Data!$AV$3:$BG$3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Data!$AV$7:$BG$7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23</c:v>
                </c:pt>
                <c:pt idx="3">
                  <c:v>23</c:v>
                </c:pt>
                <c:pt idx="4">
                  <c:v>44</c:v>
                </c:pt>
                <c:pt idx="5">
                  <c:v>27</c:v>
                </c:pt>
                <c:pt idx="6">
                  <c:v>55</c:v>
                </c:pt>
                <c:pt idx="7">
                  <c:v>127</c:v>
                </c:pt>
                <c:pt idx="8">
                  <c:v>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64-476B-B639-A1509563F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axId val="705265792"/>
        <c:axId val="705266152"/>
      </c:barChart>
      <c:lineChart>
        <c:grouping val="stacked"/>
        <c:varyColors val="0"/>
        <c:ser>
          <c:idx val="1"/>
          <c:order val="1"/>
          <c:tx>
            <c:strRef>
              <c:f>Data!$AU$26</c:f>
              <c:strCache>
                <c:ptCount val="1"/>
                <c:pt idx="0">
                  <c:v>Difference Between Each Month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[Red]\▲0;[Blue]\▼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Data!$AV$26:$BG$26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18</c:v>
                </c:pt>
                <c:pt idx="3">
                  <c:v>#N/A</c:v>
                </c:pt>
                <c:pt idx="4">
                  <c:v>21</c:v>
                </c:pt>
                <c:pt idx="5">
                  <c:v>-17</c:v>
                </c:pt>
                <c:pt idx="6">
                  <c:v>28</c:v>
                </c:pt>
                <c:pt idx="7">
                  <c:v>72</c:v>
                </c:pt>
                <c:pt idx="8">
                  <c:v>-29</c:v>
                </c:pt>
                <c:pt idx="9">
                  <c:v>-98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64-476B-B639-A1509563F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328848"/>
        <c:axId val="632326328"/>
      </c:lineChart>
      <c:catAx>
        <c:axId val="705265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66152"/>
        <c:crosses val="autoZero"/>
        <c:auto val="1"/>
        <c:lblAlgn val="ctr"/>
        <c:lblOffset val="100"/>
        <c:noMultiLvlLbl val="0"/>
      </c:catAx>
      <c:valAx>
        <c:axId val="705266152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65792"/>
        <c:crosses val="autoZero"/>
        <c:crossBetween val="between"/>
        <c:majorUnit val="50"/>
      </c:valAx>
      <c:valAx>
        <c:axId val="632326328"/>
        <c:scaling>
          <c:orientation val="minMax"/>
          <c:max val="9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328848"/>
        <c:crosses val="max"/>
        <c:crossBetween val="between"/>
      </c:valAx>
      <c:catAx>
        <c:axId val="63232884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32326328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[3]Data!$AU$9</c:f>
          <c:strCache>
            <c:ptCount val="1"/>
            <c:pt idx="0">
              <c:v>PR-PO Average Processing Time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2"/>
          <c:order val="2"/>
          <c:tx>
            <c:strRef>
              <c:f>Data!$AU$20</c:f>
              <c:strCache>
                <c:ptCount val="1"/>
                <c:pt idx="0">
                  <c:v>Abnormal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[3]Data!$AV$3:$BG$3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Data!$AV$20:$BG$20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B7-4090-B944-FB258E966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2343608"/>
        <c:axId val="632342888"/>
      </c:barChart>
      <c:lineChart>
        <c:grouping val="standard"/>
        <c:varyColors val="0"/>
        <c:ser>
          <c:idx val="0"/>
          <c:order val="0"/>
          <c:tx>
            <c:strRef>
              <c:f>Data!$AU$9</c:f>
              <c:strCache>
                <c:ptCount val="1"/>
                <c:pt idx="0">
                  <c:v>PR-PO Average Processing Time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[3]Data!$AV$3:$BG$3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[3]Data!$AV$9:$BG$9</c:f>
              <c:numCache>
                <c:formatCode>General</c:formatCode>
                <c:ptCount val="12"/>
                <c:pt idx="0">
                  <c:v>1.1211014546351086</c:v>
                </c:pt>
                <c:pt idx="1">
                  <c:v>2.7408146783146781</c:v>
                </c:pt>
                <c:pt idx="2">
                  <c:v>14.590358531797474</c:v>
                </c:pt>
                <c:pt idx="3">
                  <c:v>6.0167717321692811</c:v>
                </c:pt>
                <c:pt idx="4">
                  <c:v>9.0357242822155097</c:v>
                </c:pt>
                <c:pt idx="5">
                  <c:v>3.2684921724800882</c:v>
                </c:pt>
                <c:pt idx="6">
                  <c:v>6.2835058843054279</c:v>
                </c:pt>
                <c:pt idx="7">
                  <c:v>4.0165227884526127</c:v>
                </c:pt>
                <c:pt idx="8">
                  <c:v>4.4805194805194803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B7-4090-B944-FB258E9665B2}"/>
            </c:ext>
          </c:extLst>
        </c:ser>
        <c:ser>
          <c:idx val="1"/>
          <c:order val="1"/>
          <c:tx>
            <c:strRef>
              <c:f>Data!$AU$19</c:f>
              <c:strCache>
                <c:ptCount val="1"/>
                <c:pt idx="0">
                  <c:v>Standard Process Time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[3]Data!$AV$3:$BG$3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Data!$AV$19:$BG$19</c:f>
              <c:numCache>
                <c:formatCode>0</c:formatCode>
                <c:ptCount val="12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B7-4090-B944-FB258E966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7547672"/>
        <c:axId val="1137553792"/>
      </c:lineChart>
      <c:catAx>
        <c:axId val="1137547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553792"/>
        <c:crosses val="autoZero"/>
        <c:auto val="1"/>
        <c:lblAlgn val="ctr"/>
        <c:lblOffset val="100"/>
        <c:noMultiLvlLbl val="0"/>
      </c:catAx>
      <c:valAx>
        <c:axId val="1137553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547672"/>
        <c:crosses val="autoZero"/>
        <c:crossBetween val="between"/>
        <c:majorUnit val="4"/>
      </c:valAx>
      <c:valAx>
        <c:axId val="63234288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343608"/>
        <c:crosses val="max"/>
        <c:crossBetween val="between"/>
      </c:valAx>
      <c:catAx>
        <c:axId val="632343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23428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Data!$BL$3</c:f>
          <c:strCache>
            <c:ptCount val="1"/>
            <c:pt idx="0">
              <c:v>Total PR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Data!$BL$5</c:f>
              <c:strCache>
                <c:ptCount val="1"/>
                <c:pt idx="0">
                  <c:v>DO TRUC LAM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 w="12700">
              <a:solidFill>
                <a:schemeClr val="accent6">
                  <a:lumMod val="75000"/>
                </a:schemeClr>
              </a:solidFill>
            </a:ln>
            <a:effectLst/>
          </c:spPr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Data!$BO$5:$BZ$5</c:f>
              <c:numCache>
                <c:formatCode>General</c:formatCode>
                <c:ptCount val="12"/>
                <c:pt idx="0">
                  <c:v>44</c:v>
                </c:pt>
                <c:pt idx="1">
                  <c:v>37</c:v>
                </c:pt>
                <c:pt idx="2">
                  <c:v>68</c:v>
                </c:pt>
                <c:pt idx="3">
                  <c:v>193</c:v>
                </c:pt>
                <c:pt idx="4">
                  <c:v>172</c:v>
                </c:pt>
                <c:pt idx="5">
                  <c:v>273</c:v>
                </c:pt>
                <c:pt idx="6">
                  <c:v>189</c:v>
                </c:pt>
                <c:pt idx="7">
                  <c:v>228</c:v>
                </c:pt>
                <c:pt idx="8">
                  <c:v>124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B-45CD-8ED9-F5B2D8D7D19D}"/>
            </c:ext>
          </c:extLst>
        </c:ser>
        <c:ser>
          <c:idx val="2"/>
          <c:order val="1"/>
          <c:tx>
            <c:strRef>
              <c:f>Data!$BL$7</c:f>
              <c:strCache>
                <c:ptCount val="1"/>
                <c:pt idx="0">
                  <c:v>BUI NHU BAO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 w="12700">
              <a:solidFill>
                <a:schemeClr val="accent2">
                  <a:lumMod val="75000"/>
                </a:schemeClr>
              </a:solidFill>
            </a:ln>
            <a:effectLst/>
          </c:spPr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Data!$BO$7:$BZ$7</c:f>
              <c:numCache>
                <c:formatCode>General</c:formatCode>
                <c:ptCount val="12"/>
                <c:pt idx="0">
                  <c:v>30</c:v>
                </c:pt>
                <c:pt idx="1">
                  <c:v>13</c:v>
                </c:pt>
                <c:pt idx="2">
                  <c:v>14</c:v>
                </c:pt>
                <c:pt idx="3">
                  <c:v>15</c:v>
                </c:pt>
                <c:pt idx="4">
                  <c:v>12</c:v>
                </c:pt>
                <c:pt idx="5">
                  <c:v>83</c:v>
                </c:pt>
                <c:pt idx="6">
                  <c:v>238</c:v>
                </c:pt>
                <c:pt idx="7">
                  <c:v>270</c:v>
                </c:pt>
                <c:pt idx="8">
                  <c:v>121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3B-45CD-8ED9-F5B2D8D7D19D}"/>
            </c:ext>
          </c:extLst>
        </c:ser>
        <c:ser>
          <c:idx val="1"/>
          <c:order val="2"/>
          <c:tx>
            <c:strRef>
              <c:f>Data!$BL$6</c:f>
              <c:strCache>
                <c:ptCount val="1"/>
                <c:pt idx="0">
                  <c:v>DO MAI HA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 w="12700">
              <a:solidFill>
                <a:schemeClr val="accent1"/>
              </a:solidFill>
            </a:ln>
            <a:effectLst/>
          </c:spPr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Data!$BO$6:$BZ$6</c:f>
              <c:numCache>
                <c:formatCode>General</c:formatCode>
                <c:ptCount val="12"/>
                <c:pt idx="0">
                  <c:v>67</c:v>
                </c:pt>
                <c:pt idx="1">
                  <c:v>59</c:v>
                </c:pt>
                <c:pt idx="2">
                  <c:v>34</c:v>
                </c:pt>
                <c:pt idx="3">
                  <c:v>32</c:v>
                </c:pt>
                <c:pt idx="4">
                  <c:v>76</c:v>
                </c:pt>
                <c:pt idx="5">
                  <c:v>66</c:v>
                </c:pt>
                <c:pt idx="6">
                  <c:v>50</c:v>
                </c:pt>
                <c:pt idx="7">
                  <c:v>132</c:v>
                </c:pt>
                <c:pt idx="8">
                  <c:v>39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3B-45CD-8ED9-F5B2D8D7D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317472"/>
        <c:axId val="638313512"/>
      </c:areaChart>
      <c:dateAx>
        <c:axId val="638317472"/>
        <c:scaling>
          <c:orientation val="minMax"/>
        </c:scaling>
        <c:delete val="0"/>
        <c:axPos val="b"/>
        <c:numFmt formatCode="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313512"/>
        <c:crosses val="autoZero"/>
        <c:auto val="1"/>
        <c:lblOffset val="100"/>
        <c:baseTimeUnit val="months"/>
      </c:dateAx>
      <c:valAx>
        <c:axId val="638313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317472"/>
        <c:crosses val="autoZero"/>
        <c:crossBetween val="midCat"/>
        <c:majorUnit val="10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Data!$BL$15</c:f>
          <c:strCache>
            <c:ptCount val="1"/>
            <c:pt idx="0">
              <c:v>Total PO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1"/>
          <c:order val="0"/>
          <c:tx>
            <c:strRef>
              <c:f>Data!$BL$18</c:f>
              <c:strCache>
                <c:ptCount val="1"/>
                <c:pt idx="0">
                  <c:v>DO MAI HA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 w="12700">
              <a:solidFill>
                <a:schemeClr val="accent1"/>
              </a:solidFill>
            </a:ln>
            <a:effectLst/>
          </c:spPr>
          <c:cat>
            <c:numRef>
              <c:f>Data!$BO$16:$BZ$16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Data!$BO$18:$BZ$18</c:f>
              <c:numCache>
                <c:formatCode>General</c:formatCode>
                <c:ptCount val="12"/>
                <c:pt idx="0">
                  <c:v>128</c:v>
                </c:pt>
                <c:pt idx="1">
                  <c:v>89</c:v>
                </c:pt>
                <c:pt idx="2">
                  <c:v>149</c:v>
                </c:pt>
                <c:pt idx="3">
                  <c:v>251</c:v>
                </c:pt>
                <c:pt idx="4">
                  <c:v>247</c:v>
                </c:pt>
                <c:pt idx="5">
                  <c:v>330</c:v>
                </c:pt>
                <c:pt idx="6">
                  <c:v>206</c:v>
                </c:pt>
                <c:pt idx="7">
                  <c:v>265</c:v>
                </c:pt>
                <c:pt idx="8">
                  <c:v>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8B-4E1D-AF22-56605282DC22}"/>
            </c:ext>
          </c:extLst>
        </c:ser>
        <c:ser>
          <c:idx val="2"/>
          <c:order val="1"/>
          <c:tx>
            <c:strRef>
              <c:f>Data!$BL$19</c:f>
              <c:strCache>
                <c:ptCount val="1"/>
                <c:pt idx="0">
                  <c:v>BUI NHU BAO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 w="12700">
              <a:solidFill>
                <a:schemeClr val="accent2">
                  <a:lumMod val="75000"/>
                </a:schemeClr>
              </a:solidFill>
            </a:ln>
            <a:effectLst/>
          </c:spPr>
          <c:cat>
            <c:numRef>
              <c:f>Data!$BO$16:$BZ$16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Data!$BO$19:$BZ$19</c:f>
              <c:numCache>
                <c:formatCode>General</c:formatCode>
                <c:ptCount val="12"/>
                <c:pt idx="0">
                  <c:v>174</c:v>
                </c:pt>
                <c:pt idx="1">
                  <c:v>39</c:v>
                </c:pt>
                <c:pt idx="2">
                  <c:v>32</c:v>
                </c:pt>
                <c:pt idx="3">
                  <c:v>16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8B-4E1D-AF22-56605282DC22}"/>
            </c:ext>
          </c:extLst>
        </c:ser>
        <c:ser>
          <c:idx val="0"/>
          <c:order val="2"/>
          <c:tx>
            <c:strRef>
              <c:f>Data!$BL$17</c:f>
              <c:strCache>
                <c:ptCount val="1"/>
                <c:pt idx="0">
                  <c:v>DO TRUC LAM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 w="12700">
              <a:solidFill>
                <a:schemeClr val="accent6">
                  <a:lumMod val="75000"/>
                </a:schemeClr>
              </a:solidFill>
            </a:ln>
            <a:effectLst/>
          </c:spPr>
          <c:cat>
            <c:numRef>
              <c:f>Data!$BO$16:$BZ$16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Data!$BO$17:$BZ$17</c:f>
              <c:numCache>
                <c:formatCode>General</c:formatCode>
                <c:ptCount val="12"/>
                <c:pt idx="0">
                  <c:v>8</c:v>
                </c:pt>
                <c:pt idx="1">
                  <c:v>9</c:v>
                </c:pt>
                <c:pt idx="2">
                  <c:v>3</c:v>
                </c:pt>
                <c:pt idx="3">
                  <c:v>6</c:v>
                </c:pt>
                <c:pt idx="4">
                  <c:v>14</c:v>
                </c:pt>
                <c:pt idx="5">
                  <c:v>40</c:v>
                </c:pt>
                <c:pt idx="6">
                  <c:v>17</c:v>
                </c:pt>
                <c:pt idx="7">
                  <c:v>24</c:v>
                </c:pt>
                <c:pt idx="8">
                  <c:v>30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8B-4E1D-AF22-56605282D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317472"/>
        <c:axId val="638313512"/>
      </c:areaChart>
      <c:dateAx>
        <c:axId val="638317472"/>
        <c:scaling>
          <c:orientation val="minMax"/>
        </c:scaling>
        <c:delete val="0"/>
        <c:axPos val="b"/>
        <c:numFmt formatCode="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313512"/>
        <c:crosses val="autoZero"/>
        <c:auto val="1"/>
        <c:lblOffset val="100"/>
        <c:baseTimeUnit val="months"/>
      </c:dateAx>
      <c:valAx>
        <c:axId val="638313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317472"/>
        <c:crosses val="autoZero"/>
        <c:crossBetween val="midCat"/>
        <c:majorUnit val="10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Data!$BL$27</c:f>
          <c:strCache>
            <c:ptCount val="1"/>
            <c:pt idx="0">
              <c:v>PR Pending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Data!$BL$29</c:f>
              <c:strCache>
                <c:ptCount val="1"/>
                <c:pt idx="0">
                  <c:v>DO TRUC LAM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B8C09D0-BE6A-4DC3-B87A-E39EAFA3DC67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925-437D-9D6B-45FC48BE63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564EF2C-E724-4DCA-9ADC-AF3A959C21A6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925-437D-9D6B-45FC48BE63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4A79A02-938C-4B0E-B9B3-E1F143657175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925-437D-9D6B-45FC48BE63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FC925BE-6B74-472F-8647-9B30CC57A20C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925-437D-9D6B-45FC48BE63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F06C9FF-BB4B-4B55-B876-9878F5625410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925-437D-9D6B-45FC48BE63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E2DDD6E-3720-452B-9671-25490B3FEB9E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925-437D-9D6B-45FC48BE63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8C67D37-D310-43AC-88E3-629694C31FBD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925-437D-9D6B-45FC48BE63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6BA983D-5E65-4FE2-B47D-48C2D5F724B9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925-437D-9D6B-45FC48BE63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4833D0B-FC85-4BE1-8356-A6BE241142CA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925-437D-9D6B-45FC48BE63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AFFECEF-F8C4-4D75-93DC-C7F0F1606022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925-437D-9D6B-45FC48BE63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F166384-BE4F-418E-B55C-811527B6AC51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3CF-409C-B183-A9CA258880B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D80D4ED-678D-40B3-A3D8-BB8E1EEA7ED9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CF-409C-B183-A9CA258880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Data!$BN$28:$BZ$28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xVal>
          <c:yVal>
            <c:numRef>
              <c:f>Data!$BN$103:$BZ$103</c:f>
              <c:numCache>
                <c:formatCode>General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</c:numCache>
            </c:numRef>
          </c:yVal>
          <c:bubbleSize>
            <c:numRef>
              <c:f>Data!$BN$29:$BZ$29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9</c:v>
                </c:pt>
                <c:pt idx="5">
                  <c:v>7</c:v>
                </c:pt>
                <c:pt idx="6">
                  <c:v>26</c:v>
                </c:pt>
                <c:pt idx="7">
                  <c:v>12</c:v>
                </c:pt>
                <c:pt idx="8">
                  <c:v>44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Data!$BN$29:$BZ$29</c15:f>
                <c15:dlblRangeCache>
                  <c:ptCount val="12"/>
                  <c:pt idx="0">
                    <c:v>1</c:v>
                  </c:pt>
                  <c:pt idx="1">
                    <c:v>1</c:v>
                  </c:pt>
                  <c:pt idx="2">
                    <c:v>0</c:v>
                  </c:pt>
                  <c:pt idx="3">
                    <c:v>1</c:v>
                  </c:pt>
                  <c:pt idx="4">
                    <c:v>9</c:v>
                  </c:pt>
                  <c:pt idx="5">
                    <c:v>7</c:v>
                  </c:pt>
                  <c:pt idx="6">
                    <c:v>26</c:v>
                  </c:pt>
                  <c:pt idx="7">
                    <c:v>12</c:v>
                  </c:pt>
                  <c:pt idx="8">
                    <c:v>44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F925-437D-9D6B-45FC48BE6336}"/>
            </c:ext>
          </c:extLst>
        </c:ser>
        <c:ser>
          <c:idx val="1"/>
          <c:order val="1"/>
          <c:tx>
            <c:strRef>
              <c:f>Data!$BL$30</c:f>
              <c:strCache>
                <c:ptCount val="1"/>
                <c:pt idx="0">
                  <c:v>DO MAI HA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EA0BB5A-47B2-4232-B9B0-4E67491FC6FC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925-437D-9D6B-45FC48BE63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8E590E-C301-4F8E-BB65-02D0DD0EEE48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925-437D-9D6B-45FC48BE63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9B6E9C7-A8BA-468F-8D35-BC8EAB5400A3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925-437D-9D6B-45FC48BE63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000180C-74F0-4DFB-A2B3-D2BC6A16087B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925-437D-9D6B-45FC48BE63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AE06A9C-6ED1-4FFD-B3D7-49D0F72BB0A1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925-437D-9D6B-45FC48BE63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304DE36-05D7-4244-8CE0-BD442F296E06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925-437D-9D6B-45FC48BE63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08BFDA7-3719-49EF-92FF-8DD030BB3C9B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925-437D-9D6B-45FC48BE63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A078E96-24E8-4BBE-A8C9-FE5A9203F677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925-437D-9D6B-45FC48BE63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C2C59B6-98E7-4A4A-B891-F2F3AA5CE850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925-437D-9D6B-45FC48BE63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8617E7B-E32F-4B3C-8FDA-B9C6CA1C4CEF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925-437D-9D6B-45FC48BE63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0A0C3A8-8A52-4EC5-BA0D-60DA512472EB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CF-409C-B183-A9CA258880B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75DCA24-6D79-4E42-9036-126EC85B7BDD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CF-409C-B183-A9CA258880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Data!$BN$28:$BZ$28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xVal>
          <c:yVal>
            <c:numRef>
              <c:f>Data!$BN$102:$BZ$102</c:f>
              <c:numCache>
                <c:formatCode>General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</c:numCache>
            </c:numRef>
          </c:yVal>
          <c:bubbleSize>
            <c:numRef>
              <c:f>Data!$BN$30:$BZ$30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66</c:v>
                </c:pt>
                <c:pt idx="8">
                  <c:v>37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Data!$BN$30:$BZ$30</c15:f>
                <c15:dlblRangeCache>
                  <c:ptCount val="1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66</c:v>
                  </c:pt>
                  <c:pt idx="8">
                    <c:v>37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F925-437D-9D6B-45FC48BE6336}"/>
            </c:ext>
          </c:extLst>
        </c:ser>
        <c:ser>
          <c:idx val="2"/>
          <c:order val="2"/>
          <c:tx>
            <c:strRef>
              <c:f>Data!$BL$31</c:f>
              <c:strCache>
                <c:ptCount val="1"/>
                <c:pt idx="0">
                  <c:v>BUI NHU BAO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4B01C75-EE3E-443D-8DD4-E2883F612EBB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925-437D-9D6B-45FC48BE63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FA424D8-ED84-440D-A328-D8194B493400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925-437D-9D6B-45FC48BE63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700CE18-D706-49DE-A07A-8CD9882B4FCB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925-437D-9D6B-45FC48BE63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4B28E71-6806-4584-BAEA-1C0D09ED6564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925-437D-9D6B-45FC48BE63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8376462-19F4-4B8D-90E7-CFB6687A9A7D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925-437D-9D6B-45FC48BE63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0E34BA7-0E79-43A6-9CD4-DA0822B9F8F0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925-437D-9D6B-45FC48BE63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F394138-022F-4516-BAD3-2D0E6149A407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925-437D-9D6B-45FC48BE63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09A6B68-74FB-4ADF-9E66-9F084DA84E44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925-437D-9D6B-45FC48BE63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3EDBE0C-17E5-4715-BE5F-760CB89D8BC2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925-437D-9D6B-45FC48BE63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A4C78E8-D6F7-465C-A797-85A11333068E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925-437D-9D6B-45FC48BE63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ABC74D1-0505-4F48-903C-7C6009F9950C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CF-409C-B183-A9CA258880B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8986D35-BED0-4349-9449-3B712BEDDA03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3CF-409C-B183-A9CA258880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Data!$BN$28:$BZ$28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xVal>
          <c:yVal>
            <c:numRef>
              <c:f>Data!$BN$101:$BZ$101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yVal>
          <c:bubbleSize>
            <c:numRef>
              <c:f>Data!$BN$31:$BZ$31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79</c:v>
                </c:pt>
                <c:pt idx="6">
                  <c:v>238</c:v>
                </c:pt>
                <c:pt idx="7">
                  <c:v>270</c:v>
                </c:pt>
                <c:pt idx="8">
                  <c:v>121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Data!$BN$31:$BZ$31</c15:f>
                <c15:dlblRangeCache>
                  <c:ptCount val="1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2</c:v>
                  </c:pt>
                  <c:pt idx="4">
                    <c:v>0</c:v>
                  </c:pt>
                  <c:pt idx="5">
                    <c:v>79</c:v>
                  </c:pt>
                  <c:pt idx="6">
                    <c:v>238</c:v>
                  </c:pt>
                  <c:pt idx="7">
                    <c:v>270</c:v>
                  </c:pt>
                  <c:pt idx="8">
                    <c:v>121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F925-437D-9D6B-45FC48BE6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779894944"/>
        <c:axId val="779897464"/>
      </c:bubbleChart>
      <c:valAx>
        <c:axId val="779894944"/>
        <c:scaling>
          <c:orientation val="minMax"/>
          <c:max val="44561"/>
          <c:min val="44166"/>
        </c:scaling>
        <c:delete val="0"/>
        <c:axPos val="b"/>
        <c:numFmt formatCode="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97464"/>
        <c:crosses val="autoZero"/>
        <c:crossBetween val="midCat"/>
        <c:majorUnit val="31"/>
      </c:valAx>
      <c:valAx>
        <c:axId val="779897464"/>
        <c:scaling>
          <c:orientation val="minMax"/>
          <c:max val="3.5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77989494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Data!$BL$39</c:f>
          <c:strCache>
            <c:ptCount val="1"/>
            <c:pt idx="0">
              <c:v>PO Pending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409825075180739E-2"/>
          <c:y val="0.27901380558477124"/>
          <c:w val="0.90845175517513543"/>
          <c:h val="0.59969489373395113"/>
        </c:manualLayout>
      </c:layout>
      <c:bubbleChart>
        <c:varyColors val="0"/>
        <c:ser>
          <c:idx val="0"/>
          <c:order val="0"/>
          <c:tx>
            <c:strRef>
              <c:f>Data!$BL$41</c:f>
              <c:strCache>
                <c:ptCount val="1"/>
                <c:pt idx="0">
                  <c:v>DO TRUC LAM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896F076-7285-47AC-ABB1-D849ED160B07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B08-4288-BA71-8A1611226AD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A3389A-1A99-4735-861E-1F72B1F8FF8D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B08-4288-BA71-8A1611226AD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6B126DA-AAE6-4472-BA0E-C62A16F2635D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B08-4288-BA71-8A1611226AD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5C0780-72EE-40F0-8595-2938E33E4FA2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B08-4288-BA71-8A1611226AD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1594102-25EB-4701-9F12-2323B12DA848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B08-4288-BA71-8A1611226AD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32F309C-5D59-40D8-BC92-0963180678FE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B08-4288-BA71-8A1611226AD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95B2AC0-F124-4C17-8265-6B7A578FBB40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B08-4288-BA71-8A1611226AD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5950C08-A588-4618-A6D3-FF3540FDFB4C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B08-4288-BA71-8A1611226AD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94DCF39-8CBA-45DF-8BB6-62FC17818ABF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B08-4288-BA71-8A1611226AD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44BDE78-5216-461B-9C2B-E7D5007D1DDF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B08-4288-BA71-8A1611226AD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55E682F-3A29-41D1-85EB-5E51499D9C7B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8D3-4D27-9CB2-53BB0BF0E56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3A1C7FB-D69F-4867-BCA9-5EC98000E4DF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8D3-4D27-9CB2-53BB0BF0E5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Data!$BN$40:$BZ$40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xVal>
          <c:yVal>
            <c:numRef>
              <c:f>Data!$BN$118:$BZ$118</c:f>
              <c:numCache>
                <c:formatCode>General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</c:numCache>
            </c:numRef>
          </c:yVal>
          <c:bubbleSize>
            <c:numRef>
              <c:f>Data!$BN$41:$BZ$41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5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9</c:v>
                </c:pt>
                <c:pt idx="8">
                  <c:v>22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Data!$BN$41:$BZ$41</c15:f>
                <c15:dlblRangeCache>
                  <c:ptCount val="12"/>
                  <c:pt idx="0">
                    <c:v>0</c:v>
                  </c:pt>
                  <c:pt idx="1">
                    <c:v>0</c:v>
                  </c:pt>
                  <c:pt idx="2">
                    <c:v>2</c:v>
                  </c:pt>
                  <c:pt idx="3">
                    <c:v>5</c:v>
                  </c:pt>
                  <c:pt idx="4">
                    <c:v>10</c:v>
                  </c:pt>
                  <c:pt idx="5">
                    <c:v>12</c:v>
                  </c:pt>
                  <c:pt idx="6">
                    <c:v>14</c:v>
                  </c:pt>
                  <c:pt idx="7">
                    <c:v>9</c:v>
                  </c:pt>
                  <c:pt idx="8">
                    <c:v>22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B08-4288-BA71-8A1611226AD4}"/>
            </c:ext>
          </c:extLst>
        </c:ser>
        <c:ser>
          <c:idx val="1"/>
          <c:order val="1"/>
          <c:tx>
            <c:strRef>
              <c:f>Data!$BL$42</c:f>
              <c:strCache>
                <c:ptCount val="1"/>
                <c:pt idx="0">
                  <c:v>DO MAI HA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F435AED-D9C6-4E5F-B44D-6665F9D57C79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B08-4288-BA71-8A1611226AD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F95B1AC-F55A-4386-B905-ABB2D02117C0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B08-4288-BA71-8A1611226AD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3453BB-0AA9-45BE-BADB-0D4FDEE03BFC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B08-4288-BA71-8A1611226AD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D623FB-789C-4A04-8D22-DD58C5C25E9E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B08-4288-BA71-8A1611226AD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6D2594D-E1AB-48D4-BD0F-BFEE9B7023E6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B08-4288-BA71-8A1611226AD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3D54AED-53FF-450D-992F-C71AD84A8669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B08-4288-BA71-8A1611226AD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9ED87EA-173E-4598-AC56-57AEB86732A4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B08-4288-BA71-8A1611226AD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852BC0A-C8F0-49D5-B2AF-775ED294FCFD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B08-4288-BA71-8A1611226AD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E3D3854-C861-4277-85DA-F6E64C2CEB0B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B08-4288-BA71-8A1611226AD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B853A00-15AE-453F-89C6-32BA96444346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B08-4288-BA71-8A1611226AD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E79BD69-44E2-44E3-B25B-AB2C50E21035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8D3-4D27-9CB2-53BB0BF0E56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0CF8AB5-D2AE-49C1-B2D7-3D6C93E95D9E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8D3-4D27-9CB2-53BB0BF0E5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Data!$BN$40:$BZ$40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xVal>
          <c:yVal>
            <c:numRef>
              <c:f>Data!$BN$117:$BZ$117</c:f>
              <c:numCache>
                <c:formatCode>General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</c:numCache>
            </c:numRef>
          </c:yVal>
          <c:bubbleSize>
            <c:numRef>
              <c:f>Data!$BN$42:$BZ$42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</c:v>
                </c:pt>
                <c:pt idx="6">
                  <c:v>32</c:v>
                </c:pt>
                <c:pt idx="7">
                  <c:v>110</c:v>
                </c:pt>
                <c:pt idx="8">
                  <c:v>76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Data!$BN$42:$BZ$42</c15:f>
                <c15:dlblRangeCache>
                  <c:ptCount val="1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13</c:v>
                  </c:pt>
                  <c:pt idx="6">
                    <c:v>32</c:v>
                  </c:pt>
                  <c:pt idx="7">
                    <c:v>110</c:v>
                  </c:pt>
                  <c:pt idx="8">
                    <c:v>76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B08-4288-BA71-8A1611226AD4}"/>
            </c:ext>
          </c:extLst>
        </c:ser>
        <c:ser>
          <c:idx val="2"/>
          <c:order val="2"/>
          <c:tx>
            <c:strRef>
              <c:f>Data!$BL$43</c:f>
              <c:strCache>
                <c:ptCount val="1"/>
                <c:pt idx="0">
                  <c:v>BUI NHU BAO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74BA19C-ED76-4536-821C-B8C5C5679197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B08-4288-BA71-8A1611226AD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D06C69-1ED0-4066-8784-090ADBCEA084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B08-4288-BA71-8A1611226AD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589DCC-C291-422F-ADBE-5F19EF65CDDD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B08-4288-BA71-8A1611226AD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B4F23B5-8B7B-4397-8632-CDB15323EB88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B08-4288-BA71-8A1611226AD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94DAC43-72A5-46A9-9251-1F6F3846F018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B08-4288-BA71-8A1611226AD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07EBF4A-8ABA-4DEA-84AF-BA884B8220FE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B08-4288-BA71-8A1611226AD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D775BEE-E2C0-4843-A78F-8351C0A57CCC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B08-4288-BA71-8A1611226AD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5BE3A93-C297-4B75-A4F6-C9484F86268D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B08-4288-BA71-8A1611226AD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B1A9C99-5814-43A9-92E6-AA05BD1ABA25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B08-4288-BA71-8A1611226AD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B31B64A-626D-46C8-B6F4-42024AE73ACB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B08-4288-BA71-8A1611226AD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28F4B8C-F26B-4AAD-888C-75189EAA0435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8D3-4D27-9CB2-53BB0BF0E56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8F6716A-906C-4568-8262-38705A466680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8D3-4D27-9CB2-53BB0BF0E5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Data!$BN$40:$BZ$40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xVal>
          <c:yVal>
            <c:numRef>
              <c:f>Data!$BN$116:$BZ$116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yVal>
          <c:bubbleSize>
            <c:numRef>
              <c:f>Data!$BN$43:$BZ$43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Data!$BN$43:$BZ$43</c15:f>
                <c15:dlblRangeCache>
                  <c:ptCount val="1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1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6B08-4288-BA71-8A1611226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779881264"/>
        <c:axId val="779883424"/>
      </c:bubbleChart>
      <c:valAx>
        <c:axId val="779881264"/>
        <c:scaling>
          <c:orientation val="minMax"/>
          <c:max val="44561"/>
          <c:min val="44166"/>
        </c:scaling>
        <c:delete val="0"/>
        <c:axPos val="b"/>
        <c:numFmt formatCode="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83424"/>
        <c:crosses val="autoZero"/>
        <c:crossBetween val="midCat"/>
        <c:majorUnit val="31"/>
      </c:valAx>
      <c:valAx>
        <c:axId val="779883424"/>
        <c:scaling>
          <c:orientation val="minMax"/>
          <c:max val="3.5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7988126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ysClr val="windowText" lastClr="000000"/>
                </a:solidFill>
              </a:rPr>
              <a:t>Sum PR &amp; 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Data!$BM$155</c:f>
              <c:strCache>
                <c:ptCount val="1"/>
                <c:pt idx="0">
                  <c:v>PO_Line</c:v>
                </c:pt>
              </c:strCache>
            </c:strRef>
          </c:tx>
          <c:spPr>
            <a:solidFill>
              <a:srgbClr val="76B54B">
                <a:alpha val="85000"/>
              </a:srgb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6B54B">
                  <a:alpha val="9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37D9-4EAD-8782-707BD89F695B}"/>
              </c:ext>
            </c:extLst>
          </c:dPt>
          <c:dPt>
            <c:idx val="1"/>
            <c:invertIfNegative val="0"/>
            <c:bubble3D val="0"/>
            <c:spPr>
              <a:solidFill>
                <a:srgbClr val="76B54B">
                  <a:alpha val="9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7D9-4EAD-8782-707BD89F695B}"/>
              </c:ext>
            </c:extLst>
          </c:dPt>
          <c:dPt>
            <c:idx val="2"/>
            <c:invertIfNegative val="0"/>
            <c:bubble3D val="0"/>
            <c:spPr>
              <a:solidFill>
                <a:srgbClr val="76B54B">
                  <a:alpha val="9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7D9-4EAD-8782-707BD89F695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60000"/>
                  <a:lumOff val="40000"/>
                  <a:alpha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7D9-4EAD-8782-707BD89F695B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60000"/>
                  <a:lumOff val="40000"/>
                  <a:alpha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37D9-4EAD-8782-707BD89F695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>
                  <a:lumMod val="60000"/>
                  <a:lumOff val="40000"/>
                  <a:alpha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7D9-4EAD-8782-707BD89F695B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>
                  <a:lumMod val="60000"/>
                  <a:lumOff val="40000"/>
                  <a:alpha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37D9-4EAD-8782-707BD89F695B}"/>
              </c:ext>
            </c:extLst>
          </c:dPt>
          <c:cat>
            <c:strRef>
              <c:f>Data!$BL$156:$BL$162</c:f>
              <c:strCache>
                <c:ptCount val="7"/>
                <c:pt idx="0">
                  <c:v>DO TRUC LAM</c:v>
                </c:pt>
                <c:pt idx="1">
                  <c:v>DO MAI HA</c:v>
                </c:pt>
                <c:pt idx="2">
                  <c:v>BUI NHU BAO</c:v>
                </c:pt>
                <c:pt idx="3">
                  <c:v>DO MINH AN</c:v>
                </c:pt>
                <c:pt idx="4">
                  <c:v>BUI BICH HAI</c:v>
                </c:pt>
                <c:pt idx="5">
                  <c:v>TRAN BICH HANG</c:v>
                </c:pt>
                <c:pt idx="6">
                  <c:v>DO NGOC HA</c:v>
                </c:pt>
              </c:strCache>
            </c:strRef>
          </c:cat>
          <c:val>
            <c:numRef>
              <c:f>Data!$BM$156:$BM$162</c:f>
              <c:numCache>
                <c:formatCode>#,###.00</c:formatCode>
                <c:ptCount val="7"/>
                <c:pt idx="0">
                  <c:v>2583</c:v>
                </c:pt>
                <c:pt idx="1">
                  <c:v>1061</c:v>
                </c:pt>
                <c:pt idx="2">
                  <c:v>882</c:v>
                </c:pt>
                <c:pt idx="3">
                  <c:v>652</c:v>
                </c:pt>
                <c:pt idx="4">
                  <c:v>637</c:v>
                </c:pt>
                <c:pt idx="5">
                  <c:v>597</c:v>
                </c:pt>
                <c:pt idx="6">
                  <c:v>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D9-4EAD-8782-707BD89F6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33687328"/>
        <c:axId val="633684808"/>
      </c:barChart>
      <c:lineChart>
        <c:grouping val="stacked"/>
        <c:varyColors val="0"/>
        <c:ser>
          <c:idx val="1"/>
          <c:order val="1"/>
          <c:tx>
            <c:strRef>
              <c:f>Data!$BP$155</c:f>
              <c:strCache>
                <c:ptCount val="1"/>
                <c:pt idx="0">
                  <c:v>Acumulative</c:v>
                </c:pt>
              </c:strCache>
            </c:strRef>
          </c:tx>
          <c:spPr>
            <a:ln w="22225" cap="sq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Data!$BL$156:$BL$162</c:f>
              <c:strCache>
                <c:ptCount val="7"/>
                <c:pt idx="0">
                  <c:v>DO TRUC LAM</c:v>
                </c:pt>
                <c:pt idx="1">
                  <c:v>DO MAI HA</c:v>
                </c:pt>
                <c:pt idx="2">
                  <c:v>BUI NHU BAO</c:v>
                </c:pt>
                <c:pt idx="3">
                  <c:v>DO MINH AN</c:v>
                </c:pt>
                <c:pt idx="4">
                  <c:v>BUI BICH HAI</c:v>
                </c:pt>
                <c:pt idx="5">
                  <c:v>TRAN BICH HANG</c:v>
                </c:pt>
                <c:pt idx="6">
                  <c:v>DO NGOC HA</c:v>
                </c:pt>
              </c:strCache>
            </c:strRef>
          </c:cat>
          <c:val>
            <c:numRef>
              <c:f>Data!$BP$156:$BP$162</c:f>
              <c:numCache>
                <c:formatCode>0%</c:formatCode>
                <c:ptCount val="7"/>
                <c:pt idx="0">
                  <c:v>0.382553317535545</c:v>
                </c:pt>
                <c:pt idx="1">
                  <c:v>0.53969194312796209</c:v>
                </c:pt>
                <c:pt idx="2">
                  <c:v>0.67031990521327012</c:v>
                </c:pt>
                <c:pt idx="3">
                  <c:v>0.76688388625592419</c:v>
                </c:pt>
                <c:pt idx="4">
                  <c:v>0.86122630331753558</c:v>
                </c:pt>
                <c:pt idx="5">
                  <c:v>0.94964454976303325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7D9-4EAD-8782-707BD89F6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9240944"/>
        <c:axId val="869243824"/>
      </c:lineChart>
      <c:catAx>
        <c:axId val="63368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84808"/>
        <c:crosses val="autoZero"/>
        <c:auto val="1"/>
        <c:lblAlgn val="ctr"/>
        <c:lblOffset val="100"/>
        <c:noMultiLvlLbl val="0"/>
      </c:catAx>
      <c:valAx>
        <c:axId val="633684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#,###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87328"/>
        <c:crosses val="autoZero"/>
        <c:crossBetween val="between"/>
      </c:valAx>
      <c:valAx>
        <c:axId val="86924382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9240944"/>
        <c:crosses val="max"/>
        <c:crossBetween val="between"/>
      </c:valAx>
      <c:catAx>
        <c:axId val="869240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69243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Data!$BL$51</c:f>
          <c:strCache>
            <c:ptCount val="1"/>
            <c:pt idx="0">
              <c:v>PR-PO Average Processing Time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4"/>
          <c:order val="4"/>
          <c:tx>
            <c:strRef>
              <c:f>Data!$BL$138</c:f>
              <c:strCache>
                <c:ptCount val="1"/>
                <c:pt idx="0">
                  <c:v>Abnormal</c:v>
                </c:pt>
              </c:strCache>
            </c:strRef>
          </c:tx>
          <c:spPr>
            <a:solidFill>
              <a:srgbClr val="FFD9D9"/>
            </a:solidFill>
            <a:ln>
              <a:noFill/>
            </a:ln>
            <a:effectLst/>
          </c:spPr>
          <c:invertIfNegative val="0"/>
          <c:val>
            <c:numRef>
              <c:f>Data!$BO$138:$BZ$138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21-43A0-BC0C-32694461C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81778712"/>
        <c:axId val="1181771872"/>
      </c:barChart>
      <c:lineChart>
        <c:grouping val="standard"/>
        <c:varyColors val="0"/>
        <c:ser>
          <c:idx val="0"/>
          <c:order val="0"/>
          <c:tx>
            <c:strRef>
              <c:f>Data!$BL$53</c:f>
              <c:strCache>
                <c:ptCount val="1"/>
                <c:pt idx="0">
                  <c:v>DO TRUC LAM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Data!$BO$52:$BZ$52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Data!$BO$53:$BZ$53</c:f>
              <c:numCache>
                <c:formatCode>0.0</c:formatCode>
                <c:ptCount val="12"/>
                <c:pt idx="0">
                  <c:v>1.75</c:v>
                </c:pt>
                <c:pt idx="1">
                  <c:v>0.55555555555555558</c:v>
                </c:pt>
                <c:pt idx="2">
                  <c:v>12.333333333333334</c:v>
                </c:pt>
                <c:pt idx="3">
                  <c:v>13</c:v>
                </c:pt>
                <c:pt idx="4">
                  <c:v>16.214285714285715</c:v>
                </c:pt>
                <c:pt idx="5">
                  <c:v>14.5</c:v>
                </c:pt>
                <c:pt idx="6">
                  <c:v>16.705882352941178</c:v>
                </c:pt>
                <c:pt idx="7">
                  <c:v>9.8333333333333339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31-4550-AA74-C8DE307FDD25}"/>
            </c:ext>
          </c:extLst>
        </c:ser>
        <c:ser>
          <c:idx val="1"/>
          <c:order val="1"/>
          <c:tx>
            <c:strRef>
              <c:f>Data!$BL$54</c:f>
              <c:strCache>
                <c:ptCount val="1"/>
                <c:pt idx="0">
                  <c:v>DO MAI HA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Data!$BO$52:$BZ$52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Data!$BO$54:$BZ$54</c:f>
              <c:numCache>
                <c:formatCode>0.0</c:formatCode>
                <c:ptCount val="12"/>
                <c:pt idx="0">
                  <c:v>0.53125</c:v>
                </c:pt>
                <c:pt idx="1">
                  <c:v>1.375</c:v>
                </c:pt>
                <c:pt idx="2">
                  <c:v>0.78666666666666663</c:v>
                </c:pt>
                <c:pt idx="3">
                  <c:v>1.072289156626506</c:v>
                </c:pt>
                <c:pt idx="4">
                  <c:v>0.69635627530364375</c:v>
                </c:pt>
                <c:pt idx="5">
                  <c:v>0.98791540785498488</c:v>
                </c:pt>
                <c:pt idx="6">
                  <c:v>0.70873786407766992</c:v>
                </c:pt>
                <c:pt idx="7">
                  <c:v>0.84586466165413532</c:v>
                </c:pt>
                <c:pt idx="8">
                  <c:v>0.96103896103896103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31-4550-AA74-C8DE307FDD25}"/>
            </c:ext>
          </c:extLst>
        </c:ser>
        <c:ser>
          <c:idx val="2"/>
          <c:order val="2"/>
          <c:tx>
            <c:strRef>
              <c:f>Data!$BL$55</c:f>
              <c:strCache>
                <c:ptCount val="1"/>
                <c:pt idx="0">
                  <c:v>BUI NHU BAO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Data!$BO$52:$BZ$52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Data!$BO$55:$BZ$55</c:f>
              <c:numCache>
                <c:formatCode>0.0</c:formatCode>
                <c:ptCount val="12"/>
                <c:pt idx="0">
                  <c:v>0.71597633136094674</c:v>
                </c:pt>
                <c:pt idx="1">
                  <c:v>0.7567567567567568</c:v>
                </c:pt>
                <c:pt idx="2">
                  <c:v>1.868421052631579</c:v>
                </c:pt>
                <c:pt idx="3">
                  <c:v>0.8125</c:v>
                </c:pt>
                <c:pt idx="4">
                  <c:v>11.333333333333334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31-4550-AA74-C8DE307FDD25}"/>
            </c:ext>
          </c:extLst>
        </c:ser>
        <c:ser>
          <c:idx val="3"/>
          <c:order val="3"/>
          <c:tx>
            <c:strRef>
              <c:f>Data!$BL$135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11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Data!$BO$135:$BZ$135</c:f>
              <c:numCache>
                <c:formatCode>0.0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16.705882352941178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631-4550-AA74-C8DE307FDD25}"/>
            </c:ext>
          </c:extLst>
        </c:ser>
        <c:ser>
          <c:idx val="5"/>
          <c:order val="5"/>
          <c:tx>
            <c:strRef>
              <c:f>Data!$AU$19</c:f>
              <c:strCache>
                <c:ptCount val="1"/>
                <c:pt idx="0">
                  <c:v>Standard Process Time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Data!$AV$19:$BG$19</c:f>
              <c:numCache>
                <c:formatCode>0</c:formatCode>
                <c:ptCount val="12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BA-4CA6-A278-D330673E25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948376"/>
        <c:axId val="868950896"/>
      </c:lineChart>
      <c:dateAx>
        <c:axId val="868948376"/>
        <c:scaling>
          <c:orientation val="minMax"/>
        </c:scaling>
        <c:delete val="0"/>
        <c:axPos val="b"/>
        <c:numFmt formatCode="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950896"/>
        <c:crosses val="autoZero"/>
        <c:auto val="1"/>
        <c:lblOffset val="100"/>
        <c:baseTimeUnit val="months"/>
      </c:dateAx>
      <c:valAx>
        <c:axId val="868950896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948376"/>
        <c:crosses val="autoZero"/>
        <c:crossBetween val="between"/>
        <c:majorUnit val="5"/>
      </c:valAx>
      <c:valAx>
        <c:axId val="118177187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778712"/>
        <c:crosses val="max"/>
        <c:crossBetween val="between"/>
      </c:valAx>
      <c:catAx>
        <c:axId val="1181778712"/>
        <c:scaling>
          <c:orientation val="minMax"/>
        </c:scaling>
        <c:delete val="1"/>
        <c:axPos val="b"/>
        <c:majorTickMark val="out"/>
        <c:minorTickMark val="none"/>
        <c:tickLblPos val="nextTo"/>
        <c:crossAx val="11817718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Data!$BL$63</c:f>
          <c:strCache>
            <c:ptCount val="1"/>
            <c:pt idx="0">
              <c:v>PR Urgent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Data!$BL$65</c:f>
              <c:strCache>
                <c:ptCount val="1"/>
                <c:pt idx="0">
                  <c:v>DO TRUC LAM</c:v>
                </c:pt>
              </c:strCache>
            </c:strRef>
          </c:tx>
          <c:spPr>
            <a:solidFill>
              <a:schemeClr val="accent6">
                <a:alpha val="90000"/>
              </a:schemeClr>
            </a:solidFill>
            <a:ln>
              <a:noFill/>
            </a:ln>
            <a:effectLst/>
          </c:spPr>
          <c:invertIfNegative val="0"/>
          <c:cat>
            <c:numRef>
              <c:f>Data!$BO$64:$BZ$64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Data!$BO$65:$BZ$65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</c:v>
                </c:pt>
                <c:pt idx="6">
                  <c:v>20</c:v>
                </c:pt>
                <c:pt idx="7">
                  <c:v>9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F-4E33-BA37-8C26C6C33F3A}"/>
            </c:ext>
          </c:extLst>
        </c:ser>
        <c:ser>
          <c:idx val="1"/>
          <c:order val="1"/>
          <c:tx>
            <c:strRef>
              <c:f>Data!$BL$66</c:f>
              <c:strCache>
                <c:ptCount val="1"/>
                <c:pt idx="0">
                  <c:v>DO MAI HA</c:v>
                </c:pt>
              </c:strCache>
            </c:strRef>
          </c:tx>
          <c:spPr>
            <a:solidFill>
              <a:schemeClr val="accent5">
                <a:alpha val="90000"/>
              </a:schemeClr>
            </a:solidFill>
            <a:ln>
              <a:noFill/>
            </a:ln>
            <a:effectLst/>
          </c:spPr>
          <c:invertIfNegative val="0"/>
          <c:cat>
            <c:numRef>
              <c:f>Data!$BO$64:$BZ$64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Data!$BO$66:$BZ$66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29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4F-4E33-BA37-8C26C6C33F3A}"/>
            </c:ext>
          </c:extLst>
        </c:ser>
        <c:ser>
          <c:idx val="2"/>
          <c:order val="2"/>
          <c:tx>
            <c:strRef>
              <c:f>Data!$BL$67</c:f>
              <c:strCache>
                <c:ptCount val="1"/>
                <c:pt idx="0">
                  <c:v>BUI NHU BAO</c:v>
                </c:pt>
              </c:strCache>
            </c:strRef>
          </c:tx>
          <c:spPr>
            <a:solidFill>
              <a:schemeClr val="accent2">
                <a:alpha val="90000"/>
              </a:schemeClr>
            </a:solidFill>
            <a:ln>
              <a:noFill/>
            </a:ln>
            <a:effectLst/>
          </c:spPr>
          <c:invertIfNegative val="0"/>
          <c:cat>
            <c:numRef>
              <c:f>Data!$BO$64:$BZ$64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Data!$BO$67:$BZ$67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4F-4E33-BA37-8C26C6C33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2"/>
        <c:overlap val="100"/>
        <c:axId val="868968896"/>
        <c:axId val="868969616"/>
      </c:barChart>
      <c:dateAx>
        <c:axId val="868968896"/>
        <c:scaling>
          <c:orientation val="minMax"/>
        </c:scaling>
        <c:delete val="0"/>
        <c:axPos val="b"/>
        <c:numFmt formatCode="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969616"/>
        <c:crosses val="autoZero"/>
        <c:auto val="1"/>
        <c:lblOffset val="100"/>
        <c:baseTimeUnit val="months"/>
      </c:dateAx>
      <c:valAx>
        <c:axId val="86896961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968896"/>
        <c:crosses val="autoZero"/>
        <c:crossBetween val="between"/>
        <c:majorUnit val="15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Data!$BL$51</c:f>
          <c:strCache>
            <c:ptCount val="1"/>
            <c:pt idx="0">
              <c:v>PR-PO Average Processing Time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1"/>
          <c:order val="2"/>
          <c:tx>
            <c:strRef>
              <c:f>Data!$BL$138</c:f>
              <c:strCache>
                <c:ptCount val="1"/>
                <c:pt idx="0">
                  <c:v>Abnormal</c:v>
                </c:pt>
              </c:strCache>
            </c:strRef>
          </c:tx>
          <c:spPr>
            <a:solidFill>
              <a:srgbClr val="FFD1D1"/>
            </a:solidFill>
            <a:ln>
              <a:noFill/>
            </a:ln>
            <a:effectLst/>
          </c:spPr>
          <c:invertIfNegative val="0"/>
          <c:val>
            <c:numRef>
              <c:f>Data!$BO$139:$BZ$139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D9-40E2-BD75-423470C7F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72381048"/>
        <c:axId val="738723640"/>
      </c:barChart>
      <c:lineChart>
        <c:grouping val="standard"/>
        <c:varyColors val="0"/>
        <c:ser>
          <c:idx val="0"/>
          <c:order val="0"/>
          <c:tx>
            <c:strRef>
              <c:f>Data!$BL$51</c:f>
              <c:strCache>
                <c:ptCount val="1"/>
                <c:pt idx="0">
                  <c:v>PR-PO Average Processing Time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Data!$BO$52:$BZ$52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Data!$BO$53:$BZ$53</c:f>
              <c:numCache>
                <c:formatCode>0.0</c:formatCode>
                <c:ptCount val="12"/>
                <c:pt idx="0">
                  <c:v>1.75</c:v>
                </c:pt>
                <c:pt idx="1">
                  <c:v>0.55555555555555558</c:v>
                </c:pt>
                <c:pt idx="2">
                  <c:v>12.333333333333334</c:v>
                </c:pt>
                <c:pt idx="3">
                  <c:v>13</c:v>
                </c:pt>
                <c:pt idx="4">
                  <c:v>16.214285714285715</c:v>
                </c:pt>
                <c:pt idx="5">
                  <c:v>14.5</c:v>
                </c:pt>
                <c:pt idx="6">
                  <c:v>16.705882352941178</c:v>
                </c:pt>
                <c:pt idx="7">
                  <c:v>9.8333333333333339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79-494F-AC12-305ED45AE7BE}"/>
            </c:ext>
          </c:extLst>
        </c:ser>
        <c:ser>
          <c:idx val="2"/>
          <c:order val="1"/>
          <c:tx>
            <c:strRef>
              <c:f>Data!$AU$19</c:f>
              <c:strCache>
                <c:ptCount val="1"/>
                <c:pt idx="0">
                  <c:v>Standard Process Time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Data!$BO$52:$BZ$52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Data!$AV$19:$BG$19</c:f>
              <c:numCache>
                <c:formatCode>0</c:formatCode>
                <c:ptCount val="12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4C-4C31-8147-D4E0B76DADF9}"/>
            </c:ext>
          </c:extLst>
        </c:ser>
        <c:ser>
          <c:idx val="3"/>
          <c:order val="3"/>
          <c:tx>
            <c:strRef>
              <c:f>Data!$BK$143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12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Data!$BO$143:$BZ$143</c:f>
              <c:numCache>
                <c:formatCode>0.0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16.705882352941178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D9-40E2-BD75-423470C7F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9862432"/>
        <c:axId val="819861352"/>
      </c:lineChart>
      <c:dateAx>
        <c:axId val="819862432"/>
        <c:scaling>
          <c:orientation val="minMax"/>
        </c:scaling>
        <c:delete val="0"/>
        <c:axPos val="b"/>
        <c:numFmt formatCode="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861352"/>
        <c:crosses val="autoZero"/>
        <c:auto val="1"/>
        <c:lblOffset val="100"/>
        <c:baseTimeUnit val="months"/>
      </c:dateAx>
      <c:valAx>
        <c:axId val="819861352"/>
        <c:scaling>
          <c:orientation val="minMax"/>
          <c:max val="1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862432"/>
        <c:crosses val="autoZero"/>
        <c:crossBetween val="between"/>
        <c:majorUnit val="6"/>
      </c:valAx>
      <c:valAx>
        <c:axId val="73872364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381048"/>
        <c:crosses val="max"/>
        <c:crossBetween val="between"/>
      </c:valAx>
      <c:catAx>
        <c:axId val="772381048"/>
        <c:scaling>
          <c:orientation val="minMax"/>
        </c:scaling>
        <c:delete val="1"/>
        <c:axPos val="b"/>
        <c:majorTickMark val="out"/>
        <c:minorTickMark val="none"/>
        <c:tickLblPos val="nextTo"/>
        <c:crossAx val="7387236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6">
          <a:alpha val="98000"/>
        </a:schemeClr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ysClr val="windowText" lastClr="000000"/>
                </a:solidFill>
              </a:rPr>
              <a:t>Total PR &amp; Total 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v>base PO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Data!$BO$17:$BZ$17</c:f>
              <c:numCache>
                <c:formatCode>General</c:formatCode>
                <c:ptCount val="12"/>
                <c:pt idx="0">
                  <c:v>8</c:v>
                </c:pt>
                <c:pt idx="1">
                  <c:v>9</c:v>
                </c:pt>
                <c:pt idx="2">
                  <c:v>3</c:v>
                </c:pt>
                <c:pt idx="3">
                  <c:v>6</c:v>
                </c:pt>
                <c:pt idx="4">
                  <c:v>14</c:v>
                </c:pt>
                <c:pt idx="5">
                  <c:v>40</c:v>
                </c:pt>
                <c:pt idx="6">
                  <c:v>17</c:v>
                </c:pt>
                <c:pt idx="7">
                  <c:v>24</c:v>
                </c:pt>
                <c:pt idx="8">
                  <c:v>30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E5-40DE-A34D-F65D848FC8CC}"/>
            </c:ext>
          </c:extLst>
        </c:ser>
        <c:ser>
          <c:idx val="3"/>
          <c:order val="3"/>
          <c:tx>
            <c:strRef>
              <c:f>Data!$BL$90</c:f>
              <c:strCache>
                <c:ptCount val="1"/>
                <c:pt idx="0">
                  <c:v>Gap PR-PO</c:v>
                </c:pt>
              </c:strCache>
            </c:strRef>
          </c:tx>
          <c:spPr>
            <a:solidFill>
              <a:srgbClr val="FFC9C9"/>
            </a:solidFill>
            <a:ln>
              <a:solidFill>
                <a:schemeClr val="bg1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Data!$BO$91:$BZ$91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65</c:v>
                </c:pt>
                <c:pt idx="3">
                  <c:v>187</c:v>
                </c:pt>
                <c:pt idx="4">
                  <c:v>158</c:v>
                </c:pt>
                <c:pt idx="5">
                  <c:v>233</c:v>
                </c:pt>
                <c:pt idx="6">
                  <c:v>172</c:v>
                </c:pt>
                <c:pt idx="7">
                  <c:v>204</c:v>
                </c:pt>
                <c:pt idx="8">
                  <c:v>94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E5-40DE-A34D-F65D848FC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overlap val="-10"/>
        <c:axId val="1137508792"/>
        <c:axId val="1137512032"/>
      </c:barChart>
      <c:barChart>
        <c:barDir val="col"/>
        <c:grouping val="clustered"/>
        <c:varyColors val="0"/>
        <c:ser>
          <c:idx val="0"/>
          <c:order val="0"/>
          <c:tx>
            <c:strRef>
              <c:f>Data!$BL$3</c:f>
              <c:strCache>
                <c:ptCount val="1"/>
                <c:pt idx="0">
                  <c:v>Total PR</c:v>
                </c:pt>
              </c:strCache>
            </c:strRef>
          </c:tx>
          <c:spPr>
            <a:solidFill>
              <a:srgbClr val="669F3F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Data!$BO$5:$BZ$5</c:f>
              <c:numCache>
                <c:formatCode>General</c:formatCode>
                <c:ptCount val="12"/>
                <c:pt idx="0">
                  <c:v>44</c:v>
                </c:pt>
                <c:pt idx="1">
                  <c:v>37</c:v>
                </c:pt>
                <c:pt idx="2">
                  <c:v>68</c:v>
                </c:pt>
                <c:pt idx="3">
                  <c:v>193</c:v>
                </c:pt>
                <c:pt idx="4">
                  <c:v>172</c:v>
                </c:pt>
                <c:pt idx="5">
                  <c:v>273</c:v>
                </c:pt>
                <c:pt idx="6">
                  <c:v>189</c:v>
                </c:pt>
                <c:pt idx="7">
                  <c:v>228</c:v>
                </c:pt>
                <c:pt idx="8">
                  <c:v>124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A-499E-A598-F7D6AA387D8E}"/>
            </c:ext>
          </c:extLst>
        </c:ser>
        <c:ser>
          <c:idx val="1"/>
          <c:order val="1"/>
          <c:tx>
            <c:strRef>
              <c:f>Data!$BL$15</c:f>
              <c:strCache>
                <c:ptCount val="1"/>
                <c:pt idx="0">
                  <c:v>Total PO</c:v>
                </c:pt>
              </c:strCache>
            </c:strRef>
          </c:tx>
          <c:spPr>
            <a:solidFill>
              <a:srgbClr val="A4CF87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Data!$BO$17:$BZ$17</c:f>
              <c:numCache>
                <c:formatCode>General</c:formatCode>
                <c:ptCount val="12"/>
                <c:pt idx="0">
                  <c:v>8</c:v>
                </c:pt>
                <c:pt idx="1">
                  <c:v>9</c:v>
                </c:pt>
                <c:pt idx="2">
                  <c:v>3</c:v>
                </c:pt>
                <c:pt idx="3">
                  <c:v>6</c:v>
                </c:pt>
                <c:pt idx="4">
                  <c:v>14</c:v>
                </c:pt>
                <c:pt idx="5">
                  <c:v>40</c:v>
                </c:pt>
                <c:pt idx="6">
                  <c:v>17</c:v>
                </c:pt>
                <c:pt idx="7">
                  <c:v>24</c:v>
                </c:pt>
                <c:pt idx="8">
                  <c:v>30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5A-499E-A598-F7D6AA387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376325304"/>
        <c:axId val="376324944"/>
      </c:barChart>
      <c:dateAx>
        <c:axId val="1137508792"/>
        <c:scaling>
          <c:orientation val="minMax"/>
        </c:scaling>
        <c:delete val="0"/>
        <c:axPos val="b"/>
        <c:numFmt formatCode="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512032"/>
        <c:crosses val="autoZero"/>
        <c:auto val="1"/>
        <c:lblOffset val="100"/>
        <c:baseTimeUnit val="months"/>
      </c:dateAx>
      <c:valAx>
        <c:axId val="113751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508792"/>
        <c:crosses val="autoZero"/>
        <c:crossBetween val="between"/>
        <c:majorUnit val="100"/>
      </c:valAx>
      <c:valAx>
        <c:axId val="3763249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325304"/>
        <c:crosses val="max"/>
        <c:crossBetween val="between"/>
        <c:majorUnit val="100"/>
      </c:valAx>
      <c:dateAx>
        <c:axId val="376325304"/>
        <c:scaling>
          <c:orientation val="minMax"/>
        </c:scaling>
        <c:delete val="1"/>
        <c:axPos val="b"/>
        <c:numFmt formatCode="mmm" sourceLinked="1"/>
        <c:majorTickMark val="out"/>
        <c:minorTickMark val="none"/>
        <c:tickLblPos val="nextTo"/>
        <c:crossAx val="376324944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6"/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PR Urgent &amp; PR Urgent Complete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v>base PR Urgent com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Data!$BO$64:$BZ$64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Data!$BO$77:$BZ$77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</c:v>
                </c:pt>
                <c:pt idx="6">
                  <c:v>20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75-4CA8-8D89-D0B4CBA97588}"/>
            </c:ext>
          </c:extLst>
        </c:ser>
        <c:ser>
          <c:idx val="3"/>
          <c:order val="3"/>
          <c:tx>
            <c:strRef>
              <c:f>Data!$BL$148</c:f>
              <c:strCache>
                <c:ptCount val="1"/>
                <c:pt idx="0">
                  <c:v>Gap PR Urgent vs Complete</c:v>
                </c:pt>
              </c:strCache>
            </c:strRef>
          </c:tx>
          <c:spPr>
            <a:solidFill>
              <a:srgbClr val="FFC9C9"/>
            </a:solidFill>
            <a:ln>
              <a:solidFill>
                <a:schemeClr val="bg1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Data!$BO$64:$BZ$64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Data!$BO$149:$BZ$149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75-4CA8-8D89-D0B4CBA97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overlap val="-10"/>
        <c:axId val="1137508792"/>
        <c:axId val="1137512032"/>
      </c:barChart>
      <c:barChart>
        <c:barDir val="col"/>
        <c:grouping val="clustered"/>
        <c:varyColors val="0"/>
        <c:ser>
          <c:idx val="0"/>
          <c:order val="0"/>
          <c:tx>
            <c:strRef>
              <c:f>Data!$BL$63</c:f>
              <c:strCache>
                <c:ptCount val="1"/>
                <c:pt idx="0">
                  <c:v>PR Urgent</c:v>
                </c:pt>
              </c:strCache>
            </c:strRef>
          </c:tx>
          <c:spPr>
            <a:solidFill>
              <a:srgbClr val="62983E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Data!$BO$65:$BZ$65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</c:v>
                </c:pt>
                <c:pt idx="6">
                  <c:v>20</c:v>
                </c:pt>
                <c:pt idx="7">
                  <c:v>9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75-4CA8-8D89-D0B4CBA97588}"/>
            </c:ext>
          </c:extLst>
        </c:ser>
        <c:ser>
          <c:idx val="1"/>
          <c:order val="1"/>
          <c:tx>
            <c:strRef>
              <c:f>Data!$BL$75</c:f>
              <c:strCache>
                <c:ptCount val="1"/>
                <c:pt idx="0">
                  <c:v>PR Urgent Complete</c:v>
                </c:pt>
              </c:strCache>
            </c:strRef>
          </c:tx>
          <c:spPr>
            <a:solidFill>
              <a:srgbClr val="8FC36B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Data!$BO$77:$BZ$77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</c:v>
                </c:pt>
                <c:pt idx="6">
                  <c:v>20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75-4CA8-8D89-D0B4CBA97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376325304"/>
        <c:axId val="376324944"/>
      </c:barChart>
      <c:dateAx>
        <c:axId val="1137508792"/>
        <c:scaling>
          <c:orientation val="minMax"/>
        </c:scaling>
        <c:delete val="0"/>
        <c:axPos val="b"/>
        <c:numFmt formatCode="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512032"/>
        <c:crosses val="autoZero"/>
        <c:auto val="1"/>
        <c:lblOffset val="100"/>
        <c:baseTimeUnit val="months"/>
      </c:dateAx>
      <c:valAx>
        <c:axId val="113751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508792"/>
        <c:crosses val="autoZero"/>
        <c:crossBetween val="between"/>
        <c:majorUnit val="10"/>
      </c:valAx>
      <c:valAx>
        <c:axId val="3763249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325304"/>
        <c:crosses val="max"/>
        <c:crossBetween val="between"/>
      </c:valAx>
      <c:dateAx>
        <c:axId val="376325304"/>
        <c:scaling>
          <c:orientation val="minMax"/>
        </c:scaling>
        <c:delete val="1"/>
        <c:axPos val="b"/>
        <c:numFmt formatCode="mmm" sourceLinked="1"/>
        <c:majorTickMark val="out"/>
        <c:minorTickMark val="none"/>
        <c:tickLblPos val="nextTo"/>
        <c:crossAx val="376324944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6">
          <a:alpha val="98000"/>
        </a:schemeClr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Data!$AU$6</c:f>
          <c:strCache>
            <c:ptCount val="1"/>
            <c:pt idx="0">
              <c:v>PR pending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Data!$BL$27</c:f>
              <c:strCache>
                <c:ptCount val="1"/>
                <c:pt idx="0">
                  <c:v>PR Pending</c:v>
                </c:pt>
              </c:strCache>
            </c:strRef>
          </c:tx>
          <c:spPr>
            <a:solidFill>
              <a:srgbClr val="8BC365"/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Data!$BO$29:$BZ$29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9</c:v>
                </c:pt>
                <c:pt idx="5">
                  <c:v>7</c:v>
                </c:pt>
                <c:pt idx="6">
                  <c:v>26</c:v>
                </c:pt>
                <c:pt idx="7">
                  <c:v>12</c:v>
                </c:pt>
                <c:pt idx="8">
                  <c:v>44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C3-420B-805B-A5FC9A5D2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axId val="820933048"/>
        <c:axId val="820933408"/>
      </c:barChart>
      <c:lineChart>
        <c:grouping val="stacked"/>
        <c:varyColors val="0"/>
        <c:ser>
          <c:idx val="1"/>
          <c:order val="1"/>
          <c:tx>
            <c:strRef>
              <c:f>Data!$BL$106</c:f>
              <c:strCache>
                <c:ptCount val="1"/>
                <c:pt idx="0">
                  <c:v>Difference Between Each Month</c:v>
                </c:pt>
              </c:strCache>
            </c:strRef>
          </c:tx>
          <c:spPr>
            <a:ln w="25400" cap="rnd">
              <a:solidFill>
                <a:srgbClr val="FFD54F"/>
              </a:solidFill>
              <a:round/>
            </a:ln>
            <a:effectLst/>
          </c:spPr>
          <c:marker>
            <c:symbol val="none"/>
          </c:marker>
          <c:dLbls>
            <c:numFmt formatCode="[Red]\▲0;[Blue]\▼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Data!$BO$28:$BZ$28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Data!$BO$107:$BZ$107</c:f>
              <c:numCache>
                <c:formatCode>General</c:formatCode>
                <c:ptCount val="12"/>
                <c:pt idx="0">
                  <c:v>1</c:v>
                </c:pt>
                <c:pt idx="1">
                  <c:v>#N/A</c:v>
                </c:pt>
                <c:pt idx="2">
                  <c:v>-1</c:v>
                </c:pt>
                <c:pt idx="3">
                  <c:v>1</c:v>
                </c:pt>
                <c:pt idx="4">
                  <c:v>8</c:v>
                </c:pt>
                <c:pt idx="5">
                  <c:v>-2</c:v>
                </c:pt>
                <c:pt idx="6">
                  <c:v>19</c:v>
                </c:pt>
                <c:pt idx="7">
                  <c:v>-14</c:v>
                </c:pt>
                <c:pt idx="8">
                  <c:v>32</c:v>
                </c:pt>
                <c:pt idx="9">
                  <c:v>-44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C3-420B-805B-A5FC9A5D2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870408"/>
        <c:axId val="820870048"/>
      </c:lineChart>
      <c:catAx>
        <c:axId val="820933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933408"/>
        <c:crosses val="autoZero"/>
        <c:auto val="1"/>
        <c:lblAlgn val="ctr"/>
        <c:lblOffset val="100"/>
        <c:noMultiLvlLbl val="0"/>
      </c:catAx>
      <c:valAx>
        <c:axId val="820933408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933048"/>
        <c:crosses val="autoZero"/>
        <c:crossBetween val="between"/>
        <c:majorUnit val="10"/>
      </c:valAx>
      <c:valAx>
        <c:axId val="820870048"/>
        <c:scaling>
          <c:orientation val="minMax"/>
          <c:max val="35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870408"/>
        <c:crosses val="max"/>
        <c:crossBetween val="between"/>
      </c:valAx>
      <c:dateAx>
        <c:axId val="820870408"/>
        <c:scaling>
          <c:orientation val="minMax"/>
        </c:scaling>
        <c:delete val="1"/>
        <c:axPos val="t"/>
        <c:numFmt formatCode="mmm" sourceLinked="1"/>
        <c:majorTickMark val="out"/>
        <c:minorTickMark val="none"/>
        <c:tickLblPos val="nextTo"/>
        <c:crossAx val="820870048"/>
        <c:crosses val="max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6">
          <a:alpha val="98000"/>
        </a:schemeClr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Data!$AU$7</c:f>
          <c:strCache>
            <c:ptCount val="1"/>
            <c:pt idx="0">
              <c:v>PO pending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Data!$BL$39</c:f>
              <c:strCache>
                <c:ptCount val="1"/>
                <c:pt idx="0">
                  <c:v>PO Pending</c:v>
                </c:pt>
              </c:strCache>
            </c:strRef>
          </c:tx>
          <c:spPr>
            <a:solidFill>
              <a:srgbClr val="A4CF87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Data!$BO$41:$BZ$41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5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9</c:v>
                </c:pt>
                <c:pt idx="8">
                  <c:v>22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DD-475C-8159-D970A233C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axId val="705265792"/>
        <c:axId val="705266152"/>
      </c:barChart>
      <c:lineChart>
        <c:grouping val="stacked"/>
        <c:varyColors val="0"/>
        <c:ser>
          <c:idx val="1"/>
          <c:order val="1"/>
          <c:tx>
            <c:strRef>
              <c:f>Data!$BL$121</c:f>
              <c:strCache>
                <c:ptCount val="1"/>
                <c:pt idx="0">
                  <c:v>Difference Between Each Month</c:v>
                </c:pt>
              </c:strCache>
            </c:strRef>
          </c:tx>
          <c:spPr>
            <a:ln w="25400" cap="rnd">
              <a:solidFill>
                <a:srgbClr val="FFD54F"/>
              </a:solidFill>
              <a:round/>
            </a:ln>
            <a:effectLst/>
          </c:spPr>
          <c:marker>
            <c:symbol val="none"/>
          </c:marker>
          <c:dLbls>
            <c:numFmt formatCode="[Red]\▲0;[Blue]\▼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Data!$BO$40:$BZ$40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Data!$BO$122:$BZ$122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2</c:v>
                </c:pt>
                <c:pt idx="6">
                  <c:v>2</c:v>
                </c:pt>
                <c:pt idx="7">
                  <c:v>-5</c:v>
                </c:pt>
                <c:pt idx="8">
                  <c:v>13</c:v>
                </c:pt>
                <c:pt idx="9">
                  <c:v>-22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DD-475C-8159-D970A233C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328848"/>
        <c:axId val="632326328"/>
      </c:lineChart>
      <c:catAx>
        <c:axId val="705265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66152"/>
        <c:crosses val="autoZero"/>
        <c:auto val="1"/>
        <c:lblAlgn val="ctr"/>
        <c:lblOffset val="100"/>
        <c:noMultiLvlLbl val="0"/>
      </c:catAx>
      <c:valAx>
        <c:axId val="705266152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65792"/>
        <c:crosses val="autoZero"/>
        <c:crossBetween val="between"/>
        <c:majorUnit val="10"/>
      </c:valAx>
      <c:valAx>
        <c:axId val="632326328"/>
        <c:scaling>
          <c:orientation val="minMax"/>
          <c:max val="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328848"/>
        <c:crosses val="max"/>
        <c:crossBetween val="between"/>
      </c:valAx>
      <c:dateAx>
        <c:axId val="632328848"/>
        <c:scaling>
          <c:orientation val="minMax"/>
        </c:scaling>
        <c:delete val="1"/>
        <c:axPos val="t"/>
        <c:numFmt formatCode="mmm" sourceLinked="1"/>
        <c:majorTickMark val="out"/>
        <c:minorTickMark val="none"/>
        <c:tickLblPos val="nextTo"/>
        <c:crossAx val="632326328"/>
        <c:crosses val="max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6">
          <a:alpha val="98000"/>
        </a:schemeClr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Data!$BL$51</c:f>
          <c:strCache>
            <c:ptCount val="1"/>
            <c:pt idx="0">
              <c:v>PR-PO Average Processing Time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72381048"/>
        <c:axId val="738723640"/>
        <c:extLst>
          <c:ext xmlns:c15="http://schemas.microsoft.com/office/drawing/2012/chart" uri="{02D57815-91ED-43cb-92C2-25804820EDAC}">
            <c15:filteredBarSeries>
              <c15:ser>
                <c:idx val="1"/>
                <c:order val="2"/>
                <c:tx>
                  <c:strRef>
                    <c:extLst>
                      <c:ext uri="{02D57815-91ED-43cb-92C2-25804820EDAC}">
                        <c15:formulaRef>
                          <c15:sqref>Data!$BL$138</c15:sqref>
                        </c15:formulaRef>
                      </c:ext>
                    </c:extLst>
                    <c:strCache>
                      <c:ptCount val="1"/>
                      <c:pt idx="0">
                        <c:v>Abnormal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Data!$BO$52:$BZ$52</c15:sqref>
                        </c15:formulaRef>
                      </c:ext>
                    </c:extLst>
                    <c:numCache>
                      <c:formatCode>mmm</c:formatCode>
                      <c:ptCount val="12"/>
                      <c:pt idx="0">
                        <c:v>44197</c:v>
                      </c:pt>
                      <c:pt idx="1">
                        <c:v>44228</c:v>
                      </c:pt>
                      <c:pt idx="2">
                        <c:v>44256</c:v>
                      </c:pt>
                      <c:pt idx="3">
                        <c:v>44287</c:v>
                      </c:pt>
                      <c:pt idx="4">
                        <c:v>44317</c:v>
                      </c:pt>
                      <c:pt idx="5">
                        <c:v>44348</c:v>
                      </c:pt>
                      <c:pt idx="6">
                        <c:v>44378</c:v>
                      </c:pt>
                      <c:pt idx="7">
                        <c:v>44409</c:v>
                      </c:pt>
                      <c:pt idx="8">
                        <c:v>44440</c:v>
                      </c:pt>
                      <c:pt idx="9">
                        <c:v>44470</c:v>
                      </c:pt>
                      <c:pt idx="10">
                        <c:v>44501</c:v>
                      </c:pt>
                      <c:pt idx="11">
                        <c:v>44531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Data!$BO$140:$BZ$140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EDD4-4F21-B02D-C8B21D13490B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0"/>
          <c:order val="0"/>
          <c:tx>
            <c:strRef>
              <c:f>Data!$BL$51</c:f>
              <c:strCache>
                <c:ptCount val="1"/>
                <c:pt idx="0">
                  <c:v>PR-PO Average Processing Time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Data!$BO$52:$BZ$52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Data!$BO$54:$BZ$54</c:f>
              <c:numCache>
                <c:formatCode>0.0</c:formatCode>
                <c:ptCount val="12"/>
                <c:pt idx="0">
                  <c:v>0.53125</c:v>
                </c:pt>
                <c:pt idx="1">
                  <c:v>1.375</c:v>
                </c:pt>
                <c:pt idx="2">
                  <c:v>0.78666666666666663</c:v>
                </c:pt>
                <c:pt idx="3">
                  <c:v>1.072289156626506</c:v>
                </c:pt>
                <c:pt idx="4">
                  <c:v>0.69635627530364375</c:v>
                </c:pt>
                <c:pt idx="5">
                  <c:v>0.98791540785498488</c:v>
                </c:pt>
                <c:pt idx="6">
                  <c:v>0.70873786407766992</c:v>
                </c:pt>
                <c:pt idx="7">
                  <c:v>0.84586466165413532</c:v>
                </c:pt>
                <c:pt idx="8">
                  <c:v>0.96103896103896103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D4-4F21-B02D-C8B21D13490B}"/>
            </c:ext>
          </c:extLst>
        </c:ser>
        <c:ser>
          <c:idx val="2"/>
          <c:order val="1"/>
          <c:tx>
            <c:strRef>
              <c:f>Data!$AU$19</c:f>
              <c:strCache>
                <c:ptCount val="1"/>
                <c:pt idx="0">
                  <c:v>Standard Process Time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Data!$BO$52:$BZ$52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Data!$AV$19:$BG$19</c:f>
              <c:numCache>
                <c:formatCode>0</c:formatCode>
                <c:ptCount val="12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D4-4F21-B02D-C8B21D13490B}"/>
            </c:ext>
          </c:extLst>
        </c:ser>
        <c:ser>
          <c:idx val="3"/>
          <c:order val="3"/>
          <c:tx>
            <c:strRef>
              <c:f>Data!$BK$143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12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Data!$BO$144:$BZ$144</c:f>
              <c:numCache>
                <c:formatCode>0.0</c:formatCode>
                <c:ptCount val="12"/>
                <c:pt idx="0">
                  <c:v>#N/A</c:v>
                </c:pt>
                <c:pt idx="1">
                  <c:v>1.375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DD4-4F21-B02D-C8B21D134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9862432"/>
        <c:axId val="819861352"/>
      </c:lineChart>
      <c:dateAx>
        <c:axId val="819862432"/>
        <c:scaling>
          <c:orientation val="minMax"/>
        </c:scaling>
        <c:delete val="0"/>
        <c:axPos val="b"/>
        <c:numFmt formatCode="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861352"/>
        <c:crosses val="autoZero"/>
        <c:auto val="1"/>
        <c:lblOffset val="100"/>
        <c:baseTimeUnit val="months"/>
      </c:dateAx>
      <c:valAx>
        <c:axId val="819861352"/>
        <c:scaling>
          <c:orientation val="minMax"/>
          <c:max val="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862432"/>
        <c:crosses val="autoZero"/>
        <c:crossBetween val="between"/>
        <c:majorUnit val="3"/>
      </c:valAx>
      <c:valAx>
        <c:axId val="73872364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381048"/>
        <c:crosses val="max"/>
        <c:crossBetween val="between"/>
      </c:valAx>
      <c:catAx>
        <c:axId val="772381048"/>
        <c:scaling>
          <c:orientation val="minMax"/>
        </c:scaling>
        <c:delete val="1"/>
        <c:axPos val="b"/>
        <c:numFmt formatCode="mmm" sourceLinked="1"/>
        <c:majorTickMark val="out"/>
        <c:minorTickMark val="none"/>
        <c:tickLblPos val="nextTo"/>
        <c:crossAx val="7387236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 sz="1400"/>
            </a:pPr>
            <a:r>
              <a:rPr lang="en-US" sz="1400"/>
              <a:t>Total PR &amp; Total PO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v>base PO</c:v>
          </c:tx>
          <c:spPr>
            <a:solidFill>
              <a:srgbClr val="F9D1B5"/>
            </a:solidFill>
            <a:ln>
              <a:noFill/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Data!$BO$6:$BZ$6</c:f>
              <c:numCache>
                <c:formatCode>General</c:formatCode>
                <c:ptCount val="12"/>
                <c:pt idx="0">
                  <c:v>67</c:v>
                </c:pt>
                <c:pt idx="1">
                  <c:v>59</c:v>
                </c:pt>
                <c:pt idx="2">
                  <c:v>34</c:v>
                </c:pt>
                <c:pt idx="3">
                  <c:v>32</c:v>
                </c:pt>
                <c:pt idx="4">
                  <c:v>76</c:v>
                </c:pt>
                <c:pt idx="5">
                  <c:v>66</c:v>
                </c:pt>
                <c:pt idx="6">
                  <c:v>50</c:v>
                </c:pt>
                <c:pt idx="7">
                  <c:v>132</c:v>
                </c:pt>
                <c:pt idx="8">
                  <c:v>39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00-4A2E-B623-5AE600AA715D}"/>
            </c:ext>
          </c:extLst>
        </c:ser>
        <c:ser>
          <c:idx val="3"/>
          <c:order val="3"/>
          <c:tx>
            <c:strRef>
              <c:f>Data!$BL$90</c:f>
              <c:strCache>
                <c:ptCount val="1"/>
                <c:pt idx="0">
                  <c:v>Gap PR-PO</c:v>
                </c:pt>
              </c:strCache>
            </c:strRef>
          </c:tx>
          <c:spPr>
            <a:solidFill>
              <a:srgbClr val="F9D1B5"/>
            </a:solidFill>
            <a:ln>
              <a:solidFill>
                <a:schemeClr val="bg1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 rIns="228600"/>
              <a:lstStyle/>
              <a:p>
                <a:pPr>
                  <a:defRPr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Data!$BO$94:$BZ$94</c:f>
              <c:numCache>
                <c:formatCode>General</c:formatCode>
                <c:ptCount val="12"/>
                <c:pt idx="0">
                  <c:v>61</c:v>
                </c:pt>
                <c:pt idx="1">
                  <c:v>30</c:v>
                </c:pt>
                <c:pt idx="2">
                  <c:v>115</c:v>
                </c:pt>
                <c:pt idx="3">
                  <c:v>219</c:v>
                </c:pt>
                <c:pt idx="4">
                  <c:v>171</c:v>
                </c:pt>
                <c:pt idx="5">
                  <c:v>264</c:v>
                </c:pt>
                <c:pt idx="6">
                  <c:v>156</c:v>
                </c:pt>
                <c:pt idx="7">
                  <c:v>133</c:v>
                </c:pt>
                <c:pt idx="8">
                  <c:v>38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00-4A2E-B623-5AE600AA7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3"/>
        <c:overlap val="100"/>
        <c:axId val="1137508792"/>
        <c:axId val="1137512032"/>
      </c:barChart>
      <c:barChart>
        <c:barDir val="col"/>
        <c:grouping val="clustered"/>
        <c:varyColors val="0"/>
        <c:ser>
          <c:idx val="0"/>
          <c:order val="0"/>
          <c:tx>
            <c:strRef>
              <c:f>Data!$BL$3</c:f>
              <c:strCache>
                <c:ptCount val="1"/>
                <c:pt idx="0">
                  <c:v>Total PR</c:v>
                </c:pt>
              </c:strCache>
            </c:strRef>
          </c:tx>
          <c:spPr>
            <a:solidFill>
              <a:srgbClr val="317CC1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Data!$BO$6:$BZ$6</c:f>
              <c:numCache>
                <c:formatCode>General</c:formatCode>
                <c:ptCount val="12"/>
                <c:pt idx="0">
                  <c:v>67</c:v>
                </c:pt>
                <c:pt idx="1">
                  <c:v>59</c:v>
                </c:pt>
                <c:pt idx="2">
                  <c:v>34</c:v>
                </c:pt>
                <c:pt idx="3">
                  <c:v>32</c:v>
                </c:pt>
                <c:pt idx="4">
                  <c:v>76</c:v>
                </c:pt>
                <c:pt idx="5">
                  <c:v>66</c:v>
                </c:pt>
                <c:pt idx="6">
                  <c:v>50</c:v>
                </c:pt>
                <c:pt idx="7">
                  <c:v>132</c:v>
                </c:pt>
                <c:pt idx="8">
                  <c:v>39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00-4A2E-B623-5AE600AA715D}"/>
            </c:ext>
          </c:extLst>
        </c:ser>
        <c:ser>
          <c:idx val="1"/>
          <c:order val="1"/>
          <c:tx>
            <c:strRef>
              <c:f>Data!$BL$15</c:f>
              <c:strCache>
                <c:ptCount val="1"/>
                <c:pt idx="0">
                  <c:v>Total PO</c:v>
                </c:pt>
              </c:strCache>
            </c:strRef>
          </c:tx>
          <c:spPr>
            <a:solidFill>
              <a:srgbClr val="73A9DB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Data!$BO$18:$BZ$18</c:f>
              <c:numCache>
                <c:formatCode>General</c:formatCode>
                <c:ptCount val="12"/>
                <c:pt idx="0">
                  <c:v>128</c:v>
                </c:pt>
                <c:pt idx="1">
                  <c:v>89</c:v>
                </c:pt>
                <c:pt idx="2">
                  <c:v>149</c:v>
                </c:pt>
                <c:pt idx="3">
                  <c:v>251</c:v>
                </c:pt>
                <c:pt idx="4">
                  <c:v>247</c:v>
                </c:pt>
                <c:pt idx="5">
                  <c:v>330</c:v>
                </c:pt>
                <c:pt idx="6">
                  <c:v>206</c:v>
                </c:pt>
                <c:pt idx="7">
                  <c:v>265</c:v>
                </c:pt>
                <c:pt idx="8">
                  <c:v>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00-4A2E-B623-5AE600AA7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718054960"/>
        <c:axId val="718053520"/>
      </c:barChart>
      <c:dateAx>
        <c:axId val="1137508792"/>
        <c:scaling>
          <c:orientation val="minMax"/>
        </c:scaling>
        <c:delete val="0"/>
        <c:axPos val="b"/>
        <c:numFmt formatCode="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137512032"/>
        <c:crosses val="autoZero"/>
        <c:auto val="1"/>
        <c:lblOffset val="100"/>
        <c:baseTimeUnit val="months"/>
      </c:dateAx>
      <c:valAx>
        <c:axId val="113751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137508792"/>
        <c:crosses val="autoZero"/>
        <c:crossBetween val="between"/>
        <c:majorUnit val="100"/>
      </c:valAx>
      <c:valAx>
        <c:axId val="718053520"/>
        <c:scaling>
          <c:orientation val="minMax"/>
          <c:max val="4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718054960"/>
        <c:crosses val="max"/>
        <c:crossBetween val="between"/>
      </c:valAx>
      <c:dateAx>
        <c:axId val="718054960"/>
        <c:scaling>
          <c:orientation val="minMax"/>
        </c:scaling>
        <c:delete val="1"/>
        <c:axPos val="b"/>
        <c:numFmt formatCode="mmm" sourceLinked="1"/>
        <c:majorTickMark val="out"/>
        <c:minorTickMark val="none"/>
        <c:tickLblPos val="nextTo"/>
        <c:crossAx val="718053520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PR Urgent &amp; PR Urgent Complete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v>base PR Urgent com</c:v>
          </c:tx>
          <c:spPr>
            <a:noFill/>
            <a:ln>
              <a:noFill/>
            </a:ln>
            <a:effectLst/>
          </c:spPr>
          <c:invertIfNegative val="0"/>
          <c:cat>
            <c:numRef>
              <c:f>Data!$BO$64:$BZ$64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Data!$BO$78:$BZ$78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51-4BFE-BB78-D0984A25AE79}"/>
            </c:ext>
          </c:extLst>
        </c:ser>
        <c:ser>
          <c:idx val="3"/>
          <c:order val="3"/>
          <c:tx>
            <c:strRef>
              <c:f>Data!$BL$148</c:f>
              <c:strCache>
                <c:ptCount val="1"/>
                <c:pt idx="0">
                  <c:v>Gap PR Urgent vs Complete</c:v>
                </c:pt>
              </c:strCache>
            </c:strRef>
          </c:tx>
          <c:spPr>
            <a:solidFill>
              <a:srgbClr val="FFC9C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Data!$BO$64:$BZ$64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Data!$BO$150:$BZ$150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-1</c:v>
                </c:pt>
                <c:pt idx="7">
                  <c:v>29</c:v>
                </c:pt>
                <c:pt idx="8">
                  <c:v>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51-4BFE-BB78-D0984A25A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overlap val="-10"/>
        <c:axId val="1137508792"/>
        <c:axId val="1137512032"/>
      </c:barChart>
      <c:barChart>
        <c:barDir val="col"/>
        <c:grouping val="clustered"/>
        <c:varyColors val="0"/>
        <c:ser>
          <c:idx val="0"/>
          <c:order val="0"/>
          <c:tx>
            <c:strRef>
              <c:f>Data!$BL$63</c:f>
              <c:strCache>
                <c:ptCount val="1"/>
                <c:pt idx="0">
                  <c:v>PR Urgent</c:v>
                </c:pt>
              </c:strCache>
            </c:strRef>
          </c:tx>
          <c:spPr>
            <a:solidFill>
              <a:srgbClr val="317CC1"/>
            </a:solidFill>
            <a:ln>
              <a:noFill/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Data!$BO$66:$BZ$66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29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51-4BFE-BB78-D0984A25AE79}"/>
            </c:ext>
          </c:extLst>
        </c:ser>
        <c:ser>
          <c:idx val="1"/>
          <c:order val="1"/>
          <c:tx>
            <c:strRef>
              <c:f>Data!$BL$75</c:f>
              <c:strCache>
                <c:ptCount val="1"/>
                <c:pt idx="0">
                  <c:v>PR Urgent Complete</c:v>
                </c:pt>
              </c:strCache>
            </c:strRef>
          </c:tx>
          <c:spPr>
            <a:solidFill>
              <a:srgbClr val="73A9DB"/>
            </a:solidFill>
            <a:ln>
              <a:noFill/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Data!$BO$78:$BZ$78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51-4BFE-BB78-D0984A25A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376325304"/>
        <c:axId val="376324944"/>
      </c:barChart>
      <c:dateAx>
        <c:axId val="1137508792"/>
        <c:scaling>
          <c:orientation val="minMax"/>
        </c:scaling>
        <c:delete val="0"/>
        <c:axPos val="b"/>
        <c:numFmt formatCode="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512032"/>
        <c:crosses val="autoZero"/>
        <c:auto val="1"/>
        <c:lblOffset val="100"/>
        <c:baseTimeUnit val="months"/>
      </c:dateAx>
      <c:valAx>
        <c:axId val="11375120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508792"/>
        <c:crosses val="autoZero"/>
        <c:crossBetween val="between"/>
        <c:majorUnit val="10"/>
      </c:valAx>
      <c:valAx>
        <c:axId val="376324944"/>
        <c:scaling>
          <c:orientation val="minMax"/>
          <c:max val="4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325304"/>
        <c:crosses val="max"/>
        <c:crossBetween val="between"/>
        <c:majorUnit val="10"/>
      </c:valAx>
      <c:dateAx>
        <c:axId val="376325304"/>
        <c:scaling>
          <c:orientation val="minMax"/>
        </c:scaling>
        <c:delete val="1"/>
        <c:axPos val="b"/>
        <c:numFmt formatCode="mmm" sourceLinked="1"/>
        <c:majorTickMark val="out"/>
        <c:minorTickMark val="none"/>
        <c:tickLblPos val="nextTo"/>
        <c:crossAx val="376324944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Data!$AU$6</c:f>
          <c:strCache>
            <c:ptCount val="1"/>
            <c:pt idx="0">
              <c:v>PR pending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Data!$BL$27</c:f>
              <c:strCache>
                <c:ptCount val="1"/>
                <c:pt idx="0">
                  <c:v>PR Pending</c:v>
                </c:pt>
              </c:strCache>
            </c:strRef>
          </c:tx>
          <c:spPr>
            <a:solidFill>
              <a:srgbClr val="3E89CE"/>
            </a:solidFill>
            <a:ln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Data!$BO$30:$BZ$30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66</c:v>
                </c:pt>
                <c:pt idx="8">
                  <c:v>37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0-4648-A572-1E56E1BF1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axId val="820933048"/>
        <c:axId val="820933408"/>
      </c:barChart>
      <c:lineChart>
        <c:grouping val="stacked"/>
        <c:varyColors val="0"/>
        <c:ser>
          <c:idx val="1"/>
          <c:order val="1"/>
          <c:tx>
            <c:strRef>
              <c:f>Data!$BL$106</c:f>
              <c:strCache>
                <c:ptCount val="1"/>
                <c:pt idx="0">
                  <c:v>Difference Between Each Month</c:v>
                </c:pt>
              </c:strCache>
            </c:strRef>
          </c:tx>
          <c:spPr>
            <a:ln w="25400" cap="rnd">
              <a:solidFill>
                <a:srgbClr val="FFD54F"/>
              </a:solidFill>
              <a:round/>
            </a:ln>
            <a:effectLst/>
          </c:spPr>
          <c:marker>
            <c:symbol val="none"/>
          </c:marker>
          <c:dLbls>
            <c:numFmt formatCode="[Red]\▲0;[Blue]\▼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Data!$BO$28:$BZ$28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Data!$BO$109:$BZ$109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66</c:v>
                </c:pt>
                <c:pt idx="8">
                  <c:v>-29</c:v>
                </c:pt>
                <c:pt idx="9">
                  <c:v>-37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C0-4648-A572-1E56E1BF1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870408"/>
        <c:axId val="820870048"/>
      </c:lineChart>
      <c:catAx>
        <c:axId val="820933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933408"/>
        <c:crosses val="autoZero"/>
        <c:auto val="1"/>
        <c:lblAlgn val="ctr"/>
        <c:lblOffset val="100"/>
        <c:noMultiLvlLbl val="0"/>
      </c:catAx>
      <c:valAx>
        <c:axId val="820933408"/>
        <c:scaling>
          <c:orientation val="minMax"/>
          <c:max val="1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933048"/>
        <c:crosses val="autoZero"/>
        <c:crossBetween val="between"/>
        <c:majorUnit val="40"/>
      </c:valAx>
      <c:valAx>
        <c:axId val="820870048"/>
        <c:scaling>
          <c:orientation val="minMax"/>
          <c:max val="100"/>
          <c:min val="-1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870408"/>
        <c:crosses val="max"/>
        <c:crossBetween val="between"/>
      </c:valAx>
      <c:dateAx>
        <c:axId val="820870408"/>
        <c:scaling>
          <c:orientation val="minMax"/>
        </c:scaling>
        <c:delete val="1"/>
        <c:axPos val="t"/>
        <c:numFmt formatCode="mmm" sourceLinked="1"/>
        <c:majorTickMark val="out"/>
        <c:minorTickMark val="none"/>
        <c:tickLblPos val="nextTo"/>
        <c:crossAx val="820870048"/>
        <c:crosses val="max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Data!$AU$7</c:f>
          <c:strCache>
            <c:ptCount val="1"/>
            <c:pt idx="0">
              <c:v>PO pending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Data!$BL$39</c:f>
              <c:strCache>
                <c:ptCount val="1"/>
                <c:pt idx="0">
                  <c:v>PO Pending</c:v>
                </c:pt>
              </c:strCache>
            </c:strRef>
          </c:tx>
          <c:spPr>
            <a:solidFill>
              <a:srgbClr val="79ADDD"/>
            </a:solidFill>
            <a:ln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rgbClr val="84B4E0"/>
              </a:solidFill>
              <a:ln>
                <a:solidFill>
                  <a:schemeClr val="accent5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030-4780-884F-D33228233649}"/>
              </c:ext>
            </c:extLst>
          </c:dPt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Data!$BO$42:$BZ$42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</c:v>
                </c:pt>
                <c:pt idx="6">
                  <c:v>32</c:v>
                </c:pt>
                <c:pt idx="7">
                  <c:v>110</c:v>
                </c:pt>
                <c:pt idx="8">
                  <c:v>76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89-4789-B59B-469A78266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axId val="705265792"/>
        <c:axId val="705266152"/>
      </c:barChart>
      <c:lineChart>
        <c:grouping val="stacked"/>
        <c:varyColors val="0"/>
        <c:ser>
          <c:idx val="1"/>
          <c:order val="1"/>
          <c:tx>
            <c:strRef>
              <c:f>Data!$BL$121</c:f>
              <c:strCache>
                <c:ptCount val="1"/>
                <c:pt idx="0">
                  <c:v>Difference Between Each Month</c:v>
                </c:pt>
              </c:strCache>
            </c:strRef>
          </c:tx>
          <c:spPr>
            <a:ln w="25400" cap="rnd">
              <a:solidFill>
                <a:srgbClr val="FFD54F"/>
              </a:solidFill>
              <a:round/>
            </a:ln>
            <a:effectLst/>
          </c:spPr>
          <c:marker>
            <c:symbol val="none"/>
          </c:marker>
          <c:dLbls>
            <c:numFmt formatCode="[Red]\▲0;[Blue]\▼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Data!$BO$40:$BZ$40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Data!$BO$124:$BZ$124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13</c:v>
                </c:pt>
                <c:pt idx="6">
                  <c:v>19</c:v>
                </c:pt>
                <c:pt idx="7">
                  <c:v>78</c:v>
                </c:pt>
                <c:pt idx="8">
                  <c:v>-34</c:v>
                </c:pt>
                <c:pt idx="9">
                  <c:v>-76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89-4789-B59B-469A78266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328848"/>
        <c:axId val="632326328"/>
      </c:lineChart>
      <c:catAx>
        <c:axId val="705265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66152"/>
        <c:crosses val="autoZero"/>
        <c:auto val="1"/>
        <c:lblAlgn val="ctr"/>
        <c:lblOffset val="100"/>
        <c:noMultiLvlLbl val="0"/>
      </c:catAx>
      <c:valAx>
        <c:axId val="705266152"/>
        <c:scaling>
          <c:orientation val="minMax"/>
          <c:max val="1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65792"/>
        <c:crosses val="autoZero"/>
        <c:crossBetween val="between"/>
        <c:majorUnit val="40"/>
      </c:valAx>
      <c:valAx>
        <c:axId val="632326328"/>
        <c:scaling>
          <c:orientation val="minMax"/>
          <c:max val="8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328848"/>
        <c:crosses val="max"/>
        <c:crossBetween val="between"/>
      </c:valAx>
      <c:dateAx>
        <c:axId val="632328848"/>
        <c:scaling>
          <c:orientation val="minMax"/>
        </c:scaling>
        <c:delete val="1"/>
        <c:axPos val="t"/>
        <c:numFmt formatCode="mmm" sourceLinked="1"/>
        <c:majorTickMark val="out"/>
        <c:minorTickMark val="none"/>
        <c:tickLblPos val="nextTo"/>
        <c:crossAx val="632326328"/>
        <c:crosses val="max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Data!$BL$51</c:f>
          <c:strCache>
            <c:ptCount val="1"/>
            <c:pt idx="0">
              <c:v>PR-PO Average Processing Time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1"/>
          <c:order val="2"/>
          <c:tx>
            <c:strRef>
              <c:f>Data!$BL$138</c:f>
              <c:strCache>
                <c:ptCount val="1"/>
                <c:pt idx="0">
                  <c:v>Abnormal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Data!$BO$52:$BZ$52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  <c:extLst xmlns:c15="http://schemas.microsoft.com/office/drawing/2012/chart"/>
            </c:numRef>
          </c:cat>
          <c:val>
            <c:numRef>
              <c:f>Data!$BO$141:$BZ$141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0D-41AC-9E03-7A35D2730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72381048"/>
        <c:axId val="738723640"/>
        <c:extLst/>
      </c:barChart>
      <c:lineChart>
        <c:grouping val="standard"/>
        <c:varyColors val="0"/>
        <c:ser>
          <c:idx val="0"/>
          <c:order val="0"/>
          <c:tx>
            <c:strRef>
              <c:f>Data!$BL$51</c:f>
              <c:strCache>
                <c:ptCount val="1"/>
                <c:pt idx="0">
                  <c:v>PR-PO Average Processing Time</c:v>
                </c:pt>
              </c:strCache>
            </c:strRef>
          </c:tx>
          <c:spPr>
            <a:ln w="28575" cap="rnd">
              <a:solidFill>
                <a:srgbClr val="F09252"/>
              </a:solidFill>
              <a:round/>
            </a:ln>
            <a:effectLst/>
          </c:spPr>
          <c:marker>
            <c:symbol val="none"/>
          </c:marker>
          <c:cat>
            <c:numRef>
              <c:f>Data!$BO$52:$BZ$52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Data!$BO$55:$BZ$55</c:f>
              <c:numCache>
                <c:formatCode>0.0</c:formatCode>
                <c:ptCount val="12"/>
                <c:pt idx="0">
                  <c:v>0.71597633136094674</c:v>
                </c:pt>
                <c:pt idx="1">
                  <c:v>0.7567567567567568</c:v>
                </c:pt>
                <c:pt idx="2">
                  <c:v>1.868421052631579</c:v>
                </c:pt>
                <c:pt idx="3">
                  <c:v>0.8125</c:v>
                </c:pt>
                <c:pt idx="4">
                  <c:v>11.333333333333334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0D-41AC-9E03-7A35D27305DC}"/>
            </c:ext>
          </c:extLst>
        </c:ser>
        <c:ser>
          <c:idx val="2"/>
          <c:order val="1"/>
          <c:tx>
            <c:strRef>
              <c:f>Data!$AU$19</c:f>
              <c:strCache>
                <c:ptCount val="1"/>
                <c:pt idx="0">
                  <c:v>Standard Process Time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Data!$BO$52:$BZ$52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Data!$AV$19:$BG$19</c:f>
              <c:numCache>
                <c:formatCode>0</c:formatCode>
                <c:ptCount val="12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0D-41AC-9E03-7A35D27305DC}"/>
            </c:ext>
          </c:extLst>
        </c:ser>
        <c:ser>
          <c:idx val="3"/>
          <c:order val="3"/>
          <c:tx>
            <c:strRef>
              <c:f>Data!$BK$143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12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Data!$BO$145:$BZ$145</c:f>
              <c:numCache>
                <c:formatCode>0.0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11.333333333333334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0D-41AC-9E03-7A35D2730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9862432"/>
        <c:axId val="819861352"/>
      </c:lineChart>
      <c:dateAx>
        <c:axId val="819862432"/>
        <c:scaling>
          <c:orientation val="minMax"/>
        </c:scaling>
        <c:delete val="0"/>
        <c:axPos val="b"/>
        <c:numFmt formatCode="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861352"/>
        <c:crosses val="autoZero"/>
        <c:auto val="1"/>
        <c:lblOffset val="100"/>
        <c:baseTimeUnit val="months"/>
      </c:dateAx>
      <c:valAx>
        <c:axId val="819861352"/>
        <c:scaling>
          <c:orientation val="minMax"/>
          <c:max val="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862432"/>
        <c:crosses val="autoZero"/>
        <c:crossBetween val="between"/>
        <c:majorUnit val="4"/>
      </c:valAx>
      <c:valAx>
        <c:axId val="73872364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381048"/>
        <c:crosses val="max"/>
        <c:crossBetween val="between"/>
      </c:valAx>
      <c:dateAx>
        <c:axId val="772381048"/>
        <c:scaling>
          <c:orientation val="minMax"/>
        </c:scaling>
        <c:delete val="1"/>
        <c:axPos val="b"/>
        <c:numFmt formatCode="mmm" sourceLinked="1"/>
        <c:majorTickMark val="out"/>
        <c:minorTickMark val="none"/>
        <c:tickLblPos val="nextTo"/>
        <c:crossAx val="738723640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 sz="1400"/>
            </a:pPr>
            <a:r>
              <a:rPr lang="en-US" sz="1400"/>
              <a:t>Total PR &amp; Total PO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strRef>
              <c:f>Data!$BM$95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Data!$BO$95:$BZ$95</c:f>
              <c:numCache>
                <c:formatCode>General</c:formatCode>
                <c:ptCount val="12"/>
                <c:pt idx="0">
                  <c:v>30</c:v>
                </c:pt>
                <c:pt idx="1">
                  <c:v>13</c:v>
                </c:pt>
                <c:pt idx="2">
                  <c:v>14</c:v>
                </c:pt>
                <c:pt idx="3">
                  <c:v>15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B6-4617-9ED3-26C9AAEC2B68}"/>
            </c:ext>
          </c:extLst>
        </c:ser>
        <c:ser>
          <c:idx val="3"/>
          <c:order val="3"/>
          <c:tx>
            <c:strRef>
              <c:f>Data!$BL$90</c:f>
              <c:strCache>
                <c:ptCount val="1"/>
                <c:pt idx="0">
                  <c:v>Gap PR-PO</c:v>
                </c:pt>
              </c:strCache>
            </c:strRef>
          </c:tx>
          <c:spPr>
            <a:solidFill>
              <a:srgbClr val="FFD1D1"/>
            </a:solidFill>
            <a:ln>
              <a:solidFill>
                <a:schemeClr val="bg1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 lIns="228600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Data!$BO$96:$BZ$96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</c:v>
                </c:pt>
                <c:pt idx="5">
                  <c:v>82</c:v>
                </c:pt>
                <c:pt idx="6">
                  <c:v>238</c:v>
                </c:pt>
                <c:pt idx="7">
                  <c:v>270</c:v>
                </c:pt>
                <c:pt idx="8">
                  <c:v>121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B6-4617-9ED3-26C9AAEC2B68}"/>
            </c:ext>
          </c:extLst>
        </c:ser>
        <c:ser>
          <c:idx val="4"/>
          <c:order val="4"/>
          <c:tx>
            <c:v>Gap PO-PR</c:v>
          </c:tx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bg1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 lIns="91440" rIns="320040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Data!$BO$97:$BZ$97</c:f>
              <c:numCache>
                <c:formatCode>General</c:formatCode>
                <c:ptCount val="12"/>
                <c:pt idx="0">
                  <c:v>144</c:v>
                </c:pt>
                <c:pt idx="1">
                  <c:v>26</c:v>
                </c:pt>
                <c:pt idx="2">
                  <c:v>18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FB6-4617-9ED3-26C9AAEC2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3"/>
        <c:overlap val="100"/>
        <c:axId val="1137508792"/>
        <c:axId val="1137512032"/>
      </c:barChart>
      <c:barChart>
        <c:barDir val="col"/>
        <c:grouping val="clustered"/>
        <c:varyColors val="0"/>
        <c:ser>
          <c:idx val="0"/>
          <c:order val="0"/>
          <c:tx>
            <c:strRef>
              <c:f>Data!$BL$3</c:f>
              <c:strCache>
                <c:ptCount val="1"/>
                <c:pt idx="0">
                  <c:v>Total PR</c:v>
                </c:pt>
              </c:strCache>
            </c:strRef>
          </c:tx>
          <c:spPr>
            <a:solidFill>
              <a:srgbClr val="EC7728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Data!$BO$7:$BZ$7</c:f>
              <c:numCache>
                <c:formatCode>General</c:formatCode>
                <c:ptCount val="12"/>
                <c:pt idx="0">
                  <c:v>30</c:v>
                </c:pt>
                <c:pt idx="1">
                  <c:v>13</c:v>
                </c:pt>
                <c:pt idx="2">
                  <c:v>14</c:v>
                </c:pt>
                <c:pt idx="3">
                  <c:v>15</c:v>
                </c:pt>
                <c:pt idx="4">
                  <c:v>12</c:v>
                </c:pt>
                <c:pt idx="5">
                  <c:v>83</c:v>
                </c:pt>
                <c:pt idx="6">
                  <c:v>238</c:v>
                </c:pt>
                <c:pt idx="7">
                  <c:v>270</c:v>
                </c:pt>
                <c:pt idx="8">
                  <c:v>121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B6-4617-9ED3-26C9AAEC2B68}"/>
            </c:ext>
          </c:extLst>
        </c:ser>
        <c:ser>
          <c:idx val="1"/>
          <c:order val="1"/>
          <c:tx>
            <c:strRef>
              <c:f>Data!$BL$15</c:f>
              <c:strCache>
                <c:ptCount val="1"/>
                <c:pt idx="0">
                  <c:v>Total PO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Data!$BO$19:$BZ$19</c:f>
              <c:numCache>
                <c:formatCode>General</c:formatCode>
                <c:ptCount val="12"/>
                <c:pt idx="0">
                  <c:v>174</c:v>
                </c:pt>
                <c:pt idx="1">
                  <c:v>39</c:v>
                </c:pt>
                <c:pt idx="2">
                  <c:v>32</c:v>
                </c:pt>
                <c:pt idx="3">
                  <c:v>16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B6-4617-9ED3-26C9AAEC2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718054960"/>
        <c:axId val="718053520"/>
      </c:barChart>
      <c:dateAx>
        <c:axId val="1137508792"/>
        <c:scaling>
          <c:orientation val="minMax"/>
        </c:scaling>
        <c:delete val="0"/>
        <c:axPos val="b"/>
        <c:numFmt formatCode="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137512032"/>
        <c:crosses val="autoZero"/>
        <c:auto val="1"/>
        <c:lblOffset val="100"/>
        <c:baseTimeUnit val="months"/>
      </c:dateAx>
      <c:valAx>
        <c:axId val="1137512032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137508792"/>
        <c:crosses val="autoZero"/>
        <c:crossBetween val="between"/>
        <c:majorUnit val="100"/>
      </c:valAx>
      <c:valAx>
        <c:axId val="718053520"/>
        <c:scaling>
          <c:orientation val="minMax"/>
          <c:max val="400"/>
        </c:scaling>
        <c:delete val="1"/>
        <c:axPos val="r"/>
        <c:numFmt formatCode="General" sourceLinked="1"/>
        <c:majorTickMark val="out"/>
        <c:minorTickMark val="none"/>
        <c:tickLblPos val="nextTo"/>
        <c:crossAx val="718054960"/>
        <c:crosses val="max"/>
        <c:crossBetween val="between"/>
        <c:majorUnit val="100"/>
      </c:valAx>
      <c:dateAx>
        <c:axId val="718054960"/>
        <c:scaling>
          <c:orientation val="minMax"/>
        </c:scaling>
        <c:delete val="1"/>
        <c:axPos val="t"/>
        <c:numFmt formatCode="mmm" sourceLinked="1"/>
        <c:majorTickMark val="out"/>
        <c:minorTickMark val="none"/>
        <c:tickLblPos val="nextTo"/>
        <c:crossAx val="718053520"/>
        <c:crosses val="max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PR Urgent &amp; PR Urgent Complete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v>base PR Urgent com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Data!$BO$64:$BZ$64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Data!$BO$79:$BZ$79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E9-4993-A843-2B2114B8E8E5}"/>
            </c:ext>
          </c:extLst>
        </c:ser>
        <c:ser>
          <c:idx val="3"/>
          <c:order val="3"/>
          <c:tx>
            <c:strRef>
              <c:f>Data!$BL$148</c:f>
              <c:strCache>
                <c:ptCount val="1"/>
                <c:pt idx="0">
                  <c:v>Gap PR Urgent vs Complete</c:v>
                </c:pt>
              </c:strCache>
            </c:strRef>
          </c:tx>
          <c:spPr>
            <a:solidFill>
              <a:srgbClr val="FFD1D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Data!$BO$64:$BZ$64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Data!$BO$151:$BZ$151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</c:v>
                </c:pt>
                <c:pt idx="7">
                  <c:v>5</c:v>
                </c:pt>
                <c:pt idx="8">
                  <c:v>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E9-4993-A843-2B2114B8E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overlap val="-10"/>
        <c:axId val="1137508792"/>
        <c:axId val="1137512032"/>
      </c:barChart>
      <c:barChart>
        <c:barDir val="col"/>
        <c:grouping val="clustered"/>
        <c:varyColors val="0"/>
        <c:ser>
          <c:idx val="0"/>
          <c:order val="0"/>
          <c:tx>
            <c:strRef>
              <c:f>Data!$BL$63</c:f>
              <c:strCache>
                <c:ptCount val="1"/>
                <c:pt idx="0">
                  <c:v>PR Urgent</c:v>
                </c:pt>
              </c:strCache>
            </c:strRef>
          </c:tx>
          <c:spPr>
            <a:solidFill>
              <a:srgbClr val="EC7728"/>
            </a:solidFill>
            <a:ln>
              <a:noFill/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Data!$BO$67:$BZ$67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E9-4993-A843-2B2114B8E8E5}"/>
            </c:ext>
          </c:extLst>
        </c:ser>
        <c:ser>
          <c:idx val="1"/>
          <c:order val="1"/>
          <c:tx>
            <c:strRef>
              <c:f>Data!$BL$75</c:f>
              <c:strCache>
                <c:ptCount val="1"/>
                <c:pt idx="0">
                  <c:v>PR Urgent Complete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Data!$BO$79:$BZ$79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E9-4993-A843-2B2114B8E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376325304"/>
        <c:axId val="376324944"/>
      </c:barChart>
      <c:dateAx>
        <c:axId val="1137508792"/>
        <c:scaling>
          <c:orientation val="minMax"/>
        </c:scaling>
        <c:delete val="0"/>
        <c:axPos val="b"/>
        <c:numFmt formatCode="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512032"/>
        <c:crosses val="autoZero"/>
        <c:auto val="1"/>
        <c:lblOffset val="100"/>
        <c:baseTimeUnit val="months"/>
      </c:dateAx>
      <c:valAx>
        <c:axId val="11375120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508792"/>
        <c:crosses val="autoZero"/>
        <c:crossBetween val="between"/>
        <c:majorUnit val="2"/>
      </c:valAx>
      <c:valAx>
        <c:axId val="376324944"/>
        <c:scaling>
          <c:orientation val="minMax"/>
          <c:max val="10"/>
        </c:scaling>
        <c:delete val="1"/>
        <c:axPos val="r"/>
        <c:numFmt formatCode="General" sourceLinked="1"/>
        <c:majorTickMark val="out"/>
        <c:minorTickMark val="none"/>
        <c:tickLblPos val="nextTo"/>
        <c:crossAx val="376325304"/>
        <c:crosses val="max"/>
        <c:crossBetween val="between"/>
        <c:majorUnit val="10"/>
      </c:valAx>
      <c:dateAx>
        <c:axId val="376325304"/>
        <c:scaling>
          <c:orientation val="minMax"/>
        </c:scaling>
        <c:delete val="1"/>
        <c:axPos val="t"/>
        <c:numFmt formatCode="mmm" sourceLinked="1"/>
        <c:majorTickMark val="out"/>
        <c:minorTickMark val="none"/>
        <c:tickLblPos val="nextTo"/>
        <c:crossAx val="376324944"/>
        <c:crosses val="max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Data!$AU$6</c:f>
          <c:strCache>
            <c:ptCount val="1"/>
            <c:pt idx="0">
              <c:v>PR pending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Data!$BL$27</c:f>
              <c:strCache>
                <c:ptCount val="1"/>
                <c:pt idx="0">
                  <c:v>PR Pending</c:v>
                </c:pt>
              </c:strCache>
            </c:strRef>
          </c:tx>
          <c:spPr>
            <a:solidFill>
              <a:srgbClr val="F19E65"/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Data!$BO$31:$BZ$31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79</c:v>
                </c:pt>
                <c:pt idx="6">
                  <c:v>238</c:v>
                </c:pt>
                <c:pt idx="7">
                  <c:v>270</c:v>
                </c:pt>
                <c:pt idx="8">
                  <c:v>121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22-4BA1-BD33-7D7689F9C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axId val="820933048"/>
        <c:axId val="820933408"/>
      </c:barChart>
      <c:lineChart>
        <c:grouping val="stacked"/>
        <c:varyColors val="0"/>
        <c:ser>
          <c:idx val="1"/>
          <c:order val="1"/>
          <c:tx>
            <c:strRef>
              <c:f>Data!$BL$106</c:f>
              <c:strCache>
                <c:ptCount val="1"/>
                <c:pt idx="0">
                  <c:v>Difference Between Each Month</c:v>
                </c:pt>
              </c:strCache>
            </c:strRef>
          </c:tx>
          <c:spPr>
            <a:ln w="25400" cap="rnd">
              <a:solidFill>
                <a:srgbClr val="FFD54F"/>
              </a:solidFill>
              <a:round/>
            </a:ln>
            <a:effectLst/>
          </c:spPr>
          <c:marker>
            <c:symbol val="none"/>
          </c:marker>
          <c:dLbls>
            <c:numFmt formatCode="[Red]\▲0;[Blue]\▼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Data!$BO$28:$BZ$28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Data!$BO$111:$BZ$111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</c:v>
                </c:pt>
                <c:pt idx="4">
                  <c:v>-2</c:v>
                </c:pt>
                <c:pt idx="5">
                  <c:v>79</c:v>
                </c:pt>
                <c:pt idx="6">
                  <c:v>159</c:v>
                </c:pt>
                <c:pt idx="7">
                  <c:v>32</c:v>
                </c:pt>
                <c:pt idx="8">
                  <c:v>-149</c:v>
                </c:pt>
                <c:pt idx="9">
                  <c:v>-121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22-4BA1-BD33-7D7689F9C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870408"/>
        <c:axId val="820870048"/>
      </c:lineChart>
      <c:catAx>
        <c:axId val="820933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933408"/>
        <c:crosses val="autoZero"/>
        <c:auto val="1"/>
        <c:lblAlgn val="ctr"/>
        <c:lblOffset val="100"/>
        <c:noMultiLvlLbl val="0"/>
      </c:catAx>
      <c:valAx>
        <c:axId val="820933408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933048"/>
        <c:crosses val="autoZero"/>
        <c:crossBetween val="between"/>
        <c:majorUnit val="100"/>
      </c:valAx>
      <c:valAx>
        <c:axId val="820870048"/>
        <c:scaling>
          <c:orientation val="minMax"/>
          <c:max val="180"/>
          <c:min val="-18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870408"/>
        <c:crosses val="max"/>
        <c:crossBetween val="between"/>
      </c:valAx>
      <c:dateAx>
        <c:axId val="820870408"/>
        <c:scaling>
          <c:orientation val="minMax"/>
        </c:scaling>
        <c:delete val="1"/>
        <c:axPos val="t"/>
        <c:numFmt formatCode="mmm" sourceLinked="1"/>
        <c:majorTickMark val="out"/>
        <c:minorTickMark val="none"/>
        <c:tickLblPos val="nextTo"/>
        <c:crossAx val="820870048"/>
        <c:crosses val="max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Data!$AU$7</c:f>
          <c:strCache>
            <c:ptCount val="1"/>
            <c:pt idx="0">
              <c:v>PO pending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Data!$BL$39</c:f>
              <c:strCache>
                <c:ptCount val="1"/>
                <c:pt idx="0">
                  <c:v>PO Pending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rgbClr val="F0975A"/>
              </a:solidFill>
            </a:ln>
            <a:effectLst/>
          </c:spPr>
          <c:invertIfNegative val="0"/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Data!$BO$43:$BZ$43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C9-48AD-A637-8516AB539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axId val="705265792"/>
        <c:axId val="705266152"/>
      </c:barChart>
      <c:lineChart>
        <c:grouping val="stacked"/>
        <c:varyColors val="0"/>
        <c:ser>
          <c:idx val="1"/>
          <c:order val="1"/>
          <c:tx>
            <c:strRef>
              <c:f>Data!$BL$121</c:f>
              <c:strCache>
                <c:ptCount val="1"/>
                <c:pt idx="0">
                  <c:v>Difference Between Each Month</c:v>
                </c:pt>
              </c:strCache>
            </c:strRef>
          </c:tx>
          <c:spPr>
            <a:ln w="25400" cap="rnd">
              <a:solidFill>
                <a:srgbClr val="FFD54F"/>
              </a:solidFill>
              <a:round/>
            </a:ln>
            <a:effectLst/>
          </c:spPr>
          <c:marker>
            <c:symbol val="none"/>
          </c:marker>
          <c:dLbls>
            <c:numFmt formatCode="[Red]\▲0;[Blue]\▼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Data!$BO$40:$BZ$40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Data!$BO$126:$BZ$126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</c:v>
                </c:pt>
                <c:pt idx="5">
                  <c:v>-1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C9-48AD-A637-8516AB539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328848"/>
        <c:axId val="632326328"/>
      </c:lineChart>
      <c:catAx>
        <c:axId val="705265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66152"/>
        <c:crosses val="autoZero"/>
        <c:auto val="1"/>
        <c:lblAlgn val="ctr"/>
        <c:lblOffset val="100"/>
        <c:noMultiLvlLbl val="0"/>
      </c:catAx>
      <c:valAx>
        <c:axId val="705266152"/>
        <c:scaling>
          <c:orientation val="minMax"/>
          <c:max val="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65792"/>
        <c:crosses val="autoZero"/>
        <c:crossBetween val="between"/>
        <c:majorUnit val="1"/>
      </c:valAx>
      <c:valAx>
        <c:axId val="632326328"/>
        <c:scaling>
          <c:orientation val="minMax"/>
          <c:max val="1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328848"/>
        <c:crosses val="max"/>
        <c:crossBetween val="between"/>
      </c:valAx>
      <c:dateAx>
        <c:axId val="632328848"/>
        <c:scaling>
          <c:orientation val="minMax"/>
        </c:scaling>
        <c:delete val="1"/>
        <c:axPos val="t"/>
        <c:numFmt formatCode="mmm" sourceLinked="1"/>
        <c:majorTickMark val="out"/>
        <c:minorTickMark val="none"/>
        <c:tickLblPos val="nextTo"/>
        <c:crossAx val="632326328"/>
        <c:crosses val="max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Total PR &amp; Total</a:t>
            </a:r>
            <a:r>
              <a:rPr lang="en-US" b="1" baseline="0">
                <a:solidFill>
                  <a:sysClr val="windowText" lastClr="000000"/>
                </a:solidFill>
              </a:rPr>
              <a:t> PO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9620552044761853E-2"/>
          <c:y val="0.27906379633562378"/>
          <c:w val="0.87598703103288555"/>
          <c:h val="0.57146068336638134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Data!$AU$21</c:f>
              <c:strCache>
                <c:ptCount val="1"/>
                <c:pt idx="0">
                  <c:v>Base PR-PO</c:v>
                </c:pt>
              </c:strCache>
            </c:strRef>
          </c:tx>
          <c:invertIfNegative val="0"/>
          <c:val>
            <c:numRef>
              <c:f>Data!$AV$21:$BG$21</c:f>
              <c:numCache>
                <c:formatCode>General</c:formatCode>
                <c:ptCount val="12"/>
                <c:pt idx="0">
                  <c:v>349</c:v>
                </c:pt>
                <c:pt idx="1">
                  <c:v>181</c:v>
                </c:pt>
                <c:pt idx="2">
                  <c:v>252</c:v>
                </c:pt>
                <c:pt idx="3">
                  <c:v>447</c:v>
                </c:pt>
                <c:pt idx="4">
                  <c:v>408</c:v>
                </c:pt>
                <c:pt idx="5">
                  <c:v>427</c:v>
                </c:pt>
                <c:pt idx="6">
                  <c:v>262</c:v>
                </c:pt>
                <c:pt idx="7">
                  <c:v>343</c:v>
                </c:pt>
                <c:pt idx="8">
                  <c:v>107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BB-4A17-B4DE-0162D3412185}"/>
            </c:ext>
          </c:extLst>
        </c:ser>
        <c:ser>
          <c:idx val="3"/>
          <c:order val="3"/>
          <c:tx>
            <c:strRef>
              <c:f>Data!$AU$22</c:f>
              <c:strCache>
                <c:ptCount val="1"/>
                <c:pt idx="0">
                  <c:v>Gap PR-PO</c:v>
                </c:pt>
              </c:strCache>
            </c:strRef>
          </c:tx>
          <c:spPr>
            <a:solidFill>
              <a:srgbClr val="FFB3B3"/>
            </a:solidFill>
            <a:ln>
              <a:solidFill>
                <a:schemeClr val="bg1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27432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Data!$AV$22:$BG$22</c:f>
              <c:numCache>
                <c:formatCode>General</c:formatCode>
                <c:ptCount val="12"/>
                <c:pt idx="0">
                  <c:v>14</c:v>
                </c:pt>
                <c:pt idx="1">
                  <c:v>9</c:v>
                </c:pt>
                <c:pt idx="2">
                  <c:v>#N/A</c:v>
                </c:pt>
                <c:pt idx="3">
                  <c:v>#N/A</c:v>
                </c:pt>
                <c:pt idx="4">
                  <c:v>57</c:v>
                </c:pt>
                <c:pt idx="5">
                  <c:v>135</c:v>
                </c:pt>
                <c:pt idx="6">
                  <c:v>312</c:v>
                </c:pt>
                <c:pt idx="7">
                  <c:v>405</c:v>
                </c:pt>
                <c:pt idx="8">
                  <c:v>218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BB-4A17-B4DE-0162D3412185}"/>
            </c:ext>
          </c:extLst>
        </c:ser>
        <c:ser>
          <c:idx val="5"/>
          <c:order val="4"/>
          <c:tx>
            <c:v>Gap PO-PR</c:v>
          </c:tx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bg1"/>
              </a:solidFill>
              <a:prstDash val="sysDot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val>
            <c:numRef>
              <c:f>Data!$AV$23:$BG$23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21</c:v>
                </c:pt>
                <c:pt idx="3">
                  <c:v>29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BB-4A17-B4DE-0162D3412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3"/>
        <c:overlap val="100"/>
        <c:axId val="609249432"/>
        <c:axId val="609247792"/>
      </c:barChart>
      <c:barChart>
        <c:barDir val="col"/>
        <c:grouping val="clustered"/>
        <c:varyColors val="0"/>
        <c:ser>
          <c:idx val="0"/>
          <c:order val="0"/>
          <c:tx>
            <c:v>Total PR</c:v>
          </c:tx>
          <c:spPr>
            <a:solidFill>
              <a:srgbClr val="669F3F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Data!$AV$4:$BG$4</c:f>
              <c:numCache>
                <c:formatCode>General</c:formatCode>
                <c:ptCount val="12"/>
                <c:pt idx="0">
                  <c:v>363</c:v>
                </c:pt>
                <c:pt idx="1">
                  <c:v>190</c:v>
                </c:pt>
                <c:pt idx="2">
                  <c:v>252</c:v>
                </c:pt>
                <c:pt idx="3">
                  <c:v>447</c:v>
                </c:pt>
                <c:pt idx="4">
                  <c:v>465</c:v>
                </c:pt>
                <c:pt idx="5">
                  <c:v>562</c:v>
                </c:pt>
                <c:pt idx="6">
                  <c:v>574</c:v>
                </c:pt>
                <c:pt idx="7">
                  <c:v>748</c:v>
                </c:pt>
                <c:pt idx="8">
                  <c:v>325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BB-4A17-B4DE-0162D3412185}"/>
            </c:ext>
          </c:extLst>
        </c:ser>
        <c:ser>
          <c:idx val="1"/>
          <c:order val="1"/>
          <c:tx>
            <c:v>Total PO</c:v>
          </c:tx>
          <c:spPr>
            <a:solidFill>
              <a:srgbClr val="A4CF87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Data!#REF!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Data!$AV$5:$BG$5</c:f>
              <c:numCache>
                <c:formatCode>General</c:formatCode>
                <c:ptCount val="12"/>
                <c:pt idx="0">
                  <c:v>349</c:v>
                </c:pt>
                <c:pt idx="1">
                  <c:v>181</c:v>
                </c:pt>
                <c:pt idx="2">
                  <c:v>273</c:v>
                </c:pt>
                <c:pt idx="3">
                  <c:v>476</c:v>
                </c:pt>
                <c:pt idx="4">
                  <c:v>408</c:v>
                </c:pt>
                <c:pt idx="5">
                  <c:v>427</c:v>
                </c:pt>
                <c:pt idx="6">
                  <c:v>262</c:v>
                </c:pt>
                <c:pt idx="7">
                  <c:v>343</c:v>
                </c:pt>
                <c:pt idx="8">
                  <c:v>107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BB-4A17-B4DE-0162D3412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3"/>
        <c:axId val="948959464"/>
        <c:axId val="948955144"/>
      </c:barChart>
      <c:catAx>
        <c:axId val="609249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247792"/>
        <c:crosses val="autoZero"/>
        <c:auto val="1"/>
        <c:lblAlgn val="ctr"/>
        <c:lblOffset val="100"/>
        <c:noMultiLvlLbl val="0"/>
      </c:catAx>
      <c:valAx>
        <c:axId val="60924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249432"/>
        <c:crosses val="autoZero"/>
        <c:crossBetween val="between"/>
        <c:majorUnit val="200"/>
      </c:valAx>
      <c:valAx>
        <c:axId val="94895514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948959464"/>
        <c:crosses val="max"/>
        <c:crossBetween val="between"/>
      </c:valAx>
      <c:catAx>
        <c:axId val="948959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4895514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>
                <a:solidFill>
                  <a:sysClr val="windowText" lastClr="000000"/>
                </a:solidFill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overlay val="0"/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 Urgent &amp; PR Urgent Complete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v>Base PR Urgent Com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Data!$AV$11:$BG$11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</c:v>
                </c:pt>
                <c:pt idx="5">
                  <c:v>25</c:v>
                </c:pt>
                <c:pt idx="6">
                  <c:v>29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AB-46EB-9A63-D3E0FAACF3CB}"/>
            </c:ext>
          </c:extLst>
        </c:ser>
        <c:ser>
          <c:idx val="3"/>
          <c:order val="3"/>
          <c:tx>
            <c:strRef>
              <c:f>Data!$AU$24</c:f>
              <c:strCache>
                <c:ptCount val="1"/>
                <c:pt idx="0">
                  <c:v>Gap PR Urgent</c:v>
                </c:pt>
              </c:strCache>
            </c:strRef>
          </c:tx>
          <c:spPr>
            <a:solidFill>
              <a:srgbClr val="FFB3B3"/>
            </a:solidFill>
            <a:ln w="3175">
              <a:solidFill>
                <a:schemeClr val="bg1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Data!$AV$24:$BG$24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</c:v>
                </c:pt>
                <c:pt idx="5">
                  <c:v>#N/A</c:v>
                </c:pt>
                <c:pt idx="6">
                  <c:v>5</c:v>
                </c:pt>
                <c:pt idx="7">
                  <c:v>34</c:v>
                </c:pt>
                <c:pt idx="8">
                  <c:v>14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AB-46EB-9A63-D3E0FAACF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overlap val="-10"/>
        <c:axId val="820921168"/>
        <c:axId val="820921528"/>
      </c:barChart>
      <c:barChart>
        <c:barDir val="col"/>
        <c:grouping val="clustered"/>
        <c:varyColors val="0"/>
        <c:ser>
          <c:idx val="0"/>
          <c:order val="0"/>
          <c:tx>
            <c:strRef>
              <c:f>Data!$AU$10</c:f>
              <c:strCache>
                <c:ptCount val="1"/>
                <c:pt idx="0">
                  <c:v>PR_Urgent</c:v>
                </c:pt>
              </c:strCache>
            </c:strRef>
          </c:tx>
          <c:spPr>
            <a:solidFill>
              <a:srgbClr val="62983E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Data!$AV$10:$BG$10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18</c:v>
                </c:pt>
                <c:pt idx="5">
                  <c:v>25</c:v>
                </c:pt>
                <c:pt idx="6">
                  <c:v>34</c:v>
                </c:pt>
                <c:pt idx="7">
                  <c:v>43</c:v>
                </c:pt>
                <c:pt idx="8">
                  <c:v>14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AB-46EB-9A63-D3E0FAACF3CB}"/>
            </c:ext>
          </c:extLst>
        </c:ser>
        <c:ser>
          <c:idx val="1"/>
          <c:order val="1"/>
          <c:tx>
            <c:strRef>
              <c:f>Data!$AU$11</c:f>
              <c:strCache>
                <c:ptCount val="1"/>
                <c:pt idx="0">
                  <c:v>PR_Urgent_complete</c:v>
                </c:pt>
              </c:strCache>
            </c:strRef>
          </c:tx>
          <c:spPr>
            <a:solidFill>
              <a:srgbClr val="8FC36B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Data!$AV$11:$BG$11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</c:v>
                </c:pt>
                <c:pt idx="5">
                  <c:v>25</c:v>
                </c:pt>
                <c:pt idx="6">
                  <c:v>29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AB-46EB-9A63-D3E0FAACF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3"/>
        <c:axId val="749150800"/>
        <c:axId val="749147560"/>
      </c:barChart>
      <c:catAx>
        <c:axId val="820921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921528"/>
        <c:crosses val="autoZero"/>
        <c:auto val="1"/>
        <c:lblAlgn val="ctr"/>
        <c:lblOffset val="100"/>
        <c:noMultiLvlLbl val="0"/>
      </c:catAx>
      <c:valAx>
        <c:axId val="820921528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921168"/>
        <c:crosses val="autoZero"/>
        <c:crossBetween val="between"/>
        <c:majorUnit val="15"/>
      </c:valAx>
      <c:valAx>
        <c:axId val="749147560"/>
        <c:scaling>
          <c:orientation val="minMax"/>
          <c:max val="50"/>
        </c:scaling>
        <c:delete val="1"/>
        <c:axPos val="r"/>
        <c:numFmt formatCode="General" sourceLinked="1"/>
        <c:majorTickMark val="out"/>
        <c:minorTickMark val="none"/>
        <c:tickLblPos val="nextTo"/>
        <c:crossAx val="749150800"/>
        <c:crosses val="max"/>
        <c:crossBetween val="between"/>
      </c:valAx>
      <c:catAx>
        <c:axId val="749150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4914756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[3]Data!$AU$6</c:f>
          <c:strCache>
            <c:ptCount val="1"/>
            <c:pt idx="0">
              <c:v>PR pending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Data!$AU$6</c:f>
              <c:strCache>
                <c:ptCount val="1"/>
                <c:pt idx="0">
                  <c:v>PR pending</c:v>
                </c:pt>
              </c:strCache>
            </c:strRef>
          </c:tx>
          <c:spPr>
            <a:solidFill>
              <a:srgbClr val="8BC365"/>
            </a:solidFill>
            <a:ln>
              <a:solidFill>
                <a:schemeClr val="accent6">
                  <a:lumMod val="75000"/>
                  <a:alpha val="98000"/>
                </a:schemeClr>
              </a:solidFill>
            </a:ln>
            <a:effectLst/>
          </c:spPr>
          <c:invertIfNegative val="0"/>
          <c:cat>
            <c:strRef>
              <c:f>[3]Data!$AV$3:$BG$3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Data!$AV$6:$BG$6</c:f>
              <c:numCache>
                <c:formatCode>General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65</c:v>
                </c:pt>
                <c:pt idx="5">
                  <c:v>187</c:v>
                </c:pt>
                <c:pt idx="6">
                  <c:v>325</c:v>
                </c:pt>
                <c:pt idx="7">
                  <c:v>417</c:v>
                </c:pt>
                <c:pt idx="8">
                  <c:v>243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2D-4BE2-9F93-02C53A80E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axId val="820933048"/>
        <c:axId val="820933408"/>
      </c:barChart>
      <c:lineChart>
        <c:grouping val="stacked"/>
        <c:varyColors val="0"/>
        <c:ser>
          <c:idx val="1"/>
          <c:order val="1"/>
          <c:tx>
            <c:strRef>
              <c:f>Data!$AU$25</c:f>
              <c:strCache>
                <c:ptCount val="1"/>
                <c:pt idx="0">
                  <c:v>Difference Between Each Month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F72D-4BE2-9F93-02C53A80E68B}"/>
              </c:ext>
            </c:extLst>
          </c:dPt>
          <c:dLbls>
            <c:numFmt formatCode="[Red]\▲0;[Blue]\▼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Data!$AV$25:$BG$25</c:f>
              <c:numCache>
                <c:formatCode>General</c:formatCode>
                <c:ptCount val="12"/>
                <c:pt idx="0">
                  <c:v>3</c:v>
                </c:pt>
                <c:pt idx="1">
                  <c:v>#N/A</c:v>
                </c:pt>
                <c:pt idx="2">
                  <c:v>1</c:v>
                </c:pt>
                <c:pt idx="3">
                  <c:v>3</c:v>
                </c:pt>
                <c:pt idx="4">
                  <c:v>58</c:v>
                </c:pt>
                <c:pt idx="5">
                  <c:v>122</c:v>
                </c:pt>
                <c:pt idx="6">
                  <c:v>138</c:v>
                </c:pt>
                <c:pt idx="7">
                  <c:v>92</c:v>
                </c:pt>
                <c:pt idx="8">
                  <c:v>-174</c:v>
                </c:pt>
                <c:pt idx="9">
                  <c:v>-243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2D-4BE2-9F93-02C53A80E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492520"/>
        <c:axId val="743497920"/>
      </c:lineChart>
      <c:catAx>
        <c:axId val="820933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933408"/>
        <c:crosses val="autoZero"/>
        <c:auto val="1"/>
        <c:lblAlgn val="ctr"/>
        <c:lblOffset val="100"/>
        <c:noMultiLvlLbl val="0"/>
      </c:catAx>
      <c:valAx>
        <c:axId val="82093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933048"/>
        <c:crosses val="autoZero"/>
        <c:crossBetween val="between"/>
        <c:majorUnit val="150"/>
      </c:valAx>
      <c:valAx>
        <c:axId val="743497920"/>
        <c:scaling>
          <c:orientation val="minMax"/>
          <c:max val="2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492520"/>
        <c:crosses val="max"/>
        <c:crossBetween val="between"/>
      </c:valAx>
      <c:catAx>
        <c:axId val="74349252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43497920"/>
        <c:crosses val="max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[3]Data!$AU$7</c:f>
          <c:strCache>
            <c:ptCount val="1"/>
            <c:pt idx="0">
              <c:v>PO pending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Data!$AU$7</c:f>
              <c:strCache>
                <c:ptCount val="1"/>
                <c:pt idx="0">
                  <c:v>PO pending</c:v>
                </c:pt>
              </c:strCache>
            </c:strRef>
          </c:tx>
          <c:spPr>
            <a:solidFill>
              <a:srgbClr val="A4CF87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strRef>
              <c:f>[3]Data!$AV$3:$BG$3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Data!$AV$7:$BG$7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23</c:v>
                </c:pt>
                <c:pt idx="3">
                  <c:v>23</c:v>
                </c:pt>
                <c:pt idx="4">
                  <c:v>44</c:v>
                </c:pt>
                <c:pt idx="5">
                  <c:v>27</c:v>
                </c:pt>
                <c:pt idx="6">
                  <c:v>55</c:v>
                </c:pt>
                <c:pt idx="7">
                  <c:v>127</c:v>
                </c:pt>
                <c:pt idx="8">
                  <c:v>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60-459B-AD60-AFF0CB3DC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axId val="705265792"/>
        <c:axId val="705266152"/>
      </c:barChart>
      <c:lineChart>
        <c:grouping val="stacked"/>
        <c:varyColors val="0"/>
        <c:ser>
          <c:idx val="1"/>
          <c:order val="1"/>
          <c:tx>
            <c:strRef>
              <c:f>Data!$AU$26</c:f>
              <c:strCache>
                <c:ptCount val="1"/>
                <c:pt idx="0">
                  <c:v>Difference Between Each Month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[Red]\▲0;[Blue]\▼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Data!$AV$26:$BG$26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18</c:v>
                </c:pt>
                <c:pt idx="3">
                  <c:v>#N/A</c:v>
                </c:pt>
                <c:pt idx="4">
                  <c:v>21</c:v>
                </c:pt>
                <c:pt idx="5">
                  <c:v>-17</c:v>
                </c:pt>
                <c:pt idx="6">
                  <c:v>28</c:v>
                </c:pt>
                <c:pt idx="7">
                  <c:v>72</c:v>
                </c:pt>
                <c:pt idx="8">
                  <c:v>-29</c:v>
                </c:pt>
                <c:pt idx="9">
                  <c:v>-98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60-459B-AD60-AFF0CB3DC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328848"/>
        <c:axId val="632326328"/>
      </c:lineChart>
      <c:catAx>
        <c:axId val="705265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66152"/>
        <c:crosses val="autoZero"/>
        <c:auto val="1"/>
        <c:lblAlgn val="ctr"/>
        <c:lblOffset val="100"/>
        <c:noMultiLvlLbl val="0"/>
      </c:catAx>
      <c:valAx>
        <c:axId val="705266152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65792"/>
        <c:crosses val="autoZero"/>
        <c:crossBetween val="between"/>
        <c:majorUnit val="50"/>
      </c:valAx>
      <c:valAx>
        <c:axId val="632326328"/>
        <c:scaling>
          <c:orientation val="minMax"/>
          <c:max val="9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328848"/>
        <c:crosses val="max"/>
        <c:crossBetween val="between"/>
      </c:valAx>
      <c:catAx>
        <c:axId val="63232884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32326328"/>
        <c:crosses val="max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[3]Data!$AU$9</c:f>
          <c:strCache>
            <c:ptCount val="1"/>
            <c:pt idx="0">
              <c:v>PR-PO Average Processing Time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2"/>
          <c:order val="2"/>
          <c:tx>
            <c:strRef>
              <c:f>Data!$AU$20</c:f>
              <c:strCache>
                <c:ptCount val="1"/>
                <c:pt idx="0">
                  <c:v>Abnormal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accent2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FC1B-4A6C-84CE-662DD4D20263}"/>
              </c:ext>
            </c:extLst>
          </c:dPt>
          <c:cat>
            <c:strRef>
              <c:f>[3]Data!$AV$3:$BG$3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Data!$AV$20:$BG$20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1B-4A6C-84CE-662DD4D20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2343608"/>
        <c:axId val="632342888"/>
      </c:barChart>
      <c:lineChart>
        <c:grouping val="standard"/>
        <c:varyColors val="0"/>
        <c:ser>
          <c:idx val="0"/>
          <c:order val="0"/>
          <c:tx>
            <c:strRef>
              <c:f>Data!$AU$9</c:f>
              <c:strCache>
                <c:ptCount val="1"/>
                <c:pt idx="0">
                  <c:v>PR-PO Average Processing Time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Data!$AV$9:$BG$9</c:f>
              <c:numCache>
                <c:formatCode>0.0</c:formatCode>
                <c:ptCount val="12"/>
                <c:pt idx="0">
                  <c:v>1.1211014546351086</c:v>
                </c:pt>
                <c:pt idx="1">
                  <c:v>2.7408146783146781</c:v>
                </c:pt>
                <c:pt idx="2">
                  <c:v>14.590358531797474</c:v>
                </c:pt>
                <c:pt idx="3">
                  <c:v>6.0167717321692811</c:v>
                </c:pt>
                <c:pt idx="4">
                  <c:v>9.0357242822155097</c:v>
                </c:pt>
                <c:pt idx="5">
                  <c:v>3.2684921724800882</c:v>
                </c:pt>
                <c:pt idx="6">
                  <c:v>6.2835058843054279</c:v>
                </c:pt>
                <c:pt idx="7">
                  <c:v>4.0165227884526127</c:v>
                </c:pt>
                <c:pt idx="8">
                  <c:v>4.4805194805194803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1B-4A6C-84CE-662DD4D20263}"/>
            </c:ext>
          </c:extLst>
        </c:ser>
        <c:ser>
          <c:idx val="1"/>
          <c:order val="1"/>
          <c:tx>
            <c:strRef>
              <c:f>Data!$AU$19</c:f>
              <c:strCache>
                <c:ptCount val="1"/>
                <c:pt idx="0">
                  <c:v>Standard Process Time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Data!$AV$19:$BG$19</c:f>
              <c:numCache>
                <c:formatCode>0</c:formatCode>
                <c:ptCount val="12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1B-4A6C-84CE-662DD4D20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7547672"/>
        <c:axId val="1137553792"/>
      </c:lineChart>
      <c:catAx>
        <c:axId val="1137547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553792"/>
        <c:crosses val="autoZero"/>
        <c:auto val="1"/>
        <c:lblAlgn val="ctr"/>
        <c:lblOffset val="100"/>
        <c:noMultiLvlLbl val="0"/>
      </c:catAx>
      <c:valAx>
        <c:axId val="1137553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547672"/>
        <c:crosses val="autoZero"/>
        <c:crossBetween val="between"/>
        <c:majorUnit val="4"/>
      </c:valAx>
      <c:valAx>
        <c:axId val="63234288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343608"/>
        <c:crosses val="max"/>
        <c:crossBetween val="between"/>
      </c:valAx>
      <c:catAx>
        <c:axId val="632343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234288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Data!$BL$27</c:f>
          <c:strCache>
            <c:ptCount val="1"/>
            <c:pt idx="0">
              <c:v>PR Pending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Data!$BL$29</c:f>
              <c:strCache>
                <c:ptCount val="1"/>
                <c:pt idx="0">
                  <c:v>DO TRUC LAM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4BE7BA7-AD10-4EE4-9D82-31D43479FC20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58A-4001-AF07-5723E0A6151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382F417-76E0-4443-9FEB-9770C7255903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58A-4001-AF07-5723E0A6151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3D39BEE-583A-49B8-AE82-C2439A4AA418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58A-4001-AF07-5723E0A6151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D160493-D741-4C76-8818-3A2072AFAD0F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58A-4001-AF07-5723E0A6151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43820BD-8196-4FB1-94DD-012955CD9F4C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58A-4001-AF07-5723E0A6151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8DBEE92-D8D1-4201-8436-9A17708A6C4E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58A-4001-AF07-5723E0A6151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758FE3D-9693-4AB2-8274-02F507728F38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58A-4001-AF07-5723E0A6151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170089C-1DA1-4510-B459-BB667F3211A6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58A-4001-AF07-5723E0A6151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2B91333-8EF0-4419-B986-CA534D54A72B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58A-4001-AF07-5723E0A6151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D4F6D43-AADE-4F2F-9153-12EDBE796703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58A-4001-AF07-5723E0A6151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DA0B086-C74F-49DF-9148-A092CFDD09FE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B4A-4836-8988-835E0C4E356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B95867D-6583-4882-BEAF-0ACA114FAD51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B4A-4836-8988-835E0C4E35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Data!$BN$28:$BZ$28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xVal>
          <c:yVal>
            <c:numRef>
              <c:f>Data!$BN$103:$BZ$103</c:f>
              <c:numCache>
                <c:formatCode>General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</c:numCache>
            </c:numRef>
          </c:yVal>
          <c:bubbleSize>
            <c:numRef>
              <c:f>Data!$BN$29:$BZ$29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9</c:v>
                </c:pt>
                <c:pt idx="5">
                  <c:v>7</c:v>
                </c:pt>
                <c:pt idx="6">
                  <c:v>26</c:v>
                </c:pt>
                <c:pt idx="7">
                  <c:v>12</c:v>
                </c:pt>
                <c:pt idx="8">
                  <c:v>44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Data!$BN$29:$BZ$29</c15:f>
                <c15:dlblRangeCache>
                  <c:ptCount val="12"/>
                  <c:pt idx="0">
                    <c:v>1</c:v>
                  </c:pt>
                  <c:pt idx="1">
                    <c:v>1</c:v>
                  </c:pt>
                  <c:pt idx="2">
                    <c:v>0</c:v>
                  </c:pt>
                  <c:pt idx="3">
                    <c:v>1</c:v>
                  </c:pt>
                  <c:pt idx="4">
                    <c:v>9</c:v>
                  </c:pt>
                  <c:pt idx="5">
                    <c:v>7</c:v>
                  </c:pt>
                  <c:pt idx="6">
                    <c:v>26</c:v>
                  </c:pt>
                  <c:pt idx="7">
                    <c:v>12</c:v>
                  </c:pt>
                  <c:pt idx="8">
                    <c:v>44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858A-4001-AF07-5723E0A61510}"/>
            </c:ext>
          </c:extLst>
        </c:ser>
        <c:ser>
          <c:idx val="1"/>
          <c:order val="1"/>
          <c:tx>
            <c:strRef>
              <c:f>Data!$BL$30</c:f>
              <c:strCache>
                <c:ptCount val="1"/>
                <c:pt idx="0">
                  <c:v>DO MAI HA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772BA10-F526-4344-BDCA-82A3D978AA7E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58A-4001-AF07-5723E0A6151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BFC230C-24D0-4244-B5AB-4D337F3A77CB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58A-4001-AF07-5723E0A6151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CE90BE-DEDD-42D4-AE9E-E58111A11AEC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58A-4001-AF07-5723E0A6151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B4361F3-16EF-4153-9C04-EC3A486D4EF3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58A-4001-AF07-5723E0A6151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F7DCFEA-FAED-44E4-8DD7-4C287AD0079D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58A-4001-AF07-5723E0A6151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3ECA23F-BD8A-46A0-BA1E-64AFDDEDF629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58A-4001-AF07-5723E0A6151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1BE2F9-DD5B-466B-95DD-FC4658E3BB90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58A-4001-AF07-5723E0A6151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8448595-545E-4A62-8FF4-E7CF0BF0520E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58A-4001-AF07-5723E0A6151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47D8D3A-90B9-4201-9D38-B6DC4F4FE314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58A-4001-AF07-5723E0A6151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85AA31F-A823-4A21-8AE6-75F75CD5434B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58A-4001-AF07-5723E0A6151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4493F18-D99B-4FBB-9B5F-6174FB82F3B1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B4A-4836-8988-835E0C4E356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90A3ED2-8979-464C-ABCA-B5A17B1A3176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B4A-4836-8988-835E0C4E35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Data!$BN$28:$BZ$28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xVal>
          <c:yVal>
            <c:numRef>
              <c:f>Data!$BN$102:$BZ$102</c:f>
              <c:numCache>
                <c:formatCode>General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</c:numCache>
            </c:numRef>
          </c:yVal>
          <c:bubbleSize>
            <c:numRef>
              <c:f>Data!$BN$30:$BZ$30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66</c:v>
                </c:pt>
                <c:pt idx="8">
                  <c:v>37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Data!$BN$30:$BZ$30</c15:f>
                <c15:dlblRangeCache>
                  <c:ptCount val="1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66</c:v>
                  </c:pt>
                  <c:pt idx="8">
                    <c:v>37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B-858A-4001-AF07-5723E0A61510}"/>
            </c:ext>
          </c:extLst>
        </c:ser>
        <c:ser>
          <c:idx val="2"/>
          <c:order val="2"/>
          <c:tx>
            <c:strRef>
              <c:f>Data!$BL$31</c:f>
              <c:strCache>
                <c:ptCount val="1"/>
                <c:pt idx="0">
                  <c:v>BUI NHU BAO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757AAD7-1FAD-49F9-95B9-49549D73D09B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58A-4001-AF07-5723E0A6151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6F7D8B-B22C-4719-AED9-1EA0486A81F3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58A-4001-AF07-5723E0A6151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DBF06AE-BA69-4E46-A9C5-04F0E598B83D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58A-4001-AF07-5723E0A6151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9394866-26FA-422E-8F4F-DE6A2FEF6AF7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58A-4001-AF07-5723E0A6151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C58273B-B0D2-46BD-9BEE-0591DDBFF778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58A-4001-AF07-5723E0A6151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3EE8E8C-DB42-427A-92E6-59EBBC4688CC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58A-4001-AF07-5723E0A6151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DA0ED9E-4676-458D-875C-5BF8B3E6F396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58A-4001-AF07-5723E0A6151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3FCE38B-1C69-471A-90EA-AC703250062F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58A-4001-AF07-5723E0A6151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B5D3FF0-52DF-4ABB-AC9B-60D528D45131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58A-4001-AF07-5723E0A6151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B408310-6449-46FF-9FC3-AD02C0C5BF05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58A-4001-AF07-5723E0A6151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3F87DAE-7245-4AE5-8F11-B150AF518873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B4A-4836-8988-835E0C4E356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8585F53-8757-4490-99DB-1D04D0AC2D78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B4A-4836-8988-835E0C4E35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Data!$BN$28:$BZ$28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xVal>
          <c:yVal>
            <c:numRef>
              <c:f>Data!$BN$101:$BZ$101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yVal>
          <c:bubbleSize>
            <c:numRef>
              <c:f>Data!$BN$31:$BZ$31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79</c:v>
                </c:pt>
                <c:pt idx="6">
                  <c:v>238</c:v>
                </c:pt>
                <c:pt idx="7">
                  <c:v>270</c:v>
                </c:pt>
                <c:pt idx="8">
                  <c:v>121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Data!$BN$31:$BZ$31</c15:f>
                <c15:dlblRangeCache>
                  <c:ptCount val="1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2</c:v>
                  </c:pt>
                  <c:pt idx="4">
                    <c:v>0</c:v>
                  </c:pt>
                  <c:pt idx="5">
                    <c:v>79</c:v>
                  </c:pt>
                  <c:pt idx="6">
                    <c:v>238</c:v>
                  </c:pt>
                  <c:pt idx="7">
                    <c:v>270</c:v>
                  </c:pt>
                  <c:pt idx="8">
                    <c:v>121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9-858A-4001-AF07-5723E0A61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0"/>
        <c:showNegBubbles val="0"/>
        <c:axId val="779894944"/>
        <c:axId val="779897464"/>
      </c:bubbleChart>
      <c:valAx>
        <c:axId val="779894944"/>
        <c:scaling>
          <c:orientation val="minMax"/>
          <c:max val="44561"/>
          <c:min val="44166"/>
        </c:scaling>
        <c:delete val="0"/>
        <c:axPos val="b"/>
        <c:numFmt formatCode="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97464"/>
        <c:crosses val="autoZero"/>
        <c:crossBetween val="midCat"/>
        <c:majorUnit val="31"/>
      </c:valAx>
      <c:valAx>
        <c:axId val="779897464"/>
        <c:scaling>
          <c:orientation val="minMax"/>
          <c:max val="3.5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77989494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Data!$BL$3</c:f>
          <c:strCache>
            <c:ptCount val="1"/>
            <c:pt idx="0">
              <c:v>Total PR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Data!$BL$5</c:f>
              <c:strCache>
                <c:ptCount val="1"/>
                <c:pt idx="0">
                  <c:v>DO TRUC LAM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 w="12700">
              <a:solidFill>
                <a:schemeClr val="accent6">
                  <a:lumMod val="75000"/>
                </a:schemeClr>
              </a:solidFill>
            </a:ln>
            <a:effectLst/>
          </c:spPr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Data!$BO$5:$BZ$5</c:f>
              <c:numCache>
                <c:formatCode>General</c:formatCode>
                <c:ptCount val="12"/>
                <c:pt idx="0">
                  <c:v>44</c:v>
                </c:pt>
                <c:pt idx="1">
                  <c:v>37</c:v>
                </c:pt>
                <c:pt idx="2">
                  <c:v>68</c:v>
                </c:pt>
                <c:pt idx="3">
                  <c:v>193</c:v>
                </c:pt>
                <c:pt idx="4">
                  <c:v>172</c:v>
                </c:pt>
                <c:pt idx="5">
                  <c:v>273</c:v>
                </c:pt>
                <c:pt idx="6">
                  <c:v>189</c:v>
                </c:pt>
                <c:pt idx="7">
                  <c:v>228</c:v>
                </c:pt>
                <c:pt idx="8">
                  <c:v>124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B-4FF4-B6F7-413A8A93DDD6}"/>
            </c:ext>
          </c:extLst>
        </c:ser>
        <c:ser>
          <c:idx val="2"/>
          <c:order val="1"/>
          <c:tx>
            <c:strRef>
              <c:f>Data!$BL$7</c:f>
              <c:strCache>
                <c:ptCount val="1"/>
                <c:pt idx="0">
                  <c:v>BUI NHU BAO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 w="12700">
              <a:solidFill>
                <a:schemeClr val="accent2">
                  <a:lumMod val="75000"/>
                </a:schemeClr>
              </a:solidFill>
            </a:ln>
            <a:effectLst/>
          </c:spPr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Data!$BO$7:$BZ$7</c:f>
              <c:numCache>
                <c:formatCode>General</c:formatCode>
                <c:ptCount val="12"/>
                <c:pt idx="0">
                  <c:v>30</c:v>
                </c:pt>
                <c:pt idx="1">
                  <c:v>13</c:v>
                </c:pt>
                <c:pt idx="2">
                  <c:v>14</c:v>
                </c:pt>
                <c:pt idx="3">
                  <c:v>15</c:v>
                </c:pt>
                <c:pt idx="4">
                  <c:v>12</c:v>
                </c:pt>
                <c:pt idx="5">
                  <c:v>83</c:v>
                </c:pt>
                <c:pt idx="6">
                  <c:v>238</c:v>
                </c:pt>
                <c:pt idx="7">
                  <c:v>270</c:v>
                </c:pt>
                <c:pt idx="8">
                  <c:v>121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1B-4FF4-B6F7-413A8A93DDD6}"/>
            </c:ext>
          </c:extLst>
        </c:ser>
        <c:ser>
          <c:idx val="1"/>
          <c:order val="2"/>
          <c:tx>
            <c:strRef>
              <c:f>Data!$BL$6</c:f>
              <c:strCache>
                <c:ptCount val="1"/>
                <c:pt idx="0">
                  <c:v>DO MAI HA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 w="12700">
              <a:solidFill>
                <a:schemeClr val="accent1"/>
              </a:solidFill>
            </a:ln>
            <a:effectLst/>
          </c:spPr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Data!$BO$6:$BZ$6</c:f>
              <c:numCache>
                <c:formatCode>General</c:formatCode>
                <c:ptCount val="12"/>
                <c:pt idx="0">
                  <c:v>67</c:v>
                </c:pt>
                <c:pt idx="1">
                  <c:v>59</c:v>
                </c:pt>
                <c:pt idx="2">
                  <c:v>34</c:v>
                </c:pt>
                <c:pt idx="3">
                  <c:v>32</c:v>
                </c:pt>
                <c:pt idx="4">
                  <c:v>76</c:v>
                </c:pt>
                <c:pt idx="5">
                  <c:v>66</c:v>
                </c:pt>
                <c:pt idx="6">
                  <c:v>50</c:v>
                </c:pt>
                <c:pt idx="7">
                  <c:v>132</c:v>
                </c:pt>
                <c:pt idx="8">
                  <c:v>39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1B-4FF4-B6F7-413A8A93D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317472"/>
        <c:axId val="638313512"/>
      </c:areaChart>
      <c:dateAx>
        <c:axId val="638317472"/>
        <c:scaling>
          <c:orientation val="minMax"/>
        </c:scaling>
        <c:delete val="0"/>
        <c:axPos val="b"/>
        <c:numFmt formatCode="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313512"/>
        <c:crosses val="autoZero"/>
        <c:auto val="1"/>
        <c:lblOffset val="100"/>
        <c:baseTimeUnit val="months"/>
      </c:dateAx>
      <c:valAx>
        <c:axId val="638313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317472"/>
        <c:crosses val="autoZero"/>
        <c:crossBetween val="midCat"/>
        <c:majorUnit val="10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Data!$BL$51</c:f>
          <c:strCache>
            <c:ptCount val="1"/>
            <c:pt idx="0">
              <c:v>PR-PO Average Processing Time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4"/>
          <c:order val="4"/>
          <c:tx>
            <c:strRef>
              <c:f>Data!$BL$138</c:f>
              <c:strCache>
                <c:ptCount val="1"/>
                <c:pt idx="0">
                  <c:v>Abnormal</c:v>
                </c:pt>
              </c:strCache>
            </c:strRef>
          </c:tx>
          <c:spPr>
            <a:solidFill>
              <a:srgbClr val="FFD9D9"/>
            </a:solidFill>
            <a:ln>
              <a:noFill/>
            </a:ln>
            <a:effectLst/>
          </c:spPr>
          <c:invertIfNegative val="0"/>
          <c:val>
            <c:numRef>
              <c:f>Data!$BO$138:$BZ$138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A1-4274-88FD-F1381733A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81778712"/>
        <c:axId val="1181771872"/>
      </c:barChart>
      <c:lineChart>
        <c:grouping val="standard"/>
        <c:varyColors val="0"/>
        <c:ser>
          <c:idx val="0"/>
          <c:order val="0"/>
          <c:tx>
            <c:strRef>
              <c:f>Data!$BL$53</c:f>
              <c:strCache>
                <c:ptCount val="1"/>
                <c:pt idx="0">
                  <c:v>DO TRUC LAM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Data!$BO$52:$BZ$52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Data!$BO$53:$BZ$53</c:f>
              <c:numCache>
                <c:formatCode>0.0</c:formatCode>
                <c:ptCount val="12"/>
                <c:pt idx="0">
                  <c:v>1.75</c:v>
                </c:pt>
                <c:pt idx="1">
                  <c:v>0.55555555555555558</c:v>
                </c:pt>
                <c:pt idx="2">
                  <c:v>12.333333333333334</c:v>
                </c:pt>
                <c:pt idx="3">
                  <c:v>13</c:v>
                </c:pt>
                <c:pt idx="4">
                  <c:v>16.214285714285715</c:v>
                </c:pt>
                <c:pt idx="5">
                  <c:v>14.5</c:v>
                </c:pt>
                <c:pt idx="6">
                  <c:v>16.705882352941178</c:v>
                </c:pt>
                <c:pt idx="7">
                  <c:v>9.8333333333333339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A1-4274-88FD-F1381733A6CF}"/>
            </c:ext>
          </c:extLst>
        </c:ser>
        <c:ser>
          <c:idx val="1"/>
          <c:order val="1"/>
          <c:tx>
            <c:strRef>
              <c:f>Data!$BL$54</c:f>
              <c:strCache>
                <c:ptCount val="1"/>
                <c:pt idx="0">
                  <c:v>DO MAI HA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Data!$BO$52:$BZ$52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Data!$BO$54:$BZ$54</c:f>
              <c:numCache>
                <c:formatCode>0.0</c:formatCode>
                <c:ptCount val="12"/>
                <c:pt idx="0">
                  <c:v>0.53125</c:v>
                </c:pt>
                <c:pt idx="1">
                  <c:v>1.375</c:v>
                </c:pt>
                <c:pt idx="2">
                  <c:v>0.78666666666666663</c:v>
                </c:pt>
                <c:pt idx="3">
                  <c:v>1.072289156626506</c:v>
                </c:pt>
                <c:pt idx="4">
                  <c:v>0.69635627530364375</c:v>
                </c:pt>
                <c:pt idx="5">
                  <c:v>0.98791540785498488</c:v>
                </c:pt>
                <c:pt idx="6">
                  <c:v>0.70873786407766992</c:v>
                </c:pt>
                <c:pt idx="7">
                  <c:v>0.84586466165413532</c:v>
                </c:pt>
                <c:pt idx="8">
                  <c:v>0.96103896103896103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A1-4274-88FD-F1381733A6CF}"/>
            </c:ext>
          </c:extLst>
        </c:ser>
        <c:ser>
          <c:idx val="2"/>
          <c:order val="2"/>
          <c:tx>
            <c:strRef>
              <c:f>Data!$BL$55</c:f>
              <c:strCache>
                <c:ptCount val="1"/>
                <c:pt idx="0">
                  <c:v>BUI NHU BAO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Data!$BO$52:$BZ$52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Data!$BO$55:$BZ$55</c:f>
              <c:numCache>
                <c:formatCode>0.0</c:formatCode>
                <c:ptCount val="12"/>
                <c:pt idx="0">
                  <c:v>0.71597633136094674</c:v>
                </c:pt>
                <c:pt idx="1">
                  <c:v>0.7567567567567568</c:v>
                </c:pt>
                <c:pt idx="2">
                  <c:v>1.868421052631579</c:v>
                </c:pt>
                <c:pt idx="3">
                  <c:v>0.8125</c:v>
                </c:pt>
                <c:pt idx="4">
                  <c:v>11.333333333333334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A1-4274-88FD-F1381733A6CF}"/>
            </c:ext>
          </c:extLst>
        </c:ser>
        <c:ser>
          <c:idx val="3"/>
          <c:order val="3"/>
          <c:tx>
            <c:strRef>
              <c:f>Data!$BL$135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11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Data!$BO$135:$BZ$135</c:f>
              <c:numCache>
                <c:formatCode>0.0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16.705882352941178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A1-4274-88FD-F1381733A6CF}"/>
            </c:ext>
          </c:extLst>
        </c:ser>
        <c:ser>
          <c:idx val="5"/>
          <c:order val="5"/>
          <c:tx>
            <c:strRef>
              <c:f>Data!$AU$19</c:f>
              <c:strCache>
                <c:ptCount val="1"/>
                <c:pt idx="0">
                  <c:v>Standard Process Time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Data!$AV$19:$BG$19</c:f>
              <c:numCache>
                <c:formatCode>0</c:formatCode>
                <c:ptCount val="12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FA1-4274-88FD-F1381733A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948376"/>
        <c:axId val="868950896"/>
      </c:lineChart>
      <c:dateAx>
        <c:axId val="868948376"/>
        <c:scaling>
          <c:orientation val="minMax"/>
        </c:scaling>
        <c:delete val="0"/>
        <c:axPos val="b"/>
        <c:numFmt formatCode="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950896"/>
        <c:crosses val="autoZero"/>
        <c:auto val="1"/>
        <c:lblOffset val="100"/>
        <c:baseTimeUnit val="months"/>
      </c:dateAx>
      <c:valAx>
        <c:axId val="868950896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948376"/>
        <c:crosses val="autoZero"/>
        <c:crossBetween val="between"/>
        <c:majorUnit val="5"/>
      </c:valAx>
      <c:valAx>
        <c:axId val="118177187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778712"/>
        <c:crosses val="max"/>
        <c:crossBetween val="between"/>
      </c:valAx>
      <c:catAx>
        <c:axId val="1181778712"/>
        <c:scaling>
          <c:orientation val="minMax"/>
        </c:scaling>
        <c:delete val="1"/>
        <c:axPos val="b"/>
        <c:majorTickMark val="out"/>
        <c:minorTickMark val="none"/>
        <c:tickLblPos val="nextTo"/>
        <c:crossAx val="118177187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Data!$BL$15</c:f>
          <c:strCache>
            <c:ptCount val="1"/>
            <c:pt idx="0">
              <c:v>Total PO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1"/>
          <c:order val="0"/>
          <c:tx>
            <c:strRef>
              <c:f>Data!$BL$18</c:f>
              <c:strCache>
                <c:ptCount val="1"/>
                <c:pt idx="0">
                  <c:v>DO MAI HA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 w="12700">
              <a:solidFill>
                <a:schemeClr val="accent1"/>
              </a:solidFill>
            </a:ln>
            <a:effectLst/>
          </c:spPr>
          <c:cat>
            <c:numRef>
              <c:f>Data!$BO$16:$BZ$16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Data!$BO$18:$BZ$18</c:f>
              <c:numCache>
                <c:formatCode>General</c:formatCode>
                <c:ptCount val="12"/>
                <c:pt idx="0">
                  <c:v>128</c:v>
                </c:pt>
                <c:pt idx="1">
                  <c:v>89</c:v>
                </c:pt>
                <c:pt idx="2">
                  <c:v>149</c:v>
                </c:pt>
                <c:pt idx="3">
                  <c:v>251</c:v>
                </c:pt>
                <c:pt idx="4">
                  <c:v>247</c:v>
                </c:pt>
                <c:pt idx="5">
                  <c:v>330</c:v>
                </c:pt>
                <c:pt idx="6">
                  <c:v>206</c:v>
                </c:pt>
                <c:pt idx="7">
                  <c:v>265</c:v>
                </c:pt>
                <c:pt idx="8">
                  <c:v>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94-43AC-BF9D-5A42151311A1}"/>
            </c:ext>
          </c:extLst>
        </c:ser>
        <c:ser>
          <c:idx val="2"/>
          <c:order val="1"/>
          <c:tx>
            <c:strRef>
              <c:f>Data!$BL$19</c:f>
              <c:strCache>
                <c:ptCount val="1"/>
                <c:pt idx="0">
                  <c:v>BUI NHU BAO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 w="12700">
              <a:solidFill>
                <a:schemeClr val="accent2">
                  <a:lumMod val="75000"/>
                </a:schemeClr>
              </a:solidFill>
            </a:ln>
            <a:effectLst/>
          </c:spPr>
          <c:cat>
            <c:numRef>
              <c:f>Data!$BO$16:$BZ$16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Data!$BO$19:$BZ$19</c:f>
              <c:numCache>
                <c:formatCode>General</c:formatCode>
                <c:ptCount val="12"/>
                <c:pt idx="0">
                  <c:v>174</c:v>
                </c:pt>
                <c:pt idx="1">
                  <c:v>39</c:v>
                </c:pt>
                <c:pt idx="2">
                  <c:v>32</c:v>
                </c:pt>
                <c:pt idx="3">
                  <c:v>16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94-43AC-BF9D-5A42151311A1}"/>
            </c:ext>
          </c:extLst>
        </c:ser>
        <c:ser>
          <c:idx val="0"/>
          <c:order val="2"/>
          <c:tx>
            <c:strRef>
              <c:f>Data!$BL$17</c:f>
              <c:strCache>
                <c:ptCount val="1"/>
                <c:pt idx="0">
                  <c:v>DO TRUC LAM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 w="12700">
              <a:solidFill>
                <a:schemeClr val="accent6">
                  <a:lumMod val="75000"/>
                </a:schemeClr>
              </a:solidFill>
            </a:ln>
            <a:effectLst/>
          </c:spPr>
          <c:cat>
            <c:numRef>
              <c:f>Data!$BO$16:$BZ$16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Data!$BO$17:$BZ$17</c:f>
              <c:numCache>
                <c:formatCode>General</c:formatCode>
                <c:ptCount val="12"/>
                <c:pt idx="0">
                  <c:v>8</c:v>
                </c:pt>
                <c:pt idx="1">
                  <c:v>9</c:v>
                </c:pt>
                <c:pt idx="2">
                  <c:v>3</c:v>
                </c:pt>
                <c:pt idx="3">
                  <c:v>6</c:v>
                </c:pt>
                <c:pt idx="4">
                  <c:v>14</c:v>
                </c:pt>
                <c:pt idx="5">
                  <c:v>40</c:v>
                </c:pt>
                <c:pt idx="6">
                  <c:v>17</c:v>
                </c:pt>
                <c:pt idx="7">
                  <c:v>24</c:v>
                </c:pt>
                <c:pt idx="8">
                  <c:v>30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94-43AC-BF9D-5A4215131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317472"/>
        <c:axId val="638313512"/>
      </c:areaChart>
      <c:dateAx>
        <c:axId val="638317472"/>
        <c:scaling>
          <c:orientation val="minMax"/>
        </c:scaling>
        <c:delete val="0"/>
        <c:axPos val="b"/>
        <c:numFmt formatCode="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313512"/>
        <c:crosses val="autoZero"/>
        <c:auto val="1"/>
        <c:lblOffset val="100"/>
        <c:baseTimeUnit val="months"/>
      </c:dateAx>
      <c:valAx>
        <c:axId val="638313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317472"/>
        <c:crosses val="autoZero"/>
        <c:crossBetween val="midCat"/>
        <c:majorUnit val="100"/>
      </c:valAx>
      <c:dTable>
        <c:showHorzBorder val="1"/>
        <c:showVertBorder val="1"/>
        <c:showOutline val="1"/>
        <c:showKeys val="1"/>
        <c:spPr>
          <a:noFill/>
          <a:ln w="25400" cap="flat" cmpd="sng" algn="ctr">
            <a:noFill/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Data!$BL$39</c:f>
          <c:strCache>
            <c:ptCount val="1"/>
            <c:pt idx="0">
              <c:v>PO Pending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409825075180739E-2"/>
          <c:y val="0.27901380558477124"/>
          <c:w val="0.90845175517513543"/>
          <c:h val="0.59969489373395113"/>
        </c:manualLayout>
      </c:layout>
      <c:bubbleChart>
        <c:varyColors val="0"/>
        <c:ser>
          <c:idx val="0"/>
          <c:order val="0"/>
          <c:tx>
            <c:strRef>
              <c:f>Data!$BL$41</c:f>
              <c:strCache>
                <c:ptCount val="1"/>
                <c:pt idx="0">
                  <c:v>DO TRUC LAM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98443F1-4486-48F9-BB4B-BAF4E2555D70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D27-45BE-A8A3-753C10DFFA2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75BC58-FAA2-4696-B208-53947475A994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D27-45BE-A8A3-753C10DFFA2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921BEFE-22EF-41E3-8DDF-CD04F1DDC071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D27-45BE-A8A3-753C10DFFA2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A97F6C2-FA84-44A7-AFBB-AFE545AD2794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D27-45BE-A8A3-753C10DFFA2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160A878-B3F8-4E35-8A1C-0BE42928DCF5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D27-45BE-A8A3-753C10DFFA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7C1BD77-4261-4794-8623-22ACECE4BA6B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D27-45BE-A8A3-753C10DFFA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15D534F-0CC8-4263-A374-1292D29FDE24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D27-45BE-A8A3-753C10DFFA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9A9210F-C2D9-4AF5-8EAA-546EFDA2383C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D27-45BE-A8A3-753C10DFFA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665DA76-AF95-4E53-8D90-8ED4F78B63A1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D27-45BE-A8A3-753C10DFFA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745D99D-3F17-41C4-8D05-6B3E5084F807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D27-45BE-A8A3-753C10DFFA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0586B96-3FE8-4EEC-8C02-D120B7CE0FE9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6B2-4D26-AF89-076C3C25974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E9967C8-CBC5-4115-96D1-3044CEE08FDC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6B2-4D26-AF89-076C3C2597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Data!$BN$40:$BZ$40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xVal>
          <c:yVal>
            <c:numRef>
              <c:f>Data!$BN$118:$BZ$118</c:f>
              <c:numCache>
                <c:formatCode>General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</c:numCache>
            </c:numRef>
          </c:yVal>
          <c:bubbleSize>
            <c:numRef>
              <c:f>Data!$BN$41:$BZ$41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5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9</c:v>
                </c:pt>
                <c:pt idx="8">
                  <c:v>22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Data!$BN$41:$BZ$41</c15:f>
                <c15:dlblRangeCache>
                  <c:ptCount val="12"/>
                  <c:pt idx="0">
                    <c:v>0</c:v>
                  </c:pt>
                  <c:pt idx="1">
                    <c:v>0</c:v>
                  </c:pt>
                  <c:pt idx="2">
                    <c:v>2</c:v>
                  </c:pt>
                  <c:pt idx="3">
                    <c:v>5</c:v>
                  </c:pt>
                  <c:pt idx="4">
                    <c:v>10</c:v>
                  </c:pt>
                  <c:pt idx="5">
                    <c:v>12</c:v>
                  </c:pt>
                  <c:pt idx="6">
                    <c:v>14</c:v>
                  </c:pt>
                  <c:pt idx="7">
                    <c:v>9</c:v>
                  </c:pt>
                  <c:pt idx="8">
                    <c:v>22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3D27-45BE-A8A3-753C10DFFA22}"/>
            </c:ext>
          </c:extLst>
        </c:ser>
        <c:ser>
          <c:idx val="1"/>
          <c:order val="1"/>
          <c:tx>
            <c:strRef>
              <c:f>Data!$BL$42</c:f>
              <c:strCache>
                <c:ptCount val="1"/>
                <c:pt idx="0">
                  <c:v>DO MAI HA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E740F15-BAD8-4EA6-B3EB-7430C7EB92BC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D27-45BE-A8A3-753C10DFFA2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C6A39EF-3872-4A54-B2DD-35433556F4CB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D27-45BE-A8A3-753C10DFFA2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4D51B0B-FF78-4D14-9830-D596830185D8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D27-45BE-A8A3-753C10DFFA2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C48942-5D61-4CA2-ACCE-B18A0992C71B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D27-45BE-A8A3-753C10DFFA2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E324756-8EBA-4722-B24E-522D128FF867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D27-45BE-A8A3-753C10DFFA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CD0EAC6-682F-47FA-BA5A-B37B0CFA827C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D27-45BE-A8A3-753C10DFFA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190C7B8-E5BF-40E8-ABDF-E3F5CA8B98C0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D27-45BE-A8A3-753C10DFFA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C6B75D4-3873-474D-B90F-F876660B5CE2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D27-45BE-A8A3-753C10DFFA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7FDE218-2781-4B32-9DA0-037A7FE3AE52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D27-45BE-A8A3-753C10DFFA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19AB895-AE5D-40C0-8F45-A4EB0931E23D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D27-45BE-A8A3-753C10DFFA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6AC54FA-EE7F-4BE7-9FA1-A81C2D26BC48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6B2-4D26-AF89-076C3C25974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CAEB70F-EC80-4579-ABEC-DDA2613B3D6A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6B2-4D26-AF89-076C3C2597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Data!$BN$40:$BZ$40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xVal>
          <c:yVal>
            <c:numRef>
              <c:f>Data!$BN$117:$BZ$117</c:f>
              <c:numCache>
                <c:formatCode>General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</c:numCache>
            </c:numRef>
          </c:yVal>
          <c:bubbleSize>
            <c:numRef>
              <c:f>Data!$BN$42:$BZ$42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</c:v>
                </c:pt>
                <c:pt idx="6">
                  <c:v>32</c:v>
                </c:pt>
                <c:pt idx="7">
                  <c:v>110</c:v>
                </c:pt>
                <c:pt idx="8">
                  <c:v>76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Data!$BN$42:$BZ$42</c15:f>
                <c15:dlblRangeCache>
                  <c:ptCount val="1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13</c:v>
                  </c:pt>
                  <c:pt idx="6">
                    <c:v>32</c:v>
                  </c:pt>
                  <c:pt idx="7">
                    <c:v>110</c:v>
                  </c:pt>
                  <c:pt idx="8">
                    <c:v>76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B-3D27-45BE-A8A3-753C10DFFA22}"/>
            </c:ext>
          </c:extLst>
        </c:ser>
        <c:ser>
          <c:idx val="2"/>
          <c:order val="2"/>
          <c:tx>
            <c:strRef>
              <c:f>Data!$BL$43</c:f>
              <c:strCache>
                <c:ptCount val="1"/>
                <c:pt idx="0">
                  <c:v>BUI NHU BAO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18623D1-7787-49B5-996B-F879D2FA1A6E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D27-45BE-A8A3-753C10DFFA2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4904D9B-6858-4639-9F60-A0F6F84F10EF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D27-45BE-A8A3-753C10DFFA2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DEF32F-4491-4121-9130-B8A8E19D17FC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D27-45BE-A8A3-753C10DFFA2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22EA673-430D-46AA-9C52-7C08DF0ACEE8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D27-45BE-A8A3-753C10DFFA2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9EF081C-2AB4-4DE8-972C-AF466E0D8D2C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D27-45BE-A8A3-753C10DFFA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683647C-C0FA-4C0B-AD10-6706059617F0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D27-45BE-A8A3-753C10DFFA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CA48C98-AA93-4D56-A211-6A923C8DD702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D27-45BE-A8A3-753C10DFFA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0988881-1409-434E-B362-D2D486095A71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D27-45BE-A8A3-753C10DFFA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1CDD0D1-64E4-403F-884A-D2DD38D684AF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D27-45BE-A8A3-753C10DFFA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853B5CD-85B2-4FCD-B5EB-D6D5BBC15441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D27-45BE-A8A3-753C10DFFA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95CFCCE-9DB4-4964-897F-80820493AC00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6B2-4D26-AF89-076C3C25974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B003CF5-A2AF-4AC6-8310-6938AE43BF36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6B2-4D26-AF89-076C3C2597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Data!$BN$40:$BZ$40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xVal>
          <c:yVal>
            <c:numRef>
              <c:f>Data!$BN$116:$BZ$116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yVal>
          <c:bubbleSize>
            <c:numRef>
              <c:f>Data!$BN$43:$BZ$43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Data!$BN$43:$BZ$43</c15:f>
                <c15:dlblRangeCache>
                  <c:ptCount val="1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1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9-3D27-45BE-A8A3-753C10DFF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68"/>
        <c:showNegBubbles val="0"/>
        <c:axId val="779881264"/>
        <c:axId val="779883424"/>
      </c:bubbleChart>
      <c:valAx>
        <c:axId val="779881264"/>
        <c:scaling>
          <c:orientation val="minMax"/>
          <c:max val="44561"/>
          <c:min val="44166"/>
        </c:scaling>
        <c:delete val="0"/>
        <c:axPos val="b"/>
        <c:numFmt formatCode="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83424"/>
        <c:crosses val="autoZero"/>
        <c:crossBetween val="midCat"/>
        <c:majorUnit val="31"/>
      </c:valAx>
      <c:valAx>
        <c:axId val="779883424"/>
        <c:scaling>
          <c:orientation val="minMax"/>
          <c:max val="3.5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7988126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Data!$BL$63</c:f>
          <c:strCache>
            <c:ptCount val="1"/>
            <c:pt idx="0">
              <c:v>PR Urgent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Data!$BL$65</c:f>
              <c:strCache>
                <c:ptCount val="1"/>
                <c:pt idx="0">
                  <c:v>DO TRUC LAM</c:v>
                </c:pt>
              </c:strCache>
            </c:strRef>
          </c:tx>
          <c:spPr>
            <a:solidFill>
              <a:schemeClr val="accent6">
                <a:alpha val="90000"/>
              </a:schemeClr>
            </a:solidFill>
            <a:ln>
              <a:noFill/>
            </a:ln>
            <a:effectLst/>
          </c:spPr>
          <c:invertIfNegative val="0"/>
          <c:cat>
            <c:numRef>
              <c:f>Data!$BO$64:$BZ$64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Data!$BO$65:$BZ$65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</c:v>
                </c:pt>
                <c:pt idx="6">
                  <c:v>20</c:v>
                </c:pt>
                <c:pt idx="7">
                  <c:v>9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E8-418B-A7A9-8D9138222BE4}"/>
            </c:ext>
          </c:extLst>
        </c:ser>
        <c:ser>
          <c:idx val="1"/>
          <c:order val="1"/>
          <c:tx>
            <c:strRef>
              <c:f>Data!$BL$66</c:f>
              <c:strCache>
                <c:ptCount val="1"/>
                <c:pt idx="0">
                  <c:v>DO MAI HA</c:v>
                </c:pt>
              </c:strCache>
            </c:strRef>
          </c:tx>
          <c:spPr>
            <a:solidFill>
              <a:schemeClr val="accent5">
                <a:alpha val="90000"/>
              </a:schemeClr>
            </a:solidFill>
            <a:ln>
              <a:noFill/>
            </a:ln>
            <a:effectLst/>
          </c:spPr>
          <c:invertIfNegative val="0"/>
          <c:cat>
            <c:numRef>
              <c:f>Data!$BO$64:$BZ$64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Data!$BO$66:$BZ$66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29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E8-418B-A7A9-8D9138222BE4}"/>
            </c:ext>
          </c:extLst>
        </c:ser>
        <c:ser>
          <c:idx val="2"/>
          <c:order val="2"/>
          <c:tx>
            <c:strRef>
              <c:f>Data!$BL$67</c:f>
              <c:strCache>
                <c:ptCount val="1"/>
                <c:pt idx="0">
                  <c:v>BUI NHU BAO</c:v>
                </c:pt>
              </c:strCache>
            </c:strRef>
          </c:tx>
          <c:spPr>
            <a:solidFill>
              <a:schemeClr val="accent2">
                <a:alpha val="90000"/>
              </a:schemeClr>
            </a:solidFill>
            <a:ln>
              <a:noFill/>
            </a:ln>
            <a:effectLst/>
          </c:spPr>
          <c:invertIfNegative val="0"/>
          <c:cat>
            <c:numRef>
              <c:f>Data!$BO$64:$BZ$64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Data!$BO$67:$BZ$67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E8-418B-A7A9-8D9138222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2"/>
        <c:overlap val="100"/>
        <c:axId val="868968896"/>
        <c:axId val="868969616"/>
      </c:barChart>
      <c:dateAx>
        <c:axId val="868968896"/>
        <c:scaling>
          <c:orientation val="minMax"/>
        </c:scaling>
        <c:delete val="0"/>
        <c:axPos val="b"/>
        <c:numFmt formatCode="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969616"/>
        <c:crosses val="autoZero"/>
        <c:auto val="1"/>
        <c:lblOffset val="100"/>
        <c:baseTimeUnit val="months"/>
      </c:dateAx>
      <c:valAx>
        <c:axId val="86896961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968896"/>
        <c:crosses val="autoZero"/>
        <c:crossBetween val="between"/>
        <c:majorUnit val="1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ysClr val="windowText" lastClr="000000"/>
                </a:solidFill>
              </a:rPr>
              <a:t>Sum PR &amp; 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Data!$BM$155</c:f>
              <c:strCache>
                <c:ptCount val="1"/>
                <c:pt idx="0">
                  <c:v>PO_Line</c:v>
                </c:pt>
              </c:strCache>
            </c:strRef>
          </c:tx>
          <c:spPr>
            <a:solidFill>
              <a:srgbClr val="76B54B">
                <a:alpha val="85000"/>
              </a:srgb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6B54B">
                  <a:alpha val="9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81A-4977-B80A-04851C30FF26}"/>
              </c:ext>
            </c:extLst>
          </c:dPt>
          <c:dPt>
            <c:idx val="1"/>
            <c:invertIfNegative val="0"/>
            <c:bubble3D val="0"/>
            <c:spPr>
              <a:solidFill>
                <a:srgbClr val="76B54B">
                  <a:alpha val="9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81A-4977-B80A-04851C30FF26}"/>
              </c:ext>
            </c:extLst>
          </c:dPt>
          <c:dPt>
            <c:idx val="2"/>
            <c:invertIfNegative val="0"/>
            <c:bubble3D val="0"/>
            <c:spPr>
              <a:solidFill>
                <a:srgbClr val="76B54B">
                  <a:alpha val="9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81A-4977-B80A-04851C30FF2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60000"/>
                  <a:lumOff val="40000"/>
                  <a:alpha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81A-4977-B80A-04851C30FF26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60000"/>
                  <a:lumOff val="40000"/>
                  <a:alpha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81A-4977-B80A-04851C30FF26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>
                  <a:lumMod val="60000"/>
                  <a:lumOff val="40000"/>
                  <a:alpha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81A-4977-B80A-04851C30FF26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>
                  <a:lumMod val="60000"/>
                  <a:lumOff val="40000"/>
                  <a:alpha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81A-4977-B80A-04851C30FF26}"/>
              </c:ext>
            </c:extLst>
          </c:dPt>
          <c:cat>
            <c:strRef>
              <c:f>Data!$BL$156:$BL$162</c:f>
              <c:strCache>
                <c:ptCount val="7"/>
                <c:pt idx="0">
                  <c:v>DO TRUC LAM</c:v>
                </c:pt>
                <c:pt idx="1">
                  <c:v>DO MAI HA</c:v>
                </c:pt>
                <c:pt idx="2">
                  <c:v>BUI NHU BAO</c:v>
                </c:pt>
                <c:pt idx="3">
                  <c:v>DO MINH AN</c:v>
                </c:pt>
                <c:pt idx="4">
                  <c:v>BUI BICH HAI</c:v>
                </c:pt>
                <c:pt idx="5">
                  <c:v>TRAN BICH HANG</c:v>
                </c:pt>
                <c:pt idx="6">
                  <c:v>DO NGOC HA</c:v>
                </c:pt>
              </c:strCache>
            </c:strRef>
          </c:cat>
          <c:val>
            <c:numRef>
              <c:f>Data!$BM$156:$BM$162</c:f>
              <c:numCache>
                <c:formatCode>#,###.00</c:formatCode>
                <c:ptCount val="7"/>
                <c:pt idx="0">
                  <c:v>2583</c:v>
                </c:pt>
                <c:pt idx="1">
                  <c:v>1061</c:v>
                </c:pt>
                <c:pt idx="2">
                  <c:v>882</c:v>
                </c:pt>
                <c:pt idx="3">
                  <c:v>652</c:v>
                </c:pt>
                <c:pt idx="4">
                  <c:v>637</c:v>
                </c:pt>
                <c:pt idx="5">
                  <c:v>597</c:v>
                </c:pt>
                <c:pt idx="6">
                  <c:v>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81A-4977-B80A-04851C30F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33687328"/>
        <c:axId val="633684808"/>
      </c:barChart>
      <c:lineChart>
        <c:grouping val="stacked"/>
        <c:varyColors val="0"/>
        <c:ser>
          <c:idx val="1"/>
          <c:order val="1"/>
          <c:tx>
            <c:strRef>
              <c:f>Data!$BP$155</c:f>
              <c:strCache>
                <c:ptCount val="1"/>
                <c:pt idx="0">
                  <c:v>Acumulative</c:v>
                </c:pt>
              </c:strCache>
            </c:strRef>
          </c:tx>
          <c:spPr>
            <a:ln w="22225" cap="sq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Data!$BL$156:$BL$162</c:f>
              <c:strCache>
                <c:ptCount val="7"/>
                <c:pt idx="0">
                  <c:v>DO TRUC LAM</c:v>
                </c:pt>
                <c:pt idx="1">
                  <c:v>DO MAI HA</c:v>
                </c:pt>
                <c:pt idx="2">
                  <c:v>BUI NHU BAO</c:v>
                </c:pt>
                <c:pt idx="3">
                  <c:v>DO MINH AN</c:v>
                </c:pt>
                <c:pt idx="4">
                  <c:v>BUI BICH HAI</c:v>
                </c:pt>
                <c:pt idx="5">
                  <c:v>TRAN BICH HANG</c:v>
                </c:pt>
                <c:pt idx="6">
                  <c:v>DO NGOC HA</c:v>
                </c:pt>
              </c:strCache>
            </c:strRef>
          </c:cat>
          <c:val>
            <c:numRef>
              <c:f>Data!$BP$156:$BP$162</c:f>
              <c:numCache>
                <c:formatCode>0%</c:formatCode>
                <c:ptCount val="7"/>
                <c:pt idx="0">
                  <c:v>0.382553317535545</c:v>
                </c:pt>
                <c:pt idx="1">
                  <c:v>0.53969194312796209</c:v>
                </c:pt>
                <c:pt idx="2">
                  <c:v>0.67031990521327012</c:v>
                </c:pt>
                <c:pt idx="3">
                  <c:v>0.76688388625592419</c:v>
                </c:pt>
                <c:pt idx="4">
                  <c:v>0.86122630331753558</c:v>
                </c:pt>
                <c:pt idx="5">
                  <c:v>0.94964454976303325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81A-4977-B80A-04851C30F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9240944"/>
        <c:axId val="869243824"/>
      </c:lineChart>
      <c:catAx>
        <c:axId val="63368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84808"/>
        <c:crosses val="autoZero"/>
        <c:auto val="1"/>
        <c:lblAlgn val="ctr"/>
        <c:lblOffset val="100"/>
        <c:noMultiLvlLbl val="0"/>
      </c:catAx>
      <c:valAx>
        <c:axId val="633684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#,###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87328"/>
        <c:crosses val="autoZero"/>
        <c:crossBetween val="between"/>
      </c:valAx>
      <c:valAx>
        <c:axId val="86924382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9240944"/>
        <c:crosses val="max"/>
        <c:crossBetween val="between"/>
      </c:valAx>
      <c:catAx>
        <c:axId val="869240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6924382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ysClr val="windowText" lastClr="000000"/>
                </a:solidFill>
              </a:rPr>
              <a:t>Total PR &amp; Total 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v>base PO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Data!$BO$17:$BZ$17</c:f>
              <c:numCache>
                <c:formatCode>General</c:formatCode>
                <c:ptCount val="12"/>
                <c:pt idx="0">
                  <c:v>8</c:v>
                </c:pt>
                <c:pt idx="1">
                  <c:v>9</c:v>
                </c:pt>
                <c:pt idx="2">
                  <c:v>3</c:v>
                </c:pt>
                <c:pt idx="3">
                  <c:v>6</c:v>
                </c:pt>
                <c:pt idx="4">
                  <c:v>14</c:v>
                </c:pt>
                <c:pt idx="5">
                  <c:v>40</c:v>
                </c:pt>
                <c:pt idx="6">
                  <c:v>17</c:v>
                </c:pt>
                <c:pt idx="7">
                  <c:v>24</c:v>
                </c:pt>
                <c:pt idx="8">
                  <c:v>30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7B-47D3-B748-E29E06E8B660}"/>
            </c:ext>
          </c:extLst>
        </c:ser>
        <c:ser>
          <c:idx val="3"/>
          <c:order val="3"/>
          <c:tx>
            <c:strRef>
              <c:f>Data!$BL$90</c:f>
              <c:strCache>
                <c:ptCount val="1"/>
                <c:pt idx="0">
                  <c:v>Gap PR-PO</c:v>
                </c:pt>
              </c:strCache>
            </c:strRef>
          </c:tx>
          <c:spPr>
            <a:solidFill>
              <a:srgbClr val="FFC9C9"/>
            </a:solidFill>
            <a:ln>
              <a:solidFill>
                <a:schemeClr val="bg1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Data!$BO$91:$BZ$91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65</c:v>
                </c:pt>
                <c:pt idx="3">
                  <c:v>187</c:v>
                </c:pt>
                <c:pt idx="4">
                  <c:v>158</c:v>
                </c:pt>
                <c:pt idx="5">
                  <c:v>233</c:v>
                </c:pt>
                <c:pt idx="6">
                  <c:v>172</c:v>
                </c:pt>
                <c:pt idx="7">
                  <c:v>204</c:v>
                </c:pt>
                <c:pt idx="8">
                  <c:v>94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7B-47D3-B748-E29E06E8B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overlap val="-10"/>
        <c:axId val="1137508792"/>
        <c:axId val="1137512032"/>
      </c:barChart>
      <c:barChart>
        <c:barDir val="col"/>
        <c:grouping val="clustered"/>
        <c:varyColors val="0"/>
        <c:ser>
          <c:idx val="0"/>
          <c:order val="0"/>
          <c:tx>
            <c:strRef>
              <c:f>Data!$BL$3</c:f>
              <c:strCache>
                <c:ptCount val="1"/>
                <c:pt idx="0">
                  <c:v>Total PR</c:v>
                </c:pt>
              </c:strCache>
            </c:strRef>
          </c:tx>
          <c:spPr>
            <a:solidFill>
              <a:srgbClr val="669F3F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Data!$BO$5:$BZ$5</c:f>
              <c:numCache>
                <c:formatCode>General</c:formatCode>
                <c:ptCount val="12"/>
                <c:pt idx="0">
                  <c:v>44</c:v>
                </c:pt>
                <c:pt idx="1">
                  <c:v>37</c:v>
                </c:pt>
                <c:pt idx="2">
                  <c:v>68</c:v>
                </c:pt>
                <c:pt idx="3">
                  <c:v>193</c:v>
                </c:pt>
                <c:pt idx="4">
                  <c:v>172</c:v>
                </c:pt>
                <c:pt idx="5">
                  <c:v>273</c:v>
                </c:pt>
                <c:pt idx="6">
                  <c:v>189</c:v>
                </c:pt>
                <c:pt idx="7">
                  <c:v>228</c:v>
                </c:pt>
                <c:pt idx="8">
                  <c:v>124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7B-47D3-B748-E29E06E8B660}"/>
            </c:ext>
          </c:extLst>
        </c:ser>
        <c:ser>
          <c:idx val="1"/>
          <c:order val="1"/>
          <c:tx>
            <c:strRef>
              <c:f>Data!$BL$15</c:f>
              <c:strCache>
                <c:ptCount val="1"/>
                <c:pt idx="0">
                  <c:v>Total PO</c:v>
                </c:pt>
              </c:strCache>
            </c:strRef>
          </c:tx>
          <c:spPr>
            <a:solidFill>
              <a:srgbClr val="A4CF87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Data!$BO$17:$BZ$17</c:f>
              <c:numCache>
                <c:formatCode>General</c:formatCode>
                <c:ptCount val="12"/>
                <c:pt idx="0">
                  <c:v>8</c:v>
                </c:pt>
                <c:pt idx="1">
                  <c:v>9</c:v>
                </c:pt>
                <c:pt idx="2">
                  <c:v>3</c:v>
                </c:pt>
                <c:pt idx="3">
                  <c:v>6</c:v>
                </c:pt>
                <c:pt idx="4">
                  <c:v>14</c:v>
                </c:pt>
                <c:pt idx="5">
                  <c:v>40</c:v>
                </c:pt>
                <c:pt idx="6">
                  <c:v>17</c:v>
                </c:pt>
                <c:pt idx="7">
                  <c:v>24</c:v>
                </c:pt>
                <c:pt idx="8">
                  <c:v>30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7B-47D3-B748-E29E06E8B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376325304"/>
        <c:axId val="376324944"/>
      </c:barChart>
      <c:dateAx>
        <c:axId val="1137508792"/>
        <c:scaling>
          <c:orientation val="minMax"/>
        </c:scaling>
        <c:delete val="0"/>
        <c:axPos val="b"/>
        <c:numFmt formatCode="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512032"/>
        <c:crosses val="autoZero"/>
        <c:auto val="1"/>
        <c:lblOffset val="100"/>
        <c:baseTimeUnit val="months"/>
      </c:dateAx>
      <c:valAx>
        <c:axId val="113751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508792"/>
        <c:crosses val="autoZero"/>
        <c:crossBetween val="between"/>
        <c:majorUnit val="100"/>
      </c:valAx>
      <c:valAx>
        <c:axId val="3763249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325304"/>
        <c:crosses val="max"/>
        <c:crossBetween val="between"/>
        <c:majorUnit val="100"/>
      </c:valAx>
      <c:dateAx>
        <c:axId val="376325304"/>
        <c:scaling>
          <c:orientation val="minMax"/>
        </c:scaling>
        <c:delete val="1"/>
        <c:axPos val="b"/>
        <c:numFmt formatCode="mmm" sourceLinked="1"/>
        <c:majorTickMark val="out"/>
        <c:minorTickMark val="none"/>
        <c:tickLblPos val="nextTo"/>
        <c:crossAx val="376324944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PR Urgent &amp; PR Urgent Complete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v>base PR Urgent com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Data!$BO$64:$BZ$64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Data!$BO$77:$BZ$77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</c:v>
                </c:pt>
                <c:pt idx="6">
                  <c:v>20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1F-47D8-96DE-1335C5AFCACE}"/>
            </c:ext>
          </c:extLst>
        </c:ser>
        <c:ser>
          <c:idx val="3"/>
          <c:order val="3"/>
          <c:tx>
            <c:strRef>
              <c:f>Data!$BL$148</c:f>
              <c:strCache>
                <c:ptCount val="1"/>
                <c:pt idx="0">
                  <c:v>Gap PR Urgent vs Complete</c:v>
                </c:pt>
              </c:strCache>
            </c:strRef>
          </c:tx>
          <c:spPr>
            <a:solidFill>
              <a:srgbClr val="FFC9C9"/>
            </a:solidFill>
            <a:ln>
              <a:solidFill>
                <a:schemeClr val="bg1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Data!$BO$64:$BZ$64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Data!$BO$149:$BZ$149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1F-47D8-96DE-1335C5AFCA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overlap val="-10"/>
        <c:axId val="1137508792"/>
        <c:axId val="1137512032"/>
      </c:barChart>
      <c:barChart>
        <c:barDir val="col"/>
        <c:grouping val="clustered"/>
        <c:varyColors val="0"/>
        <c:ser>
          <c:idx val="0"/>
          <c:order val="0"/>
          <c:tx>
            <c:strRef>
              <c:f>Data!$BL$63</c:f>
              <c:strCache>
                <c:ptCount val="1"/>
                <c:pt idx="0">
                  <c:v>PR Urgent</c:v>
                </c:pt>
              </c:strCache>
            </c:strRef>
          </c:tx>
          <c:spPr>
            <a:solidFill>
              <a:srgbClr val="62983E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Data!$BO$65:$BZ$65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</c:v>
                </c:pt>
                <c:pt idx="6">
                  <c:v>20</c:v>
                </c:pt>
                <c:pt idx="7">
                  <c:v>9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1F-47D8-96DE-1335C5AFCACE}"/>
            </c:ext>
          </c:extLst>
        </c:ser>
        <c:ser>
          <c:idx val="1"/>
          <c:order val="1"/>
          <c:tx>
            <c:strRef>
              <c:f>Data!$BL$75</c:f>
              <c:strCache>
                <c:ptCount val="1"/>
                <c:pt idx="0">
                  <c:v>PR Urgent Complete</c:v>
                </c:pt>
              </c:strCache>
            </c:strRef>
          </c:tx>
          <c:spPr>
            <a:solidFill>
              <a:srgbClr val="8FC36B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Data!$BO$77:$BZ$77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</c:v>
                </c:pt>
                <c:pt idx="6">
                  <c:v>20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1F-47D8-96DE-1335C5AFCA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376325304"/>
        <c:axId val="376324944"/>
      </c:barChart>
      <c:dateAx>
        <c:axId val="1137508792"/>
        <c:scaling>
          <c:orientation val="minMax"/>
        </c:scaling>
        <c:delete val="0"/>
        <c:axPos val="b"/>
        <c:numFmt formatCode="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512032"/>
        <c:crosses val="autoZero"/>
        <c:auto val="1"/>
        <c:lblOffset val="100"/>
        <c:baseTimeUnit val="months"/>
      </c:dateAx>
      <c:valAx>
        <c:axId val="113751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508792"/>
        <c:crosses val="autoZero"/>
        <c:crossBetween val="between"/>
        <c:majorUnit val="10"/>
      </c:valAx>
      <c:valAx>
        <c:axId val="3763249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325304"/>
        <c:crosses val="max"/>
        <c:crossBetween val="between"/>
      </c:valAx>
      <c:dateAx>
        <c:axId val="376325304"/>
        <c:scaling>
          <c:orientation val="minMax"/>
        </c:scaling>
        <c:delete val="1"/>
        <c:axPos val="b"/>
        <c:numFmt formatCode="mmm" sourceLinked="1"/>
        <c:majorTickMark val="out"/>
        <c:minorTickMark val="none"/>
        <c:tickLblPos val="nextTo"/>
        <c:crossAx val="376324944"/>
        <c:crosses val="autoZero"/>
        <c:auto val="1"/>
        <c:lblOffset val="100"/>
        <c:baseTimeUnit val="months"/>
      </c:date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6">
          <a:alpha val="98000"/>
        </a:schemeClr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Data!$AU$6</c:f>
          <c:strCache>
            <c:ptCount val="1"/>
            <c:pt idx="0">
              <c:v>PR pending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Data!$BL$27</c:f>
              <c:strCache>
                <c:ptCount val="1"/>
                <c:pt idx="0">
                  <c:v>PR Pending</c:v>
                </c:pt>
              </c:strCache>
            </c:strRef>
          </c:tx>
          <c:spPr>
            <a:solidFill>
              <a:srgbClr val="8BC365"/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Data!$BO$29:$BZ$29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9</c:v>
                </c:pt>
                <c:pt idx="5">
                  <c:v>7</c:v>
                </c:pt>
                <c:pt idx="6">
                  <c:v>26</c:v>
                </c:pt>
                <c:pt idx="7">
                  <c:v>12</c:v>
                </c:pt>
                <c:pt idx="8">
                  <c:v>44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BE-40FB-8550-2E7BA6E88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axId val="820933048"/>
        <c:axId val="820933408"/>
      </c:barChart>
      <c:lineChart>
        <c:grouping val="stacked"/>
        <c:varyColors val="0"/>
        <c:ser>
          <c:idx val="1"/>
          <c:order val="1"/>
          <c:tx>
            <c:strRef>
              <c:f>Data!$BL$106</c:f>
              <c:strCache>
                <c:ptCount val="1"/>
                <c:pt idx="0">
                  <c:v>Difference Between Each Month</c:v>
                </c:pt>
              </c:strCache>
            </c:strRef>
          </c:tx>
          <c:spPr>
            <a:ln w="25400" cap="rnd">
              <a:solidFill>
                <a:srgbClr val="FFD54F"/>
              </a:solidFill>
              <a:round/>
            </a:ln>
            <a:effectLst/>
          </c:spPr>
          <c:marker>
            <c:symbol val="none"/>
          </c:marker>
          <c:dLbls>
            <c:numFmt formatCode="[Red]\▲0;[Blue]\▼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Data!$BO$28:$BZ$28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Data!$BO$107:$BZ$107</c:f>
              <c:numCache>
                <c:formatCode>General</c:formatCode>
                <c:ptCount val="12"/>
                <c:pt idx="0">
                  <c:v>1</c:v>
                </c:pt>
                <c:pt idx="1">
                  <c:v>#N/A</c:v>
                </c:pt>
                <c:pt idx="2">
                  <c:v>-1</c:v>
                </c:pt>
                <c:pt idx="3">
                  <c:v>1</c:v>
                </c:pt>
                <c:pt idx="4">
                  <c:v>8</c:v>
                </c:pt>
                <c:pt idx="5">
                  <c:v>-2</c:v>
                </c:pt>
                <c:pt idx="6">
                  <c:v>19</c:v>
                </c:pt>
                <c:pt idx="7">
                  <c:v>-14</c:v>
                </c:pt>
                <c:pt idx="8">
                  <c:v>32</c:v>
                </c:pt>
                <c:pt idx="9">
                  <c:v>-44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BE-40FB-8550-2E7BA6E88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870408"/>
        <c:axId val="820870048"/>
      </c:lineChart>
      <c:catAx>
        <c:axId val="820933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933408"/>
        <c:crosses val="autoZero"/>
        <c:auto val="1"/>
        <c:lblAlgn val="ctr"/>
        <c:lblOffset val="100"/>
        <c:noMultiLvlLbl val="0"/>
      </c:catAx>
      <c:valAx>
        <c:axId val="820933408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933048"/>
        <c:crosses val="autoZero"/>
        <c:crossBetween val="between"/>
        <c:majorUnit val="10"/>
      </c:valAx>
      <c:valAx>
        <c:axId val="820870048"/>
        <c:scaling>
          <c:orientation val="minMax"/>
          <c:max val="35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870408"/>
        <c:crosses val="max"/>
        <c:crossBetween val="between"/>
      </c:valAx>
      <c:dateAx>
        <c:axId val="820870408"/>
        <c:scaling>
          <c:orientation val="minMax"/>
        </c:scaling>
        <c:delete val="1"/>
        <c:axPos val="t"/>
        <c:numFmt formatCode="mmm" sourceLinked="1"/>
        <c:majorTickMark val="out"/>
        <c:minorTickMark val="none"/>
        <c:tickLblPos val="nextTo"/>
        <c:crossAx val="820870048"/>
        <c:crosses val="max"/>
        <c:auto val="1"/>
        <c:lblOffset val="100"/>
        <c:baseTimeUnit val="months"/>
      </c:date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6">
          <a:alpha val="98000"/>
        </a:schemeClr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Data!$AU$7</c:f>
          <c:strCache>
            <c:ptCount val="1"/>
            <c:pt idx="0">
              <c:v>PO pending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Data!$BL$39</c:f>
              <c:strCache>
                <c:ptCount val="1"/>
                <c:pt idx="0">
                  <c:v>PO Pending</c:v>
                </c:pt>
              </c:strCache>
            </c:strRef>
          </c:tx>
          <c:spPr>
            <a:solidFill>
              <a:srgbClr val="A4CF87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Data!$BO$41:$BZ$41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5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9</c:v>
                </c:pt>
                <c:pt idx="8">
                  <c:v>22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10-4486-B9DE-8ABC97780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axId val="705265792"/>
        <c:axId val="705266152"/>
      </c:barChart>
      <c:lineChart>
        <c:grouping val="stacked"/>
        <c:varyColors val="0"/>
        <c:ser>
          <c:idx val="1"/>
          <c:order val="1"/>
          <c:tx>
            <c:strRef>
              <c:f>Data!$BL$121</c:f>
              <c:strCache>
                <c:ptCount val="1"/>
                <c:pt idx="0">
                  <c:v>Difference Between Each Month</c:v>
                </c:pt>
              </c:strCache>
            </c:strRef>
          </c:tx>
          <c:spPr>
            <a:ln w="25400" cap="rnd">
              <a:solidFill>
                <a:srgbClr val="FFD54F"/>
              </a:solidFill>
              <a:round/>
            </a:ln>
            <a:effectLst/>
          </c:spPr>
          <c:marker>
            <c:symbol val="none"/>
          </c:marker>
          <c:dLbls>
            <c:numFmt formatCode="[Red]\▲0;[Blue]\▼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Data!$BO$40:$BZ$40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Data!$BO$122:$BZ$122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2</c:v>
                </c:pt>
                <c:pt idx="6">
                  <c:v>2</c:v>
                </c:pt>
                <c:pt idx="7">
                  <c:v>-5</c:v>
                </c:pt>
                <c:pt idx="8">
                  <c:v>13</c:v>
                </c:pt>
                <c:pt idx="9">
                  <c:v>-22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10-4486-B9DE-8ABC97780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328848"/>
        <c:axId val="632326328"/>
      </c:lineChart>
      <c:catAx>
        <c:axId val="705265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66152"/>
        <c:crosses val="autoZero"/>
        <c:auto val="1"/>
        <c:lblAlgn val="ctr"/>
        <c:lblOffset val="100"/>
        <c:noMultiLvlLbl val="0"/>
      </c:catAx>
      <c:valAx>
        <c:axId val="705266152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65792"/>
        <c:crosses val="autoZero"/>
        <c:crossBetween val="between"/>
        <c:majorUnit val="10"/>
      </c:valAx>
      <c:valAx>
        <c:axId val="632326328"/>
        <c:scaling>
          <c:orientation val="minMax"/>
          <c:max val="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328848"/>
        <c:crosses val="max"/>
        <c:crossBetween val="between"/>
      </c:valAx>
      <c:dateAx>
        <c:axId val="632328848"/>
        <c:scaling>
          <c:orientation val="minMax"/>
        </c:scaling>
        <c:delete val="1"/>
        <c:axPos val="t"/>
        <c:numFmt formatCode="mmm" sourceLinked="1"/>
        <c:majorTickMark val="out"/>
        <c:minorTickMark val="none"/>
        <c:tickLblPos val="nextTo"/>
        <c:crossAx val="632326328"/>
        <c:crosses val="max"/>
        <c:auto val="1"/>
        <c:lblOffset val="100"/>
        <c:baseTimeUnit val="months"/>
      </c:date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6">
          <a:alpha val="98000"/>
        </a:schemeClr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Data!$BL$51</c:f>
          <c:strCache>
            <c:ptCount val="1"/>
            <c:pt idx="0">
              <c:v>PR-PO Average Processing Time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1"/>
          <c:order val="2"/>
          <c:tx>
            <c:strRef>
              <c:f>Data!$BL$138</c:f>
              <c:strCache>
                <c:ptCount val="1"/>
                <c:pt idx="0">
                  <c:v>Abnormal</c:v>
                </c:pt>
              </c:strCache>
            </c:strRef>
          </c:tx>
          <c:spPr>
            <a:solidFill>
              <a:srgbClr val="FFD1D1"/>
            </a:solidFill>
            <a:ln>
              <a:noFill/>
            </a:ln>
            <a:effectLst/>
          </c:spPr>
          <c:invertIfNegative val="0"/>
          <c:val>
            <c:numRef>
              <c:f>Data!$BO$139:$BZ$139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F2-4A5E-9493-BA12A46E1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72381048"/>
        <c:axId val="738723640"/>
      </c:barChart>
      <c:lineChart>
        <c:grouping val="standard"/>
        <c:varyColors val="0"/>
        <c:ser>
          <c:idx val="0"/>
          <c:order val="0"/>
          <c:tx>
            <c:strRef>
              <c:f>Data!$BL$51</c:f>
              <c:strCache>
                <c:ptCount val="1"/>
                <c:pt idx="0">
                  <c:v>PR-PO Average Processing Time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Data!$BO$52:$BZ$52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Data!$BO$53:$BZ$53</c:f>
              <c:numCache>
                <c:formatCode>0.0</c:formatCode>
                <c:ptCount val="12"/>
                <c:pt idx="0">
                  <c:v>1.75</c:v>
                </c:pt>
                <c:pt idx="1">
                  <c:v>0.55555555555555558</c:v>
                </c:pt>
                <c:pt idx="2">
                  <c:v>12.333333333333334</c:v>
                </c:pt>
                <c:pt idx="3">
                  <c:v>13</c:v>
                </c:pt>
                <c:pt idx="4">
                  <c:v>16.214285714285715</c:v>
                </c:pt>
                <c:pt idx="5">
                  <c:v>14.5</c:v>
                </c:pt>
                <c:pt idx="6">
                  <c:v>16.705882352941178</c:v>
                </c:pt>
                <c:pt idx="7">
                  <c:v>9.8333333333333339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F2-4A5E-9493-BA12A46E1ABA}"/>
            </c:ext>
          </c:extLst>
        </c:ser>
        <c:ser>
          <c:idx val="2"/>
          <c:order val="1"/>
          <c:tx>
            <c:strRef>
              <c:f>Data!$AU$19</c:f>
              <c:strCache>
                <c:ptCount val="1"/>
                <c:pt idx="0">
                  <c:v>Standard Process Time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Data!$BO$52:$BZ$52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Data!$AV$19:$BG$19</c:f>
              <c:numCache>
                <c:formatCode>0</c:formatCode>
                <c:ptCount val="12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F2-4A5E-9493-BA12A46E1ABA}"/>
            </c:ext>
          </c:extLst>
        </c:ser>
        <c:ser>
          <c:idx val="3"/>
          <c:order val="3"/>
          <c:tx>
            <c:strRef>
              <c:f>Data!$BK$143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12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Data!$BO$143:$BZ$143</c:f>
              <c:numCache>
                <c:formatCode>0.0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16.705882352941178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4F2-4A5E-9493-BA12A46E1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9862432"/>
        <c:axId val="819861352"/>
      </c:lineChart>
      <c:dateAx>
        <c:axId val="819862432"/>
        <c:scaling>
          <c:orientation val="minMax"/>
        </c:scaling>
        <c:delete val="0"/>
        <c:axPos val="b"/>
        <c:numFmt formatCode="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861352"/>
        <c:crosses val="autoZero"/>
        <c:auto val="1"/>
        <c:lblOffset val="100"/>
        <c:baseTimeUnit val="months"/>
      </c:dateAx>
      <c:valAx>
        <c:axId val="819861352"/>
        <c:scaling>
          <c:orientation val="minMax"/>
          <c:max val="1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862432"/>
        <c:crosses val="autoZero"/>
        <c:crossBetween val="between"/>
        <c:majorUnit val="6"/>
      </c:valAx>
      <c:valAx>
        <c:axId val="73872364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381048"/>
        <c:crosses val="max"/>
        <c:crossBetween val="between"/>
      </c:valAx>
      <c:catAx>
        <c:axId val="772381048"/>
        <c:scaling>
          <c:orientation val="minMax"/>
        </c:scaling>
        <c:delete val="1"/>
        <c:axPos val="b"/>
        <c:majorTickMark val="out"/>
        <c:minorTickMark val="none"/>
        <c:tickLblPos val="nextTo"/>
        <c:crossAx val="7387236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6">
          <a:alpha val="98000"/>
        </a:schemeClr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 sz="1400"/>
            </a:pPr>
            <a:r>
              <a:rPr lang="en-US" sz="1400"/>
              <a:t>Total PR &amp; Total PO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v>base PO</c:v>
          </c:tx>
          <c:spPr>
            <a:solidFill>
              <a:srgbClr val="F9D1B5"/>
            </a:solidFill>
            <a:ln>
              <a:noFill/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Data!$BO$6:$BZ$6</c:f>
              <c:numCache>
                <c:formatCode>General</c:formatCode>
                <c:ptCount val="12"/>
                <c:pt idx="0">
                  <c:v>67</c:v>
                </c:pt>
                <c:pt idx="1">
                  <c:v>59</c:v>
                </c:pt>
                <c:pt idx="2">
                  <c:v>34</c:v>
                </c:pt>
                <c:pt idx="3">
                  <c:v>32</c:v>
                </c:pt>
                <c:pt idx="4">
                  <c:v>76</c:v>
                </c:pt>
                <c:pt idx="5">
                  <c:v>66</c:v>
                </c:pt>
                <c:pt idx="6">
                  <c:v>50</c:v>
                </c:pt>
                <c:pt idx="7">
                  <c:v>132</c:v>
                </c:pt>
                <c:pt idx="8">
                  <c:v>39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09-431F-B46D-BB2E0800398D}"/>
            </c:ext>
          </c:extLst>
        </c:ser>
        <c:ser>
          <c:idx val="3"/>
          <c:order val="3"/>
          <c:tx>
            <c:strRef>
              <c:f>Data!$BL$90</c:f>
              <c:strCache>
                <c:ptCount val="1"/>
                <c:pt idx="0">
                  <c:v>Gap PR-PO</c:v>
                </c:pt>
              </c:strCache>
            </c:strRef>
          </c:tx>
          <c:spPr>
            <a:solidFill>
              <a:srgbClr val="F9D1B5"/>
            </a:solidFill>
            <a:ln>
              <a:solidFill>
                <a:schemeClr val="bg1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 rIns="228600"/>
              <a:lstStyle/>
              <a:p>
                <a:pPr>
                  <a:defRPr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Data!$BO$94:$BZ$94</c:f>
              <c:numCache>
                <c:formatCode>General</c:formatCode>
                <c:ptCount val="12"/>
                <c:pt idx="0">
                  <c:v>61</c:v>
                </c:pt>
                <c:pt idx="1">
                  <c:v>30</c:v>
                </c:pt>
                <c:pt idx="2">
                  <c:v>115</c:v>
                </c:pt>
                <c:pt idx="3">
                  <c:v>219</c:v>
                </c:pt>
                <c:pt idx="4">
                  <c:v>171</c:v>
                </c:pt>
                <c:pt idx="5">
                  <c:v>264</c:v>
                </c:pt>
                <c:pt idx="6">
                  <c:v>156</c:v>
                </c:pt>
                <c:pt idx="7">
                  <c:v>133</c:v>
                </c:pt>
                <c:pt idx="8">
                  <c:v>38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09-431F-B46D-BB2E08003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3"/>
        <c:overlap val="100"/>
        <c:axId val="1137508792"/>
        <c:axId val="1137512032"/>
      </c:barChart>
      <c:barChart>
        <c:barDir val="col"/>
        <c:grouping val="clustered"/>
        <c:varyColors val="0"/>
        <c:ser>
          <c:idx val="0"/>
          <c:order val="0"/>
          <c:tx>
            <c:strRef>
              <c:f>Data!$BL$3</c:f>
              <c:strCache>
                <c:ptCount val="1"/>
                <c:pt idx="0">
                  <c:v>Total PR</c:v>
                </c:pt>
              </c:strCache>
            </c:strRef>
          </c:tx>
          <c:spPr>
            <a:solidFill>
              <a:srgbClr val="317CC1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Data!$BO$6:$BZ$6</c:f>
              <c:numCache>
                <c:formatCode>General</c:formatCode>
                <c:ptCount val="12"/>
                <c:pt idx="0">
                  <c:v>67</c:v>
                </c:pt>
                <c:pt idx="1">
                  <c:v>59</c:v>
                </c:pt>
                <c:pt idx="2">
                  <c:v>34</c:v>
                </c:pt>
                <c:pt idx="3">
                  <c:v>32</c:v>
                </c:pt>
                <c:pt idx="4">
                  <c:v>76</c:v>
                </c:pt>
                <c:pt idx="5">
                  <c:v>66</c:v>
                </c:pt>
                <c:pt idx="6">
                  <c:v>50</c:v>
                </c:pt>
                <c:pt idx="7">
                  <c:v>132</c:v>
                </c:pt>
                <c:pt idx="8">
                  <c:v>39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09-431F-B46D-BB2E0800398D}"/>
            </c:ext>
          </c:extLst>
        </c:ser>
        <c:ser>
          <c:idx val="1"/>
          <c:order val="1"/>
          <c:tx>
            <c:strRef>
              <c:f>Data!$BL$15</c:f>
              <c:strCache>
                <c:ptCount val="1"/>
                <c:pt idx="0">
                  <c:v>Total PO</c:v>
                </c:pt>
              </c:strCache>
            </c:strRef>
          </c:tx>
          <c:spPr>
            <a:solidFill>
              <a:srgbClr val="73A9DB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Data!$BO$18:$BZ$18</c:f>
              <c:numCache>
                <c:formatCode>General</c:formatCode>
                <c:ptCount val="12"/>
                <c:pt idx="0">
                  <c:v>128</c:v>
                </c:pt>
                <c:pt idx="1">
                  <c:v>89</c:v>
                </c:pt>
                <c:pt idx="2">
                  <c:v>149</c:v>
                </c:pt>
                <c:pt idx="3">
                  <c:v>251</c:v>
                </c:pt>
                <c:pt idx="4">
                  <c:v>247</c:v>
                </c:pt>
                <c:pt idx="5">
                  <c:v>330</c:v>
                </c:pt>
                <c:pt idx="6">
                  <c:v>206</c:v>
                </c:pt>
                <c:pt idx="7">
                  <c:v>265</c:v>
                </c:pt>
                <c:pt idx="8">
                  <c:v>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C09-431F-B46D-BB2E08003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718054960"/>
        <c:axId val="718053520"/>
      </c:barChart>
      <c:dateAx>
        <c:axId val="1137508792"/>
        <c:scaling>
          <c:orientation val="minMax"/>
        </c:scaling>
        <c:delete val="0"/>
        <c:axPos val="b"/>
        <c:numFmt formatCode="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137512032"/>
        <c:crosses val="autoZero"/>
        <c:auto val="1"/>
        <c:lblOffset val="100"/>
        <c:baseTimeUnit val="months"/>
      </c:dateAx>
      <c:valAx>
        <c:axId val="113751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137508792"/>
        <c:crosses val="autoZero"/>
        <c:crossBetween val="between"/>
        <c:majorUnit val="100"/>
      </c:valAx>
      <c:valAx>
        <c:axId val="718053520"/>
        <c:scaling>
          <c:orientation val="minMax"/>
          <c:max val="4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718054960"/>
        <c:crosses val="max"/>
        <c:crossBetween val="between"/>
      </c:valAx>
      <c:dateAx>
        <c:axId val="718054960"/>
        <c:scaling>
          <c:orientation val="minMax"/>
        </c:scaling>
        <c:delete val="1"/>
        <c:axPos val="b"/>
        <c:numFmt formatCode="mmm" sourceLinked="1"/>
        <c:majorTickMark val="out"/>
        <c:minorTickMark val="none"/>
        <c:tickLblPos val="nextTo"/>
        <c:crossAx val="718053520"/>
        <c:crosses val="autoZero"/>
        <c:auto val="1"/>
        <c:lblOffset val="100"/>
        <c:baseTimeUnit val="months"/>
        <c:majorUnit val="1"/>
        <c:minorUnit val="1"/>
      </c:dateAx>
      <c:dTable>
        <c:showHorzBorder val="1"/>
        <c:showVertBorder val="1"/>
        <c:showOutline val="1"/>
        <c:showKeys val="1"/>
      </c:dTable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PR Urgent &amp; PR Urgent Complete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v>base PR Urgent com</c:v>
          </c:tx>
          <c:spPr>
            <a:noFill/>
            <a:ln>
              <a:noFill/>
            </a:ln>
            <a:effectLst/>
          </c:spPr>
          <c:invertIfNegative val="0"/>
          <c:cat>
            <c:numRef>
              <c:f>Data!$BO$64:$BZ$64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Data!$BO$78:$BZ$78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AB-4232-BC97-B0288F34A1E5}"/>
            </c:ext>
          </c:extLst>
        </c:ser>
        <c:ser>
          <c:idx val="3"/>
          <c:order val="3"/>
          <c:tx>
            <c:strRef>
              <c:f>Data!$BL$148</c:f>
              <c:strCache>
                <c:ptCount val="1"/>
                <c:pt idx="0">
                  <c:v>Gap PR Urgent vs Complete</c:v>
                </c:pt>
              </c:strCache>
            </c:strRef>
          </c:tx>
          <c:spPr>
            <a:solidFill>
              <a:srgbClr val="FFC9C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Data!$BO$64:$BZ$64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Data!$BO$150:$BZ$150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-1</c:v>
                </c:pt>
                <c:pt idx="7">
                  <c:v>29</c:v>
                </c:pt>
                <c:pt idx="8">
                  <c:v>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AB-4232-BC97-B0288F34A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overlap val="-10"/>
        <c:axId val="1137508792"/>
        <c:axId val="1137512032"/>
      </c:barChart>
      <c:barChart>
        <c:barDir val="col"/>
        <c:grouping val="clustered"/>
        <c:varyColors val="0"/>
        <c:ser>
          <c:idx val="0"/>
          <c:order val="0"/>
          <c:tx>
            <c:strRef>
              <c:f>Data!$BL$63</c:f>
              <c:strCache>
                <c:ptCount val="1"/>
                <c:pt idx="0">
                  <c:v>PR Urgent</c:v>
                </c:pt>
              </c:strCache>
            </c:strRef>
          </c:tx>
          <c:spPr>
            <a:solidFill>
              <a:srgbClr val="317CC1"/>
            </a:solidFill>
            <a:ln>
              <a:noFill/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Data!$BO$66:$BZ$66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29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AB-4232-BC97-B0288F34A1E5}"/>
            </c:ext>
          </c:extLst>
        </c:ser>
        <c:ser>
          <c:idx val="1"/>
          <c:order val="1"/>
          <c:tx>
            <c:strRef>
              <c:f>Data!$BL$75</c:f>
              <c:strCache>
                <c:ptCount val="1"/>
                <c:pt idx="0">
                  <c:v>PR Urgent Complete</c:v>
                </c:pt>
              </c:strCache>
            </c:strRef>
          </c:tx>
          <c:spPr>
            <a:solidFill>
              <a:srgbClr val="73A9DB"/>
            </a:solidFill>
            <a:ln>
              <a:noFill/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Data!$BO$78:$BZ$78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AB-4232-BC97-B0288F34A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376325304"/>
        <c:axId val="376324944"/>
      </c:barChart>
      <c:dateAx>
        <c:axId val="1137508792"/>
        <c:scaling>
          <c:orientation val="minMax"/>
        </c:scaling>
        <c:delete val="0"/>
        <c:axPos val="b"/>
        <c:numFmt formatCode="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512032"/>
        <c:crosses val="autoZero"/>
        <c:auto val="1"/>
        <c:lblOffset val="100"/>
        <c:baseTimeUnit val="months"/>
      </c:dateAx>
      <c:valAx>
        <c:axId val="11375120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508792"/>
        <c:crosses val="autoZero"/>
        <c:crossBetween val="between"/>
        <c:majorUnit val="10"/>
      </c:valAx>
      <c:valAx>
        <c:axId val="376324944"/>
        <c:scaling>
          <c:orientation val="minMax"/>
          <c:max val="4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325304"/>
        <c:crosses val="max"/>
        <c:crossBetween val="between"/>
        <c:majorUnit val="10"/>
      </c:valAx>
      <c:dateAx>
        <c:axId val="376325304"/>
        <c:scaling>
          <c:orientation val="minMax"/>
        </c:scaling>
        <c:delete val="1"/>
        <c:axPos val="b"/>
        <c:numFmt formatCode="mmm" sourceLinked="1"/>
        <c:majorTickMark val="out"/>
        <c:minorTickMark val="none"/>
        <c:tickLblPos val="nextTo"/>
        <c:crossAx val="376324944"/>
        <c:crosses val="autoZero"/>
        <c:auto val="1"/>
        <c:lblOffset val="100"/>
        <c:baseTimeUnit val="months"/>
      </c:date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Data!$AU$6</c:f>
          <c:strCache>
            <c:ptCount val="1"/>
            <c:pt idx="0">
              <c:v>PR pending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Data!$BL$27</c:f>
              <c:strCache>
                <c:ptCount val="1"/>
                <c:pt idx="0">
                  <c:v>PR Pending</c:v>
                </c:pt>
              </c:strCache>
            </c:strRef>
          </c:tx>
          <c:spPr>
            <a:solidFill>
              <a:srgbClr val="3E89CE"/>
            </a:solidFill>
            <a:ln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Data!$BO$30:$BZ$30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66</c:v>
                </c:pt>
                <c:pt idx="8">
                  <c:v>37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94-44B6-B8DA-7E6600A18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axId val="820933048"/>
        <c:axId val="820933408"/>
      </c:barChart>
      <c:lineChart>
        <c:grouping val="stacked"/>
        <c:varyColors val="0"/>
        <c:ser>
          <c:idx val="1"/>
          <c:order val="1"/>
          <c:tx>
            <c:strRef>
              <c:f>Data!$BL$106</c:f>
              <c:strCache>
                <c:ptCount val="1"/>
                <c:pt idx="0">
                  <c:v>Difference Between Each Month</c:v>
                </c:pt>
              </c:strCache>
            </c:strRef>
          </c:tx>
          <c:spPr>
            <a:ln w="25400" cap="rnd">
              <a:solidFill>
                <a:srgbClr val="FFD54F"/>
              </a:solidFill>
              <a:round/>
            </a:ln>
            <a:effectLst/>
          </c:spPr>
          <c:marker>
            <c:symbol val="none"/>
          </c:marker>
          <c:dLbls>
            <c:numFmt formatCode="[Red]\▲0;[Blue]\▼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Data!$BO$28:$BZ$28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Data!$BO$109:$BZ$109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66</c:v>
                </c:pt>
                <c:pt idx="8">
                  <c:v>-29</c:v>
                </c:pt>
                <c:pt idx="9">
                  <c:v>-37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94-44B6-B8DA-7E6600A18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870408"/>
        <c:axId val="820870048"/>
      </c:lineChart>
      <c:catAx>
        <c:axId val="820933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933408"/>
        <c:crosses val="autoZero"/>
        <c:auto val="1"/>
        <c:lblAlgn val="ctr"/>
        <c:lblOffset val="100"/>
        <c:noMultiLvlLbl val="0"/>
      </c:catAx>
      <c:valAx>
        <c:axId val="820933408"/>
        <c:scaling>
          <c:orientation val="minMax"/>
          <c:max val="1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933048"/>
        <c:crosses val="autoZero"/>
        <c:crossBetween val="between"/>
        <c:majorUnit val="40"/>
      </c:valAx>
      <c:valAx>
        <c:axId val="820870048"/>
        <c:scaling>
          <c:orientation val="minMax"/>
          <c:max val="100"/>
          <c:min val="-1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870408"/>
        <c:crosses val="max"/>
        <c:crossBetween val="between"/>
      </c:valAx>
      <c:dateAx>
        <c:axId val="820870408"/>
        <c:scaling>
          <c:orientation val="minMax"/>
        </c:scaling>
        <c:delete val="1"/>
        <c:axPos val="t"/>
        <c:numFmt formatCode="mmm" sourceLinked="1"/>
        <c:majorTickMark val="out"/>
        <c:minorTickMark val="none"/>
        <c:tickLblPos val="nextTo"/>
        <c:crossAx val="820870048"/>
        <c:crosses val="max"/>
        <c:auto val="1"/>
        <c:lblOffset val="100"/>
        <c:baseTimeUnit val="months"/>
      </c:date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Data!$AU$7</c:f>
          <c:strCache>
            <c:ptCount val="1"/>
            <c:pt idx="0">
              <c:v>PO pending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Data!$BL$39</c:f>
              <c:strCache>
                <c:ptCount val="1"/>
                <c:pt idx="0">
                  <c:v>PO Pending</c:v>
                </c:pt>
              </c:strCache>
            </c:strRef>
          </c:tx>
          <c:spPr>
            <a:solidFill>
              <a:srgbClr val="79ADDD"/>
            </a:solidFill>
            <a:ln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rgbClr val="84B4E0"/>
              </a:solidFill>
              <a:ln>
                <a:solidFill>
                  <a:schemeClr val="accent5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5F6-46AB-A0A9-F44F7F1F6128}"/>
              </c:ext>
            </c:extLst>
          </c:dPt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Data!$BO$42:$BZ$42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</c:v>
                </c:pt>
                <c:pt idx="6">
                  <c:v>32</c:v>
                </c:pt>
                <c:pt idx="7">
                  <c:v>110</c:v>
                </c:pt>
                <c:pt idx="8">
                  <c:v>76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29-4D7C-A8F1-E7AD5BA89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axId val="705265792"/>
        <c:axId val="705266152"/>
      </c:barChart>
      <c:lineChart>
        <c:grouping val="stacked"/>
        <c:varyColors val="0"/>
        <c:ser>
          <c:idx val="1"/>
          <c:order val="1"/>
          <c:tx>
            <c:strRef>
              <c:f>Data!$BL$121</c:f>
              <c:strCache>
                <c:ptCount val="1"/>
                <c:pt idx="0">
                  <c:v>Difference Between Each Month</c:v>
                </c:pt>
              </c:strCache>
            </c:strRef>
          </c:tx>
          <c:spPr>
            <a:ln w="25400" cap="rnd">
              <a:solidFill>
                <a:srgbClr val="FFD54F"/>
              </a:solidFill>
              <a:round/>
            </a:ln>
            <a:effectLst/>
          </c:spPr>
          <c:marker>
            <c:symbol val="none"/>
          </c:marker>
          <c:dLbls>
            <c:numFmt formatCode="[Red]\▲0;[Blue]\▼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Data!$BO$40:$BZ$40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Data!$BO$124:$BZ$124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13</c:v>
                </c:pt>
                <c:pt idx="6">
                  <c:v>19</c:v>
                </c:pt>
                <c:pt idx="7">
                  <c:v>78</c:v>
                </c:pt>
                <c:pt idx="8">
                  <c:v>-34</c:v>
                </c:pt>
                <c:pt idx="9">
                  <c:v>-76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29-4D7C-A8F1-E7AD5BA89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328848"/>
        <c:axId val="632326328"/>
      </c:lineChart>
      <c:catAx>
        <c:axId val="705265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66152"/>
        <c:crosses val="autoZero"/>
        <c:auto val="1"/>
        <c:lblAlgn val="ctr"/>
        <c:lblOffset val="100"/>
        <c:noMultiLvlLbl val="0"/>
      </c:catAx>
      <c:valAx>
        <c:axId val="705266152"/>
        <c:scaling>
          <c:orientation val="minMax"/>
          <c:max val="1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65792"/>
        <c:crosses val="autoZero"/>
        <c:crossBetween val="between"/>
        <c:majorUnit val="40"/>
      </c:valAx>
      <c:valAx>
        <c:axId val="632326328"/>
        <c:scaling>
          <c:orientation val="minMax"/>
          <c:max val="8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328848"/>
        <c:crosses val="max"/>
        <c:crossBetween val="between"/>
      </c:valAx>
      <c:dateAx>
        <c:axId val="632328848"/>
        <c:scaling>
          <c:orientation val="minMax"/>
        </c:scaling>
        <c:delete val="1"/>
        <c:axPos val="t"/>
        <c:numFmt formatCode="mmm" sourceLinked="1"/>
        <c:majorTickMark val="out"/>
        <c:minorTickMark val="none"/>
        <c:tickLblPos val="nextTo"/>
        <c:crossAx val="632326328"/>
        <c:crosses val="max"/>
        <c:auto val="1"/>
        <c:lblOffset val="100"/>
        <c:baseTimeUnit val="months"/>
      </c:date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Data!$BL$51</c:f>
          <c:strCache>
            <c:ptCount val="1"/>
            <c:pt idx="0">
              <c:v>PR-PO Average Processing Time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72381048"/>
        <c:axId val="738723640"/>
        <c:extLst>
          <c:ext xmlns:c15="http://schemas.microsoft.com/office/drawing/2012/chart" uri="{02D57815-91ED-43cb-92C2-25804820EDAC}">
            <c15:filteredBarSeries>
              <c15:ser>
                <c:idx val="1"/>
                <c:order val="2"/>
                <c:tx>
                  <c:strRef>
                    <c:extLst>
                      <c:ext uri="{02D57815-91ED-43cb-92C2-25804820EDAC}">
                        <c15:formulaRef>
                          <c15:sqref>Data!$BL$138</c15:sqref>
                        </c15:formulaRef>
                      </c:ext>
                    </c:extLst>
                    <c:strCache>
                      <c:ptCount val="1"/>
                      <c:pt idx="0">
                        <c:v>Abnormal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Data!$BO$52:$BZ$52</c15:sqref>
                        </c15:formulaRef>
                      </c:ext>
                    </c:extLst>
                    <c:numCache>
                      <c:formatCode>mmm</c:formatCode>
                      <c:ptCount val="12"/>
                      <c:pt idx="0">
                        <c:v>44197</c:v>
                      </c:pt>
                      <c:pt idx="1">
                        <c:v>44228</c:v>
                      </c:pt>
                      <c:pt idx="2">
                        <c:v>44256</c:v>
                      </c:pt>
                      <c:pt idx="3">
                        <c:v>44287</c:v>
                      </c:pt>
                      <c:pt idx="4">
                        <c:v>44317</c:v>
                      </c:pt>
                      <c:pt idx="5">
                        <c:v>44348</c:v>
                      </c:pt>
                      <c:pt idx="6">
                        <c:v>44378</c:v>
                      </c:pt>
                      <c:pt idx="7">
                        <c:v>44409</c:v>
                      </c:pt>
                      <c:pt idx="8">
                        <c:v>44440</c:v>
                      </c:pt>
                      <c:pt idx="9">
                        <c:v>44470</c:v>
                      </c:pt>
                      <c:pt idx="10">
                        <c:v>44501</c:v>
                      </c:pt>
                      <c:pt idx="11">
                        <c:v>44531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Data!$BO$140:$BZ$140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686E-42C3-A787-1D484829E06F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0"/>
          <c:order val="0"/>
          <c:tx>
            <c:strRef>
              <c:f>Data!$BL$51</c:f>
              <c:strCache>
                <c:ptCount val="1"/>
                <c:pt idx="0">
                  <c:v>PR-PO Average Processing Time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Data!$BO$52:$BZ$52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Data!$BO$54:$BZ$54</c:f>
              <c:numCache>
                <c:formatCode>0.0</c:formatCode>
                <c:ptCount val="12"/>
                <c:pt idx="0">
                  <c:v>0.53125</c:v>
                </c:pt>
                <c:pt idx="1">
                  <c:v>1.375</c:v>
                </c:pt>
                <c:pt idx="2">
                  <c:v>0.78666666666666663</c:v>
                </c:pt>
                <c:pt idx="3">
                  <c:v>1.072289156626506</c:v>
                </c:pt>
                <c:pt idx="4">
                  <c:v>0.69635627530364375</c:v>
                </c:pt>
                <c:pt idx="5">
                  <c:v>0.98791540785498488</c:v>
                </c:pt>
                <c:pt idx="6">
                  <c:v>0.70873786407766992</c:v>
                </c:pt>
                <c:pt idx="7">
                  <c:v>0.84586466165413532</c:v>
                </c:pt>
                <c:pt idx="8">
                  <c:v>0.96103896103896103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6E-42C3-A787-1D484829E06F}"/>
            </c:ext>
          </c:extLst>
        </c:ser>
        <c:ser>
          <c:idx val="2"/>
          <c:order val="1"/>
          <c:tx>
            <c:strRef>
              <c:f>Data!$AU$19</c:f>
              <c:strCache>
                <c:ptCount val="1"/>
                <c:pt idx="0">
                  <c:v>Standard Process Time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Data!$BO$52:$BZ$52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Data!$AV$19:$BG$19</c:f>
              <c:numCache>
                <c:formatCode>0</c:formatCode>
                <c:ptCount val="12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6E-42C3-A787-1D484829E06F}"/>
            </c:ext>
          </c:extLst>
        </c:ser>
        <c:ser>
          <c:idx val="3"/>
          <c:order val="3"/>
          <c:tx>
            <c:strRef>
              <c:f>Data!$BK$143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12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Data!$BO$144:$BZ$144</c:f>
              <c:numCache>
                <c:formatCode>0.0</c:formatCode>
                <c:ptCount val="12"/>
                <c:pt idx="0">
                  <c:v>#N/A</c:v>
                </c:pt>
                <c:pt idx="1">
                  <c:v>1.375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6E-42C3-A787-1D484829E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9862432"/>
        <c:axId val="819861352"/>
      </c:lineChart>
      <c:dateAx>
        <c:axId val="819862432"/>
        <c:scaling>
          <c:orientation val="minMax"/>
        </c:scaling>
        <c:delete val="0"/>
        <c:axPos val="b"/>
        <c:numFmt formatCode="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861352"/>
        <c:crosses val="autoZero"/>
        <c:auto val="1"/>
        <c:lblOffset val="100"/>
        <c:baseTimeUnit val="months"/>
      </c:dateAx>
      <c:valAx>
        <c:axId val="819861352"/>
        <c:scaling>
          <c:orientation val="minMax"/>
          <c:max val="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862432"/>
        <c:crosses val="autoZero"/>
        <c:crossBetween val="between"/>
        <c:majorUnit val="3"/>
      </c:valAx>
      <c:valAx>
        <c:axId val="73872364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381048"/>
        <c:crosses val="max"/>
        <c:crossBetween val="between"/>
      </c:valAx>
      <c:catAx>
        <c:axId val="772381048"/>
        <c:scaling>
          <c:orientation val="minMax"/>
        </c:scaling>
        <c:delete val="1"/>
        <c:axPos val="b"/>
        <c:numFmt formatCode="mmm" sourceLinked="1"/>
        <c:majorTickMark val="out"/>
        <c:minorTickMark val="none"/>
        <c:tickLblPos val="nextTo"/>
        <c:crossAx val="73872364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 sz="1400"/>
            </a:pPr>
            <a:r>
              <a:rPr lang="en-US" sz="1400"/>
              <a:t>Total PR &amp; Total PO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strRef>
              <c:f>Data!$BM$95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Data!$BO$95:$BZ$95</c:f>
              <c:numCache>
                <c:formatCode>General</c:formatCode>
                <c:ptCount val="12"/>
                <c:pt idx="0">
                  <c:v>30</c:v>
                </c:pt>
                <c:pt idx="1">
                  <c:v>13</c:v>
                </c:pt>
                <c:pt idx="2">
                  <c:v>14</c:v>
                </c:pt>
                <c:pt idx="3">
                  <c:v>15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26-4E90-9707-9C876EEA1029}"/>
            </c:ext>
          </c:extLst>
        </c:ser>
        <c:ser>
          <c:idx val="3"/>
          <c:order val="3"/>
          <c:tx>
            <c:strRef>
              <c:f>Data!$BL$90</c:f>
              <c:strCache>
                <c:ptCount val="1"/>
                <c:pt idx="0">
                  <c:v>Gap PR-PO</c:v>
                </c:pt>
              </c:strCache>
            </c:strRef>
          </c:tx>
          <c:spPr>
            <a:solidFill>
              <a:srgbClr val="FFD1D1"/>
            </a:solidFill>
            <a:ln>
              <a:solidFill>
                <a:schemeClr val="bg1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 lIns="228600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Data!$BO$96:$BZ$96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</c:v>
                </c:pt>
                <c:pt idx="5">
                  <c:v>82</c:v>
                </c:pt>
                <c:pt idx="6">
                  <c:v>238</c:v>
                </c:pt>
                <c:pt idx="7">
                  <c:v>270</c:v>
                </c:pt>
                <c:pt idx="8">
                  <c:v>121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26-4E90-9707-9C876EEA1029}"/>
            </c:ext>
          </c:extLst>
        </c:ser>
        <c:ser>
          <c:idx val="4"/>
          <c:order val="4"/>
          <c:tx>
            <c:v>Gap PO-PR</c:v>
          </c:tx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bg1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 lIns="91440" rIns="320040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Data!$BO$97:$BZ$97</c:f>
              <c:numCache>
                <c:formatCode>General</c:formatCode>
                <c:ptCount val="12"/>
                <c:pt idx="0">
                  <c:v>144</c:v>
                </c:pt>
                <c:pt idx="1">
                  <c:v>26</c:v>
                </c:pt>
                <c:pt idx="2">
                  <c:v>18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26-4E90-9707-9C876EEA1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3"/>
        <c:overlap val="100"/>
        <c:axId val="1137508792"/>
        <c:axId val="1137512032"/>
      </c:barChart>
      <c:barChart>
        <c:barDir val="col"/>
        <c:grouping val="clustered"/>
        <c:varyColors val="0"/>
        <c:ser>
          <c:idx val="0"/>
          <c:order val="0"/>
          <c:tx>
            <c:strRef>
              <c:f>Data!$BL$3</c:f>
              <c:strCache>
                <c:ptCount val="1"/>
                <c:pt idx="0">
                  <c:v>Total PR</c:v>
                </c:pt>
              </c:strCache>
            </c:strRef>
          </c:tx>
          <c:spPr>
            <a:solidFill>
              <a:srgbClr val="EC7728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Data!$BO$7:$BZ$7</c:f>
              <c:numCache>
                <c:formatCode>General</c:formatCode>
                <c:ptCount val="12"/>
                <c:pt idx="0">
                  <c:v>30</c:v>
                </c:pt>
                <c:pt idx="1">
                  <c:v>13</c:v>
                </c:pt>
                <c:pt idx="2">
                  <c:v>14</c:v>
                </c:pt>
                <c:pt idx="3">
                  <c:v>15</c:v>
                </c:pt>
                <c:pt idx="4">
                  <c:v>12</c:v>
                </c:pt>
                <c:pt idx="5">
                  <c:v>83</c:v>
                </c:pt>
                <c:pt idx="6">
                  <c:v>238</c:v>
                </c:pt>
                <c:pt idx="7">
                  <c:v>270</c:v>
                </c:pt>
                <c:pt idx="8">
                  <c:v>121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26-4E90-9707-9C876EEA1029}"/>
            </c:ext>
          </c:extLst>
        </c:ser>
        <c:ser>
          <c:idx val="1"/>
          <c:order val="1"/>
          <c:tx>
            <c:strRef>
              <c:f>Data!$BL$15</c:f>
              <c:strCache>
                <c:ptCount val="1"/>
                <c:pt idx="0">
                  <c:v>Total PO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Data!$BO$19:$BZ$19</c:f>
              <c:numCache>
                <c:formatCode>General</c:formatCode>
                <c:ptCount val="12"/>
                <c:pt idx="0">
                  <c:v>174</c:v>
                </c:pt>
                <c:pt idx="1">
                  <c:v>39</c:v>
                </c:pt>
                <c:pt idx="2">
                  <c:v>32</c:v>
                </c:pt>
                <c:pt idx="3">
                  <c:v>16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26-4E90-9707-9C876EEA1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718054960"/>
        <c:axId val="718053520"/>
      </c:barChart>
      <c:dateAx>
        <c:axId val="1137508792"/>
        <c:scaling>
          <c:orientation val="minMax"/>
        </c:scaling>
        <c:delete val="0"/>
        <c:axPos val="b"/>
        <c:numFmt formatCode="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137512032"/>
        <c:crosses val="autoZero"/>
        <c:auto val="1"/>
        <c:lblOffset val="100"/>
        <c:baseTimeUnit val="months"/>
      </c:dateAx>
      <c:valAx>
        <c:axId val="1137512032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137508792"/>
        <c:crosses val="autoZero"/>
        <c:crossBetween val="between"/>
        <c:majorUnit val="100"/>
      </c:valAx>
      <c:valAx>
        <c:axId val="718053520"/>
        <c:scaling>
          <c:orientation val="minMax"/>
          <c:max val="400"/>
        </c:scaling>
        <c:delete val="1"/>
        <c:axPos val="r"/>
        <c:numFmt formatCode="General" sourceLinked="1"/>
        <c:majorTickMark val="out"/>
        <c:minorTickMark val="none"/>
        <c:tickLblPos val="nextTo"/>
        <c:crossAx val="718054960"/>
        <c:crosses val="max"/>
        <c:crossBetween val="between"/>
        <c:majorUnit val="100"/>
      </c:valAx>
      <c:dateAx>
        <c:axId val="718054960"/>
        <c:scaling>
          <c:orientation val="minMax"/>
        </c:scaling>
        <c:delete val="1"/>
        <c:axPos val="t"/>
        <c:numFmt formatCode="mmm" sourceLinked="1"/>
        <c:majorTickMark val="out"/>
        <c:minorTickMark val="none"/>
        <c:tickLblPos val="nextTo"/>
        <c:crossAx val="718053520"/>
        <c:crosses val="max"/>
        <c:auto val="1"/>
        <c:lblOffset val="100"/>
        <c:baseTimeUnit val="months"/>
        <c:majorUnit val="1"/>
        <c:minorUnit val="1"/>
      </c:dateAx>
      <c:dTable>
        <c:showHorzBorder val="1"/>
        <c:showVertBorder val="1"/>
        <c:showOutline val="1"/>
        <c:showKeys val="1"/>
      </c:dTable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PR Urgent &amp; PR Urgent Complete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v>base PR Urgent com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Data!$BO$64:$BZ$64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Data!$BO$79:$BZ$79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A8-44A0-AC79-25918E062991}"/>
            </c:ext>
          </c:extLst>
        </c:ser>
        <c:ser>
          <c:idx val="3"/>
          <c:order val="3"/>
          <c:tx>
            <c:strRef>
              <c:f>Data!$BL$148</c:f>
              <c:strCache>
                <c:ptCount val="1"/>
                <c:pt idx="0">
                  <c:v>Gap PR Urgent vs Complete</c:v>
                </c:pt>
              </c:strCache>
            </c:strRef>
          </c:tx>
          <c:spPr>
            <a:solidFill>
              <a:srgbClr val="FFD1D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Data!$BO$64:$BZ$64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Data!$BO$151:$BZ$151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</c:v>
                </c:pt>
                <c:pt idx="7">
                  <c:v>5</c:v>
                </c:pt>
                <c:pt idx="8">
                  <c:v>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A8-44A0-AC79-25918E062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overlap val="-10"/>
        <c:axId val="1137508792"/>
        <c:axId val="1137512032"/>
      </c:barChart>
      <c:barChart>
        <c:barDir val="col"/>
        <c:grouping val="clustered"/>
        <c:varyColors val="0"/>
        <c:ser>
          <c:idx val="0"/>
          <c:order val="0"/>
          <c:tx>
            <c:strRef>
              <c:f>Data!$BL$63</c:f>
              <c:strCache>
                <c:ptCount val="1"/>
                <c:pt idx="0">
                  <c:v>PR Urgent</c:v>
                </c:pt>
              </c:strCache>
            </c:strRef>
          </c:tx>
          <c:spPr>
            <a:solidFill>
              <a:srgbClr val="EC7728"/>
            </a:solidFill>
            <a:ln>
              <a:noFill/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Data!$BO$67:$BZ$67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A8-44A0-AC79-25918E062991}"/>
            </c:ext>
          </c:extLst>
        </c:ser>
        <c:ser>
          <c:idx val="1"/>
          <c:order val="1"/>
          <c:tx>
            <c:strRef>
              <c:f>Data!$BL$75</c:f>
              <c:strCache>
                <c:ptCount val="1"/>
                <c:pt idx="0">
                  <c:v>PR Urgent Complete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Data!$BO$4:$BZ$4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Data!$BO$79:$BZ$79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A8-44A0-AC79-25918E062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376325304"/>
        <c:axId val="376324944"/>
      </c:barChart>
      <c:dateAx>
        <c:axId val="1137508792"/>
        <c:scaling>
          <c:orientation val="minMax"/>
        </c:scaling>
        <c:delete val="0"/>
        <c:axPos val="b"/>
        <c:numFmt formatCode="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512032"/>
        <c:crosses val="autoZero"/>
        <c:auto val="1"/>
        <c:lblOffset val="100"/>
        <c:baseTimeUnit val="months"/>
      </c:dateAx>
      <c:valAx>
        <c:axId val="11375120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508792"/>
        <c:crosses val="autoZero"/>
        <c:crossBetween val="between"/>
        <c:majorUnit val="2"/>
      </c:valAx>
      <c:valAx>
        <c:axId val="376324944"/>
        <c:scaling>
          <c:orientation val="minMax"/>
          <c:max val="10"/>
        </c:scaling>
        <c:delete val="1"/>
        <c:axPos val="r"/>
        <c:numFmt formatCode="General" sourceLinked="1"/>
        <c:majorTickMark val="out"/>
        <c:minorTickMark val="none"/>
        <c:tickLblPos val="nextTo"/>
        <c:crossAx val="376325304"/>
        <c:crosses val="max"/>
        <c:crossBetween val="between"/>
        <c:majorUnit val="10"/>
      </c:valAx>
      <c:dateAx>
        <c:axId val="376325304"/>
        <c:scaling>
          <c:orientation val="minMax"/>
        </c:scaling>
        <c:delete val="1"/>
        <c:axPos val="t"/>
        <c:numFmt formatCode="mmm" sourceLinked="1"/>
        <c:majorTickMark val="out"/>
        <c:minorTickMark val="none"/>
        <c:tickLblPos val="nextTo"/>
        <c:crossAx val="376324944"/>
        <c:crosses val="max"/>
        <c:auto val="1"/>
        <c:lblOffset val="100"/>
        <c:baseTimeUnit val="months"/>
      </c:date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Data!$AU$6</c:f>
          <c:strCache>
            <c:ptCount val="1"/>
            <c:pt idx="0">
              <c:v>PR pending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Data!$BL$27</c:f>
              <c:strCache>
                <c:ptCount val="1"/>
                <c:pt idx="0">
                  <c:v>PR Pending</c:v>
                </c:pt>
              </c:strCache>
            </c:strRef>
          </c:tx>
          <c:spPr>
            <a:solidFill>
              <a:srgbClr val="F19E65"/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Data!$BO$31:$BZ$31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79</c:v>
                </c:pt>
                <c:pt idx="6">
                  <c:v>238</c:v>
                </c:pt>
                <c:pt idx="7">
                  <c:v>270</c:v>
                </c:pt>
                <c:pt idx="8">
                  <c:v>121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D-41D5-9A56-FE5BBD42E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axId val="820933048"/>
        <c:axId val="820933408"/>
      </c:barChart>
      <c:lineChart>
        <c:grouping val="stacked"/>
        <c:varyColors val="0"/>
        <c:ser>
          <c:idx val="1"/>
          <c:order val="1"/>
          <c:tx>
            <c:strRef>
              <c:f>Data!$BL$106</c:f>
              <c:strCache>
                <c:ptCount val="1"/>
                <c:pt idx="0">
                  <c:v>Difference Between Each Month</c:v>
                </c:pt>
              </c:strCache>
            </c:strRef>
          </c:tx>
          <c:spPr>
            <a:ln w="25400" cap="rnd">
              <a:solidFill>
                <a:srgbClr val="FFD54F"/>
              </a:solidFill>
              <a:round/>
            </a:ln>
            <a:effectLst/>
          </c:spPr>
          <c:marker>
            <c:symbol val="none"/>
          </c:marker>
          <c:dLbls>
            <c:numFmt formatCode="[Red]\▲0;[Blue]\▼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Data!$BO$28:$BZ$28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Data!$BO$111:$BZ$111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</c:v>
                </c:pt>
                <c:pt idx="4">
                  <c:v>-2</c:v>
                </c:pt>
                <c:pt idx="5">
                  <c:v>79</c:v>
                </c:pt>
                <c:pt idx="6">
                  <c:v>159</c:v>
                </c:pt>
                <c:pt idx="7">
                  <c:v>32</c:v>
                </c:pt>
                <c:pt idx="8">
                  <c:v>-149</c:v>
                </c:pt>
                <c:pt idx="9">
                  <c:v>-121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4D-41D5-9A56-FE5BBD42E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870408"/>
        <c:axId val="820870048"/>
      </c:lineChart>
      <c:catAx>
        <c:axId val="820933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933408"/>
        <c:crosses val="autoZero"/>
        <c:auto val="1"/>
        <c:lblAlgn val="ctr"/>
        <c:lblOffset val="100"/>
        <c:noMultiLvlLbl val="0"/>
      </c:catAx>
      <c:valAx>
        <c:axId val="820933408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933048"/>
        <c:crosses val="autoZero"/>
        <c:crossBetween val="between"/>
        <c:majorUnit val="100"/>
      </c:valAx>
      <c:valAx>
        <c:axId val="820870048"/>
        <c:scaling>
          <c:orientation val="minMax"/>
          <c:max val="180"/>
          <c:min val="-18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870408"/>
        <c:crosses val="max"/>
        <c:crossBetween val="between"/>
      </c:valAx>
      <c:dateAx>
        <c:axId val="820870408"/>
        <c:scaling>
          <c:orientation val="minMax"/>
        </c:scaling>
        <c:delete val="1"/>
        <c:axPos val="t"/>
        <c:numFmt formatCode="mmm" sourceLinked="1"/>
        <c:majorTickMark val="out"/>
        <c:minorTickMark val="none"/>
        <c:tickLblPos val="nextTo"/>
        <c:crossAx val="820870048"/>
        <c:crosses val="max"/>
        <c:auto val="1"/>
        <c:lblOffset val="100"/>
        <c:baseTimeUnit val="months"/>
      </c:date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Data!$AU$7</c:f>
          <c:strCache>
            <c:ptCount val="1"/>
            <c:pt idx="0">
              <c:v>PO pending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Data!$BL$39</c:f>
              <c:strCache>
                <c:ptCount val="1"/>
                <c:pt idx="0">
                  <c:v>PO Pending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rgbClr val="F0975A"/>
              </a:solidFill>
            </a:ln>
            <a:effectLst/>
          </c:spPr>
          <c:invertIfNegative val="0"/>
          <c:cat>
            <c:strRef>
              <c:f>Data!$AV$3:$BG$3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Data!$BO$43:$BZ$43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94-4B7D-8666-8D9FAA58E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axId val="705265792"/>
        <c:axId val="705266152"/>
      </c:barChart>
      <c:lineChart>
        <c:grouping val="stacked"/>
        <c:varyColors val="0"/>
        <c:ser>
          <c:idx val="1"/>
          <c:order val="1"/>
          <c:tx>
            <c:strRef>
              <c:f>Data!$BL$121</c:f>
              <c:strCache>
                <c:ptCount val="1"/>
                <c:pt idx="0">
                  <c:v>Difference Between Each Month</c:v>
                </c:pt>
              </c:strCache>
            </c:strRef>
          </c:tx>
          <c:spPr>
            <a:ln w="25400" cap="rnd">
              <a:solidFill>
                <a:srgbClr val="FFD54F"/>
              </a:solidFill>
              <a:round/>
            </a:ln>
            <a:effectLst/>
          </c:spPr>
          <c:marker>
            <c:symbol val="none"/>
          </c:marker>
          <c:dLbls>
            <c:numFmt formatCode="[Red]\▲0;[Blue]\▼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Data!$BO$40:$BZ$40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Data!$BO$126:$BZ$126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</c:v>
                </c:pt>
                <c:pt idx="5">
                  <c:v>-1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94-4B7D-8666-8D9FAA58E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328848"/>
        <c:axId val="632326328"/>
      </c:lineChart>
      <c:catAx>
        <c:axId val="705265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66152"/>
        <c:crosses val="autoZero"/>
        <c:auto val="1"/>
        <c:lblAlgn val="ctr"/>
        <c:lblOffset val="100"/>
        <c:noMultiLvlLbl val="0"/>
      </c:catAx>
      <c:valAx>
        <c:axId val="705266152"/>
        <c:scaling>
          <c:orientation val="minMax"/>
          <c:max val="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65792"/>
        <c:crosses val="autoZero"/>
        <c:crossBetween val="between"/>
        <c:majorUnit val="1"/>
      </c:valAx>
      <c:valAx>
        <c:axId val="632326328"/>
        <c:scaling>
          <c:orientation val="minMax"/>
          <c:max val="1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328848"/>
        <c:crosses val="max"/>
        <c:crossBetween val="between"/>
      </c:valAx>
      <c:dateAx>
        <c:axId val="632328848"/>
        <c:scaling>
          <c:orientation val="minMax"/>
        </c:scaling>
        <c:delete val="1"/>
        <c:axPos val="t"/>
        <c:numFmt formatCode="mmm" sourceLinked="1"/>
        <c:majorTickMark val="out"/>
        <c:minorTickMark val="none"/>
        <c:tickLblPos val="nextTo"/>
        <c:crossAx val="632326328"/>
        <c:crosses val="max"/>
        <c:auto val="1"/>
        <c:lblOffset val="100"/>
        <c:baseTimeUnit val="months"/>
      </c:date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Data!$BL$51</c:f>
          <c:strCache>
            <c:ptCount val="1"/>
            <c:pt idx="0">
              <c:v>PR-PO Average Processing Time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1"/>
          <c:order val="2"/>
          <c:tx>
            <c:strRef>
              <c:f>Data!$BL$138</c:f>
              <c:strCache>
                <c:ptCount val="1"/>
                <c:pt idx="0">
                  <c:v>Abnormal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Data!$BO$52:$BZ$52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  <c:extLst xmlns:c15="http://schemas.microsoft.com/office/drawing/2012/chart"/>
            </c:numRef>
          </c:cat>
          <c:val>
            <c:numRef>
              <c:f>Data!$BO$141:$BZ$141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24-4F4C-BD7C-E84FAAE32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72381048"/>
        <c:axId val="738723640"/>
        <c:extLst/>
      </c:barChart>
      <c:lineChart>
        <c:grouping val="standard"/>
        <c:varyColors val="0"/>
        <c:ser>
          <c:idx val="0"/>
          <c:order val="0"/>
          <c:tx>
            <c:strRef>
              <c:f>Data!$BL$51</c:f>
              <c:strCache>
                <c:ptCount val="1"/>
                <c:pt idx="0">
                  <c:v>PR-PO Average Processing Time</c:v>
                </c:pt>
              </c:strCache>
            </c:strRef>
          </c:tx>
          <c:spPr>
            <a:ln w="28575" cap="rnd">
              <a:solidFill>
                <a:srgbClr val="F09252"/>
              </a:solidFill>
              <a:round/>
            </a:ln>
            <a:effectLst/>
          </c:spPr>
          <c:marker>
            <c:symbol val="none"/>
          </c:marker>
          <c:cat>
            <c:numRef>
              <c:f>Data!$BO$52:$BZ$52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Data!$BO$55:$BZ$55</c:f>
              <c:numCache>
                <c:formatCode>0.0</c:formatCode>
                <c:ptCount val="12"/>
                <c:pt idx="0">
                  <c:v>0.71597633136094674</c:v>
                </c:pt>
                <c:pt idx="1">
                  <c:v>0.7567567567567568</c:v>
                </c:pt>
                <c:pt idx="2">
                  <c:v>1.868421052631579</c:v>
                </c:pt>
                <c:pt idx="3">
                  <c:v>0.8125</c:v>
                </c:pt>
                <c:pt idx="4">
                  <c:v>11.333333333333334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24-4F4C-BD7C-E84FAAE32D50}"/>
            </c:ext>
          </c:extLst>
        </c:ser>
        <c:ser>
          <c:idx val="2"/>
          <c:order val="1"/>
          <c:tx>
            <c:strRef>
              <c:f>Data!$AU$19</c:f>
              <c:strCache>
                <c:ptCount val="1"/>
                <c:pt idx="0">
                  <c:v>Standard Process Time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Data!$BO$52:$BZ$52</c:f>
              <c:numCache>
                <c:formatCode>mmm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</c:numCache>
            </c:numRef>
          </c:cat>
          <c:val>
            <c:numRef>
              <c:f>Data!$AV$19:$BG$19</c:f>
              <c:numCache>
                <c:formatCode>0</c:formatCode>
                <c:ptCount val="12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24-4F4C-BD7C-E84FAAE32D50}"/>
            </c:ext>
          </c:extLst>
        </c:ser>
        <c:ser>
          <c:idx val="3"/>
          <c:order val="3"/>
          <c:tx>
            <c:strRef>
              <c:f>Data!$BK$143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12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Data!$BO$145:$BZ$145</c:f>
              <c:numCache>
                <c:formatCode>0.0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11.333333333333334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24-4F4C-BD7C-E84FAAE32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9862432"/>
        <c:axId val="819861352"/>
      </c:lineChart>
      <c:dateAx>
        <c:axId val="819862432"/>
        <c:scaling>
          <c:orientation val="minMax"/>
        </c:scaling>
        <c:delete val="0"/>
        <c:axPos val="b"/>
        <c:numFmt formatCode="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861352"/>
        <c:crosses val="autoZero"/>
        <c:auto val="1"/>
        <c:lblOffset val="100"/>
        <c:baseTimeUnit val="months"/>
      </c:dateAx>
      <c:valAx>
        <c:axId val="819861352"/>
        <c:scaling>
          <c:orientation val="minMax"/>
          <c:max val="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862432"/>
        <c:crosses val="autoZero"/>
        <c:crossBetween val="between"/>
        <c:majorUnit val="4"/>
      </c:valAx>
      <c:valAx>
        <c:axId val="73872364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381048"/>
        <c:crosses val="max"/>
        <c:crossBetween val="between"/>
      </c:valAx>
      <c:dateAx>
        <c:axId val="772381048"/>
        <c:scaling>
          <c:orientation val="minMax"/>
        </c:scaling>
        <c:delete val="1"/>
        <c:axPos val="b"/>
        <c:numFmt formatCode="mmm" sourceLinked="1"/>
        <c:majorTickMark val="out"/>
        <c:minorTickMark val="none"/>
        <c:tickLblPos val="nextTo"/>
        <c:crossAx val="738723640"/>
        <c:crosses val="autoZero"/>
        <c:auto val="1"/>
        <c:lblOffset val="100"/>
        <c:baseTimeUnit val="months"/>
      </c:date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accent6"/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3" Type="http://schemas.openxmlformats.org/officeDocument/2006/relationships/chart" Target="../charts/chart12.xml"/><Relationship Id="rId7" Type="http://schemas.openxmlformats.org/officeDocument/2006/relationships/chart" Target="../charts/chart14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3.xml"/><Relationship Id="rId11" Type="http://schemas.openxmlformats.org/officeDocument/2006/relationships/chart" Target="../charts/chart18.xml"/><Relationship Id="rId5" Type="http://schemas.openxmlformats.org/officeDocument/2006/relationships/hyperlink" Target="#'H&#432;&#7899;ng d&#7851;n'!A1"/><Relationship Id="rId10" Type="http://schemas.openxmlformats.org/officeDocument/2006/relationships/chart" Target="../charts/chart17.xml"/><Relationship Id="rId4" Type="http://schemas.openxmlformats.org/officeDocument/2006/relationships/hyperlink" Target="#'Nh&#226;n vi&#234;n mua h&#224;ng'!A1"/><Relationship Id="rId9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NV_1!A1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12" Type="http://schemas.openxmlformats.org/officeDocument/2006/relationships/hyperlink" Target="#'H&#432;&#7899;ng d&#7851;n'!A1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11" Type="http://schemas.openxmlformats.org/officeDocument/2006/relationships/hyperlink" Target="#NV_3!A1"/><Relationship Id="rId5" Type="http://schemas.openxmlformats.org/officeDocument/2006/relationships/chart" Target="../charts/chart23.xml"/><Relationship Id="rId10" Type="http://schemas.openxmlformats.org/officeDocument/2006/relationships/hyperlink" Target="#NV_2!A1"/><Relationship Id="rId4" Type="http://schemas.openxmlformats.org/officeDocument/2006/relationships/chart" Target="../charts/chart22.xml"/><Relationship Id="rId9" Type="http://schemas.openxmlformats.org/officeDocument/2006/relationships/hyperlink" Target="#'Ph&#242;ng mua h&#224;ng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hyperlink" Target="#'Nh&#226;n vi&#234;n mua h&#224;ng'!A1"/><Relationship Id="rId1" Type="http://schemas.openxmlformats.org/officeDocument/2006/relationships/chart" Target="../charts/chart26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hyperlink" Target="#'Nh&#226;n vi&#234;n mua h&#224;ng'!A1"/><Relationship Id="rId1" Type="http://schemas.openxmlformats.org/officeDocument/2006/relationships/chart" Target="../charts/chart31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hyperlink" Target="#'Nh&#226;n vi&#234;n mua h&#224;ng'!A1"/><Relationship Id="rId1" Type="http://schemas.openxmlformats.org/officeDocument/2006/relationships/chart" Target="../charts/chart36.xml"/><Relationship Id="rId6" Type="http://schemas.openxmlformats.org/officeDocument/2006/relationships/chart" Target="../charts/chart40.xml"/><Relationship Id="rId5" Type="http://schemas.openxmlformats.org/officeDocument/2006/relationships/chart" Target="../charts/chart39.xml"/><Relationship Id="rId4" Type="http://schemas.openxmlformats.org/officeDocument/2006/relationships/chart" Target="../charts/chart3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hyperlink" Target="#'Ph&#242;ng mua h&#224;ng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'Ph&#242;ng mua h&#224;ng'!A1"/><Relationship Id="rId1" Type="http://schemas.openxmlformats.org/officeDocument/2006/relationships/chart" Target="../charts/chart42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hyperlink" Target="#'Ph&#242;ng mua h&#224;ng'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4.xml"/><Relationship Id="rId1" Type="http://schemas.openxmlformats.org/officeDocument/2006/relationships/hyperlink" Target="#'Ph&#242;ng mua h&#224;ng'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hyperlink" Target="#'Ph&#242;ng mua h&#224;ng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'Nh&#226;n vi&#234;n mua h&#224;ng'!A1"/><Relationship Id="rId1" Type="http://schemas.openxmlformats.org/officeDocument/2006/relationships/chart" Target="../charts/chart46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'Nh&#226;n vi&#234;n mua h&#224;ng'!A1"/><Relationship Id="rId1" Type="http://schemas.openxmlformats.org/officeDocument/2006/relationships/chart" Target="../charts/chart47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8.xml"/><Relationship Id="rId1" Type="http://schemas.openxmlformats.org/officeDocument/2006/relationships/hyperlink" Target="#'Nh&#226;n vi&#234;n mua h&#224;ng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'Nh&#226;n vi&#234;n mua h&#224;ng'!A1"/><Relationship Id="rId1" Type="http://schemas.openxmlformats.org/officeDocument/2006/relationships/chart" Target="../charts/chart49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'Nh&#226;n vi&#234;n mua h&#224;ng'!A1"/><Relationship Id="rId1" Type="http://schemas.openxmlformats.org/officeDocument/2006/relationships/chart" Target="../charts/chart5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hyperlink" Target="#'Nh&#226;n vi&#234;n mua h&#224;ng'!A1"/><Relationship Id="rId1" Type="http://schemas.openxmlformats.org/officeDocument/2006/relationships/chart" Target="../charts/chart5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hyperlink" Target="#'Nh&#226;n vi&#234;n mua h&#224;ng'!A1"/><Relationship Id="rId1" Type="http://schemas.openxmlformats.org/officeDocument/2006/relationships/chart" Target="../charts/chart52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3.xml"/><Relationship Id="rId1" Type="http://schemas.openxmlformats.org/officeDocument/2006/relationships/hyperlink" Target="#NV_1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hyperlink" Target="#NV_1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hyperlink" Target="#NV_1!A1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hyperlink" Target="#NV_1!A1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hyperlink" Target="#NV_1!A1"/><Relationship Id="rId1" Type="http://schemas.openxmlformats.org/officeDocument/2006/relationships/chart" Target="../charts/chart5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hyperlink" Target="#NV_2!A1"/><Relationship Id="rId1" Type="http://schemas.openxmlformats.org/officeDocument/2006/relationships/chart" Target="../charts/chart5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9.xml"/><Relationship Id="rId1" Type="http://schemas.openxmlformats.org/officeDocument/2006/relationships/hyperlink" Target="#NV_2!A1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hyperlink" Target="#NV_2!A1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hyperlink" Target="#NV_2!A1"/><Relationship Id="rId1" Type="http://schemas.openxmlformats.org/officeDocument/2006/relationships/chart" Target="../charts/chart61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hyperlink" Target="#NV_2!A1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3.xml"/><Relationship Id="rId1" Type="http://schemas.openxmlformats.org/officeDocument/2006/relationships/hyperlink" Target="#NV_3!A1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4.xml"/><Relationship Id="rId1" Type="http://schemas.openxmlformats.org/officeDocument/2006/relationships/hyperlink" Target="#NV_3!A1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hyperlink" Target="#NV_3!A1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6.xml"/><Relationship Id="rId1" Type="http://schemas.openxmlformats.org/officeDocument/2006/relationships/hyperlink" Target="#NV_3!A1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7.xml"/><Relationship Id="rId1" Type="http://schemas.openxmlformats.org/officeDocument/2006/relationships/hyperlink" Target="#NV_3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581959</xdr:colOff>
      <xdr:row>2</xdr:row>
      <xdr:rowOff>37353</xdr:rowOff>
    </xdr:from>
    <xdr:to>
      <xdr:col>24</xdr:col>
      <xdr:colOff>323477</xdr:colOff>
      <xdr:row>23</xdr:row>
      <xdr:rowOff>21291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DD3C54-AA9D-4FFE-878F-AEFEB330D8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261471</xdr:colOff>
      <xdr:row>2</xdr:row>
      <xdr:rowOff>224118</xdr:rowOff>
    </xdr:from>
    <xdr:to>
      <xdr:col>45</xdr:col>
      <xdr:colOff>358289</xdr:colOff>
      <xdr:row>18</xdr:row>
      <xdr:rowOff>131109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E1152ED-4FA5-4A03-903C-B79CE1ECB3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64</xdr:col>
      <xdr:colOff>12513</xdr:colOff>
      <xdr:row>2</xdr:row>
      <xdr:rowOff>239993</xdr:rowOff>
    </xdr:from>
    <xdr:to>
      <xdr:col>69</xdr:col>
      <xdr:colOff>233090</xdr:colOff>
      <xdr:row>13</xdr:row>
      <xdr:rowOff>112773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B7F6FE3-ADC7-4E71-AF46-0A30896DCF55}"/>
            </a:ext>
            <a:ext uri="{147F2762-F138-4A5C-976F-8EAC2B608ADB}">
              <a16:predDERef xmlns:a16="http://schemas.microsoft.com/office/drawing/2014/main" pred="{DE1152ED-4FA5-4A03-903C-B79CE1ECB3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69</xdr:col>
      <xdr:colOff>566457</xdr:colOff>
      <xdr:row>1</xdr:row>
      <xdr:rowOff>90394</xdr:rowOff>
    </xdr:from>
    <xdr:to>
      <xdr:col>80</xdr:col>
      <xdr:colOff>391754</xdr:colOff>
      <xdr:row>19</xdr:row>
      <xdr:rowOff>148318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99B0F66-4952-4E1B-8F36-F6EFB6BC44E5}"/>
            </a:ext>
            <a:ext uri="{147F2762-F138-4A5C-976F-8EAC2B608ADB}">
              <a16:predDERef xmlns:a16="http://schemas.microsoft.com/office/drawing/2014/main" pred="{6B7F6FE3-ADC7-4E71-AF46-0A30896DCF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343647</xdr:colOff>
      <xdr:row>3</xdr:row>
      <xdr:rowOff>179295</xdr:rowOff>
    </xdr:from>
    <xdr:to>
      <xdr:col>34</xdr:col>
      <xdr:colOff>409558</xdr:colOff>
      <xdr:row>19</xdr:row>
      <xdr:rowOff>162689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ABA8E18-ADD4-4998-95D8-2477ADE44CDE}"/>
            </a:ext>
            <a:ext uri="{147F2762-F138-4A5C-976F-8EAC2B608ADB}">
              <a16:predDERef xmlns:a16="http://schemas.microsoft.com/office/drawing/2014/main" pred="{C99B0F66-4952-4E1B-8F36-F6EFB6BC44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0.80926</cdr:x>
      <cdr:y>0.34056</cdr:y>
    </cdr:from>
    <cdr:to>
      <cdr:x>0.96778</cdr:x>
      <cdr:y>0.5231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3D5DD59-7C10-4C88-8DEC-AA43EE2B61B6}"/>
            </a:ext>
          </a:extLst>
        </cdr:cNvPr>
        <cdr:cNvSpPr txBox="1"/>
      </cdr:nvSpPr>
      <cdr:spPr>
        <a:xfrm xmlns:a="http://schemas.openxmlformats.org/drawingml/2006/main">
          <a:off x="4976430" y="1039320"/>
          <a:ext cx="974790" cy="55707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Tổng</a:t>
          </a:r>
          <a:r>
            <a:rPr lang="en-US" sz="1100" b="1" baseline="0">
              <a:solidFill>
                <a:schemeClr val="accent2">
                  <a:lumMod val="75000"/>
                </a:schemeClr>
              </a:solidFill>
            </a:rPr>
            <a:t> PR 2022 (dự báo)</a:t>
          </a:r>
          <a:endParaRPr lang="en-US" sz="1100" b="1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0.80678</cdr:x>
      <cdr:y>0.51784</cdr:y>
    </cdr:from>
    <cdr:to>
      <cdr:x>0.9653</cdr:x>
      <cdr:y>0.62895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13C27C74-9A7E-424F-87F3-CB737FA11079}"/>
            </a:ext>
          </a:extLst>
        </cdr:cNvPr>
        <cdr:cNvSpPr txBox="1"/>
      </cdr:nvSpPr>
      <cdr:spPr>
        <a:xfrm xmlns:a="http://schemas.openxmlformats.org/drawingml/2006/main">
          <a:off x="4961190" y="1580340"/>
          <a:ext cx="974790" cy="3390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>
              <a:solidFill>
                <a:schemeClr val="bg1">
                  <a:lumMod val="65000"/>
                </a:schemeClr>
              </a:solidFill>
            </a:rPr>
            <a:t>Tổng</a:t>
          </a:r>
          <a:r>
            <a:rPr lang="en-US" sz="1100" b="1" baseline="0">
              <a:solidFill>
                <a:schemeClr val="bg1">
                  <a:lumMod val="65000"/>
                </a:schemeClr>
              </a:solidFill>
            </a:rPr>
            <a:t> PR 2021</a:t>
          </a:r>
          <a:endParaRPr lang="en-US" sz="1100" b="1">
            <a:solidFill>
              <a:schemeClr val="bg1">
                <a:lumMod val="6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0.79955</cdr:x>
      <cdr:y>0.18634</cdr:y>
    </cdr:from>
    <cdr:to>
      <cdr:x>0.95807</cdr:x>
      <cdr:y>0.36888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9989948B-D573-4CC4-B3D3-DF74299D16FD}"/>
            </a:ext>
          </a:extLst>
        </cdr:cNvPr>
        <cdr:cNvSpPr txBox="1"/>
      </cdr:nvSpPr>
      <cdr:spPr>
        <a:xfrm xmlns:a="http://schemas.openxmlformats.org/drawingml/2006/main">
          <a:off x="4912222" y="576462"/>
          <a:ext cx="973901" cy="564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 b="1">
              <a:solidFill>
                <a:schemeClr val="accent2"/>
              </a:solidFill>
            </a:rPr>
            <a:t>Tổng</a:t>
          </a:r>
          <a:r>
            <a:rPr lang="en-US" sz="1100" b="1" baseline="0">
              <a:solidFill>
                <a:schemeClr val="accent2"/>
              </a:solidFill>
            </a:rPr>
            <a:t> PR 2023 (dự báo)</a:t>
          </a:r>
          <a:endParaRPr lang="en-US" sz="1100" b="1">
            <a:solidFill>
              <a:schemeClr val="accent2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0.43017</cdr:x>
      <cdr:y>0.14748</cdr:y>
    </cdr:from>
    <cdr:to>
      <cdr:x>0.80046</cdr:x>
      <cdr:y>0.33575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B8CD670-65C4-42D1-B405-205013B59787}"/>
            </a:ext>
          </a:extLst>
        </cdr:cNvPr>
        <cdr:cNvSpPr txBox="1"/>
      </cdr:nvSpPr>
      <cdr:spPr>
        <a:xfrm xmlns:a="http://schemas.openxmlformats.org/drawingml/2006/main">
          <a:off x="2611292" y="575584"/>
          <a:ext cx="2247816" cy="7347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>
              <a:latin typeface="+mn-lt"/>
              <a:cs typeface="Times New Roman" panose="02020603050405020304" pitchFamily="18" charset="0"/>
            </a:rPr>
            <a:t>Từ</a:t>
          </a:r>
          <a:r>
            <a:rPr lang="en-US" sz="1100" baseline="0">
              <a:latin typeface="+mn-lt"/>
              <a:cs typeface="Times New Roman" panose="02020603050405020304" pitchFamily="18" charset="0"/>
            </a:rPr>
            <a:t> </a:t>
          </a:r>
          <a:r>
            <a:rPr lang="en-US" b="1"/>
            <a:t>tháng 5</a:t>
          </a:r>
          <a:r>
            <a:rPr lang="en-US" sz="1100" baseline="0">
              <a:latin typeface="+mn-lt"/>
              <a:cs typeface="Times New Roman" panose="02020603050405020304" pitchFamily="18" charset="0"/>
            </a:rPr>
            <a:t>, </a:t>
          </a:r>
          <a:r>
            <a:rPr lang="en-US" sz="1100" b="1" baseline="0">
              <a:solidFill>
                <a:schemeClr val="bg2">
                  <a:lumMod val="50000"/>
                </a:schemeClr>
              </a:solidFill>
              <a:latin typeface="+mn-lt"/>
              <a:cs typeface="Times New Roman" panose="02020603050405020304" pitchFamily="18" charset="0"/>
            </a:rPr>
            <a:t>tổng số PR </a:t>
          </a:r>
          <a:r>
            <a:rPr lang="en-US" sz="1100" baseline="0">
              <a:latin typeface="+mn-lt"/>
              <a:cs typeface="Times New Roman" panose="02020603050405020304" pitchFamily="18" charset="0"/>
            </a:rPr>
            <a:t>và </a:t>
          </a:r>
          <a:r>
            <a:rPr lang="en-US" sz="1100" b="1" baseline="0">
              <a:solidFill>
                <a:schemeClr val="bg2">
                  <a:lumMod val="75000"/>
                </a:schemeClr>
              </a:solidFill>
              <a:latin typeface="+mn-lt"/>
              <a:cs typeface="Times New Roman" panose="02020603050405020304" pitchFamily="18" charset="0"/>
            </a:rPr>
            <a:t>tổng số PO</a:t>
          </a:r>
        </a:p>
        <a:p xmlns:a="http://schemas.openxmlformats.org/drawingml/2006/main">
          <a:r>
            <a:rPr lang="en-US" sz="1100" baseline="0">
              <a:latin typeface="+mn-lt"/>
              <a:cs typeface="Times New Roman" panose="02020603050405020304" pitchFamily="18" charset="0"/>
            </a:rPr>
            <a:t>của công ty bắt đầu có </a:t>
          </a:r>
          <a:r>
            <a:rPr lang="en-US" sz="1100" b="1" baseline="0">
              <a:solidFill>
                <a:srgbClr val="E5B000"/>
              </a:solidFill>
              <a:latin typeface="+mn-lt"/>
              <a:cs typeface="Times New Roman" panose="02020603050405020304" pitchFamily="18" charset="0"/>
            </a:rPr>
            <a:t>sự chênh lệch</a:t>
          </a:r>
          <a:r>
            <a:rPr lang="en-US" sz="1100" baseline="0">
              <a:solidFill>
                <a:srgbClr val="E5B000"/>
              </a:solidFill>
              <a:latin typeface="+mn-lt"/>
              <a:cs typeface="Times New Roman" panose="02020603050405020304" pitchFamily="18" charset="0"/>
            </a:rPr>
            <a:t> </a:t>
          </a:r>
          <a:r>
            <a:rPr lang="en-US" sz="1100" baseline="0">
              <a:latin typeface="+mn-lt"/>
              <a:cs typeface="Times New Roman" panose="02020603050405020304" pitchFamily="18" charset="0"/>
            </a:rPr>
            <a:t>đáng kể</a:t>
          </a:r>
        </a:p>
        <a:p xmlns:a="http://schemas.openxmlformats.org/drawingml/2006/main">
          <a:r>
            <a:rPr lang="en-US" sz="1100" baseline="0">
              <a:latin typeface="+mn-lt"/>
              <a:cs typeface="Times New Roman" panose="02020603050405020304" pitchFamily="18" charset="0"/>
            </a:rPr>
            <a:t>khi đợt dịch thứ 4 bùng phát</a:t>
          </a:r>
          <a:endParaRPr lang="en-US" sz="1100">
            <a:latin typeface="+mn-lt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0.76621</cdr:x>
      <cdr:y>0.34951</cdr:y>
    </cdr:from>
    <cdr:to>
      <cdr:x>0.99068</cdr:x>
      <cdr:y>0.75825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4B5F82CF-23C3-42FF-8819-8EACAFDFCAEF}"/>
            </a:ext>
          </a:extLst>
        </cdr:cNvPr>
        <cdr:cNvSpPr txBox="1"/>
      </cdr:nvSpPr>
      <cdr:spPr>
        <a:xfrm xmlns:a="http://schemas.openxmlformats.org/drawingml/2006/main">
          <a:off x="4651208" y="1364118"/>
          <a:ext cx="1362626" cy="15952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 baseline="0">
              <a:solidFill>
                <a:schemeClr val="bg2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Tổng số PR </a:t>
          </a:r>
          <a:r>
            <a:rPr lang="en-US" sz="1100" baseline="0">
              <a:effectLst/>
              <a:latin typeface="+mn-lt"/>
              <a:ea typeface="+mn-ea"/>
              <a:cs typeface="+mn-cs"/>
            </a:rPr>
            <a:t>và </a:t>
          </a:r>
        </a:p>
        <a:p xmlns:a="http://schemas.openxmlformats.org/drawingml/2006/main">
          <a:r>
            <a:rPr lang="en-US" sz="1100" b="1" baseline="0">
              <a:solidFill>
                <a:schemeClr val="bg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tổng số PO</a:t>
          </a:r>
          <a:r>
            <a:rPr lang="vi-VN" sz="1100">
              <a:solidFill>
                <a:schemeClr val="bg2">
                  <a:lumMod val="7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vi-VN" sz="1100" b="1">
              <a:latin typeface="Calibri" panose="020F0502020204030204" pitchFamily="34" charset="0"/>
              <a:cs typeface="Calibri" panose="020F0502020204030204" pitchFamily="34" charset="0"/>
            </a:rPr>
            <a:t>tháng 9</a:t>
          </a:r>
          <a:endParaRPr lang="en-US" sz="1100" b="1">
            <a:latin typeface="Calibri" panose="020F0502020204030204" pitchFamily="34" charset="0"/>
            <a:cs typeface="Calibri" panose="020F0502020204030204" pitchFamily="34" charset="0"/>
          </a:endParaRPr>
        </a:p>
        <a:p xmlns:a="http://schemas.openxmlformats.org/drawingml/2006/main">
          <a:r>
            <a:rPr lang="vi-VN" sz="1100" b="1">
              <a:latin typeface="Calibri" panose="020F0502020204030204" pitchFamily="34" charset="0"/>
              <a:cs typeface="Calibri" panose="020F0502020204030204" pitchFamily="34" charset="0"/>
            </a:rPr>
            <a:t>giảm</a:t>
          </a:r>
          <a:r>
            <a:rPr lang="en-US" sz="1100" b="1" baseline="0">
              <a:latin typeface="Calibri" panose="020F0502020204030204" pitchFamily="34" charset="0"/>
              <a:cs typeface="Calibri" panose="020F0502020204030204" pitchFamily="34" charset="0"/>
            </a:rPr>
            <a:t> một</a:t>
          </a:r>
          <a:r>
            <a:rPr lang="vi-VN" sz="1100" b="1">
              <a:latin typeface="Calibri" panose="020F0502020204030204" pitchFamily="34" charset="0"/>
              <a:cs typeface="Calibri" panose="020F0502020204030204" pitchFamily="34" charset="0"/>
            </a:rPr>
            <a:t> nửa</a:t>
          </a:r>
          <a:r>
            <a:rPr lang="en-US" sz="1100">
              <a:latin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vi-VN" sz="1100">
              <a:latin typeface="Calibri" panose="020F0502020204030204" pitchFamily="34" charset="0"/>
              <a:cs typeface="Calibri" panose="020F0502020204030204" pitchFamily="34" charset="0"/>
            </a:rPr>
            <a:t>so</a:t>
          </a:r>
          <a:endParaRPr lang="en-US" sz="1100">
            <a:latin typeface="Calibri" panose="020F0502020204030204" pitchFamily="34" charset="0"/>
            <a:cs typeface="Calibri" panose="020F0502020204030204" pitchFamily="34" charset="0"/>
          </a:endParaRPr>
        </a:p>
        <a:p xmlns:a="http://schemas.openxmlformats.org/drawingml/2006/main">
          <a:r>
            <a:rPr lang="vi-VN" sz="1100">
              <a:latin typeface="Calibri" panose="020F0502020204030204" pitchFamily="34" charset="0"/>
              <a:cs typeface="Calibri" panose="020F0502020204030204" pitchFamily="34" charset="0"/>
            </a:rPr>
            <a:t>với </a:t>
          </a:r>
          <a:r>
            <a:rPr lang="vi-VN" sz="1100" b="1">
              <a:latin typeface="Calibri" panose="020F0502020204030204" pitchFamily="34" charset="0"/>
              <a:cs typeface="Calibri" panose="020F0502020204030204" pitchFamily="34" charset="0"/>
            </a:rPr>
            <a:t>tháng 8</a:t>
          </a:r>
          <a:r>
            <a:rPr lang="en-US" sz="1100">
              <a:latin typeface="Calibri" panose="020F0502020204030204" pitchFamily="34" charset="0"/>
              <a:cs typeface="Calibri" panose="020F0502020204030204" pitchFamily="34" charset="0"/>
            </a:rPr>
            <a:t>, </a:t>
          </a:r>
          <a:r>
            <a:rPr lang="en-US" sz="1100" baseline="0">
              <a:latin typeface="Calibri" panose="020F0502020204030204" pitchFamily="34" charset="0"/>
              <a:cs typeface="Calibri" panose="020F0502020204030204" pitchFamily="34" charset="0"/>
            </a:rPr>
            <a:t>có thể</a:t>
          </a:r>
        </a:p>
        <a:p xmlns:a="http://schemas.openxmlformats.org/drawingml/2006/main">
          <a:r>
            <a:rPr lang="en-US" sz="1100">
              <a:latin typeface="Calibri" panose="020F0502020204030204" pitchFamily="34" charset="0"/>
              <a:cs typeface="Calibri" panose="020F0502020204030204" pitchFamily="34" charset="0"/>
            </a:rPr>
            <a:t>vì</a:t>
          </a:r>
          <a:r>
            <a:rPr lang="vi-VN" sz="1100">
              <a:latin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en-US" sz="1100">
              <a:latin typeface="Calibri" panose="020F0502020204030204" pitchFamily="34" charset="0"/>
              <a:cs typeface="Calibri" panose="020F0502020204030204" pitchFamily="34" charset="0"/>
            </a:rPr>
            <a:t>số</a:t>
          </a:r>
          <a:r>
            <a:rPr lang="en-US" sz="1100" baseline="0">
              <a:latin typeface="Calibri" panose="020F0502020204030204" pitchFamily="34" charset="0"/>
              <a:cs typeface="Calibri" panose="020F0502020204030204" pitchFamily="34" charset="0"/>
            </a:rPr>
            <a:t> đơn tồn đọng</a:t>
          </a:r>
        </a:p>
        <a:p xmlns:a="http://schemas.openxmlformats.org/drawingml/2006/main">
          <a:r>
            <a:rPr lang="en-US" sz="1100" baseline="0">
              <a:latin typeface="Calibri" panose="020F0502020204030204" pitchFamily="34" charset="0"/>
              <a:cs typeface="Calibri" panose="020F0502020204030204" pitchFamily="34" charset="0"/>
            </a:rPr>
            <a:t>còn nhiều nên không</a:t>
          </a:r>
        </a:p>
        <a:p xmlns:a="http://schemas.openxmlformats.org/drawingml/2006/main">
          <a:r>
            <a:rPr lang="vi-VN" sz="1100">
              <a:latin typeface="Calibri" panose="020F0502020204030204" pitchFamily="34" charset="0"/>
              <a:cs typeface="Calibri" panose="020F0502020204030204" pitchFamily="34" charset="0"/>
            </a:rPr>
            <a:t>đặt </a:t>
          </a:r>
          <a:r>
            <a:rPr lang="en-US" sz="1100">
              <a:latin typeface="Calibri" panose="020F0502020204030204" pitchFamily="34" charset="0"/>
              <a:cs typeface="Calibri" panose="020F0502020204030204" pitchFamily="34" charset="0"/>
            </a:rPr>
            <a:t>thêm. Vì thế</a:t>
          </a:r>
          <a:r>
            <a:rPr lang="en-US" sz="1100" baseline="0">
              <a:latin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vi-VN" sz="1100">
              <a:latin typeface="Calibri" panose="020F0502020204030204" pitchFamily="34" charset="0"/>
              <a:cs typeface="Calibri" panose="020F0502020204030204" pitchFamily="34" charset="0"/>
            </a:rPr>
            <a:t>cần</a:t>
          </a:r>
          <a:endParaRPr lang="en-US" sz="1100">
            <a:latin typeface="Calibri" panose="020F0502020204030204" pitchFamily="34" charset="0"/>
            <a:cs typeface="Calibri" panose="020F0502020204030204" pitchFamily="34" charset="0"/>
          </a:endParaRPr>
        </a:p>
        <a:p xmlns:a="http://schemas.openxmlformats.org/drawingml/2006/main">
          <a:r>
            <a:rPr lang="vi-VN" sz="1100">
              <a:latin typeface="Calibri" panose="020F0502020204030204" pitchFamily="34" charset="0"/>
              <a:cs typeface="Calibri" panose="020F0502020204030204" pitchFamily="34" charset="0"/>
            </a:rPr>
            <a:t>tìm nguyên</a:t>
          </a:r>
          <a:r>
            <a:rPr lang="en-US" sz="1100">
              <a:latin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vi-VN" sz="1100">
              <a:latin typeface="Calibri" panose="020F0502020204030204" pitchFamily="34" charset="0"/>
              <a:cs typeface="Calibri" panose="020F0502020204030204" pitchFamily="34" charset="0"/>
            </a:rPr>
            <a:t>nhân và</a:t>
          </a:r>
          <a:endParaRPr lang="en-US" sz="1100">
            <a:latin typeface="Calibri" panose="020F0502020204030204" pitchFamily="34" charset="0"/>
            <a:cs typeface="Calibri" panose="020F0502020204030204" pitchFamily="34" charset="0"/>
          </a:endParaRPr>
        </a:p>
        <a:p xmlns:a="http://schemas.openxmlformats.org/drawingml/2006/main">
          <a:r>
            <a:rPr lang="vi-VN" sz="1100">
              <a:latin typeface="Calibri" panose="020F0502020204030204" pitchFamily="34" charset="0"/>
              <a:cs typeface="Calibri" panose="020F0502020204030204" pitchFamily="34" charset="0"/>
            </a:rPr>
            <a:t>giải quyết</a:t>
          </a:r>
          <a:r>
            <a:rPr lang="en-US" sz="1100">
              <a:latin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vi-VN" sz="1100">
              <a:latin typeface="Calibri" panose="020F0502020204030204" pitchFamily="34" charset="0"/>
              <a:cs typeface="Calibri" panose="020F0502020204030204" pitchFamily="34" charset="0"/>
            </a:rPr>
            <a:t>gấp đơn</a:t>
          </a:r>
          <a:endParaRPr lang="en-US" sz="1100">
            <a:latin typeface="Calibri" panose="020F0502020204030204" pitchFamily="34" charset="0"/>
            <a:cs typeface="Calibri" panose="020F0502020204030204" pitchFamily="34" charset="0"/>
          </a:endParaRPr>
        </a:p>
        <a:p xmlns:a="http://schemas.openxmlformats.org/drawingml/2006/main">
          <a:r>
            <a:rPr lang="vi-VN" sz="1100">
              <a:latin typeface="Calibri" panose="020F0502020204030204" pitchFamily="34" charset="0"/>
              <a:cs typeface="Calibri" panose="020F0502020204030204" pitchFamily="34" charset="0"/>
            </a:rPr>
            <a:t>tồn đọng</a:t>
          </a:r>
          <a:endParaRPr lang="en-US" sz="1100">
            <a:latin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0.72167</cdr:x>
      <cdr:y>0.38982</cdr:y>
    </cdr:from>
    <cdr:to>
      <cdr:x>0.76452</cdr:x>
      <cdr:y>0.61956</cdr:y>
    </cdr:to>
    <cdr:cxnSp macro="">
      <cdr:nvCxnSpPr>
        <cdr:cNvPr id="4" name="Connector: Elbow 3">
          <a:extLst xmlns:a="http://schemas.openxmlformats.org/drawingml/2006/main">
            <a:ext uri="{FF2B5EF4-FFF2-40B4-BE49-F238E27FC236}">
              <a16:creationId xmlns:a16="http://schemas.microsoft.com/office/drawing/2014/main" id="{F7D2968A-6CF4-4ABF-9F96-B05B281C5C9B}"/>
            </a:ext>
          </a:extLst>
        </cdr:cNvPr>
        <cdr:cNvCxnSpPr/>
      </cdr:nvCxnSpPr>
      <cdr:spPr>
        <a:xfrm xmlns:a="http://schemas.openxmlformats.org/drawingml/2006/main" rot="5400000" flipH="1" flipV="1">
          <a:off x="4062567" y="1839679"/>
          <a:ext cx="896670" cy="260127"/>
        </a:xfrm>
        <a:prstGeom xmlns:a="http://schemas.openxmlformats.org/drawingml/2006/main" prst="bentConnector3">
          <a:avLst>
            <a:gd name="adj1" fmla="val 99432"/>
          </a:avLst>
        </a:prstGeom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0.16062</cdr:x>
      <cdr:y>0.32714</cdr:y>
    </cdr:from>
    <cdr:to>
      <cdr:x>0.35438</cdr:x>
      <cdr:y>0.48164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0504122F-27BD-4277-9E8A-A30EA5FDC50E}"/>
            </a:ext>
          </a:extLst>
        </cdr:cNvPr>
        <cdr:cNvSpPr txBox="1"/>
      </cdr:nvSpPr>
      <cdr:spPr>
        <a:xfrm xmlns:a="http://schemas.openxmlformats.org/drawingml/2006/main">
          <a:off x="975009" y="1276789"/>
          <a:ext cx="1176252" cy="6029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latin typeface="Calibri" panose="020F0502020204030204" pitchFamily="34" charset="0"/>
              <a:cs typeface="Calibri" panose="020F0502020204030204" pitchFamily="34" charset="0"/>
            </a:rPr>
            <a:t>Còn</a:t>
          </a:r>
          <a:r>
            <a:rPr lang="en-US" sz="1100" baseline="0">
              <a:latin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en-US" sz="1100" b="1" baseline="0">
              <a:solidFill>
                <a:srgbClr val="FFC000"/>
              </a:solidFill>
              <a:latin typeface="Calibri" panose="020F0502020204030204" pitchFamily="34" charset="0"/>
              <a:cs typeface="Calibri" panose="020F0502020204030204" pitchFamily="34" charset="0"/>
            </a:rPr>
            <a:t>một số đơn</a:t>
          </a:r>
        </a:p>
        <a:p xmlns:a="http://schemas.openxmlformats.org/drawingml/2006/main">
          <a:r>
            <a:rPr lang="en-US" sz="1100" b="1" baseline="0">
              <a:latin typeface="Calibri" panose="020F0502020204030204" pitchFamily="34" charset="0"/>
              <a:cs typeface="Calibri" panose="020F0502020204030204" pitchFamily="34" charset="0"/>
            </a:rPr>
            <a:t>chưa</a:t>
          </a:r>
          <a:r>
            <a:rPr lang="en-US" sz="1100" baseline="0">
              <a:latin typeface="Calibri" panose="020F0502020204030204" pitchFamily="34" charset="0"/>
              <a:cs typeface="Calibri" panose="020F0502020204030204" pitchFamily="34" charset="0"/>
            </a:rPr>
            <a:t> được giải</a:t>
          </a:r>
        </a:p>
        <a:p xmlns:a="http://schemas.openxmlformats.org/drawingml/2006/main">
          <a:r>
            <a:rPr lang="en-US" sz="1100" baseline="0">
              <a:latin typeface="Calibri" panose="020F0502020204030204" pitchFamily="34" charset="0"/>
              <a:cs typeface="Calibri" panose="020F0502020204030204" pitchFamily="34" charset="0"/>
            </a:rPr>
            <a:t>quyết từ </a:t>
          </a:r>
          <a:r>
            <a:rPr lang="en-US" sz="1100" b="1" baseline="0">
              <a:latin typeface="Calibri" panose="020F0502020204030204" pitchFamily="34" charset="0"/>
              <a:cs typeface="Calibri" panose="020F0502020204030204" pitchFamily="34" charset="0"/>
            </a:rPr>
            <a:t>đầu năm</a:t>
          </a:r>
          <a:endParaRPr lang="en-US" sz="1100" b="1">
            <a:latin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0.13844</cdr:x>
      <cdr:y>0.37049</cdr:y>
    </cdr:from>
    <cdr:to>
      <cdr:x>0.16485</cdr:x>
      <cdr:y>0.56379</cdr:y>
    </cdr:to>
    <cdr:cxnSp macro="">
      <cdr:nvCxnSpPr>
        <cdr:cNvPr id="8" name="Connector: Elbow 7">
          <a:extLst xmlns:a="http://schemas.openxmlformats.org/drawingml/2006/main">
            <a:ext uri="{FF2B5EF4-FFF2-40B4-BE49-F238E27FC236}">
              <a16:creationId xmlns:a16="http://schemas.microsoft.com/office/drawing/2014/main" id="{F7D2968A-6CF4-4ABF-9F96-B05B281C5C9B}"/>
            </a:ext>
          </a:extLst>
        </cdr:cNvPr>
        <cdr:cNvCxnSpPr/>
      </cdr:nvCxnSpPr>
      <cdr:spPr>
        <a:xfrm xmlns:a="http://schemas.openxmlformats.org/drawingml/2006/main" rot="5400000" flipH="1" flipV="1">
          <a:off x="543326" y="1743033"/>
          <a:ext cx="754459" cy="160319"/>
        </a:xfrm>
        <a:prstGeom xmlns:a="http://schemas.openxmlformats.org/drawingml/2006/main" prst="bentConnector3">
          <a:avLst>
            <a:gd name="adj1" fmla="val 100000"/>
          </a:avLst>
        </a:prstGeom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0.18703</cdr:x>
      <cdr:y>0.68476</cdr:y>
    </cdr:from>
    <cdr:to>
      <cdr:x>0.23606</cdr:x>
      <cdr:y>0.74648</cdr:y>
    </cdr:to>
    <cdr:sp macro="" textlink="">
      <cdr:nvSpPr>
        <cdr:cNvPr id="14" name="Oval 13">
          <a:extLst xmlns:a="http://schemas.openxmlformats.org/drawingml/2006/main">
            <a:ext uri="{FF2B5EF4-FFF2-40B4-BE49-F238E27FC236}">
              <a16:creationId xmlns:a16="http://schemas.microsoft.com/office/drawing/2014/main" id="{80FDB6EB-2C5B-4735-A938-3584E5568894}"/>
            </a:ext>
          </a:extLst>
        </cdr:cNvPr>
        <cdr:cNvSpPr/>
      </cdr:nvSpPr>
      <cdr:spPr>
        <a:xfrm xmlns:a="http://schemas.openxmlformats.org/drawingml/2006/main">
          <a:off x="1135330" y="2672532"/>
          <a:ext cx="297656" cy="240907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chemeClr val="accent6">
              <a:lumMod val="75000"/>
            </a:scheme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0.13999</cdr:x>
      <cdr:y>0.48889</cdr:y>
    </cdr:from>
    <cdr:to>
      <cdr:x>0.21033</cdr:x>
      <cdr:y>0.68476</cdr:y>
    </cdr:to>
    <cdr:cxnSp macro="">
      <cdr:nvCxnSpPr>
        <cdr:cNvPr id="15" name="Connector: Elbow 14">
          <a:extLst xmlns:a="http://schemas.openxmlformats.org/drawingml/2006/main">
            <a:ext uri="{FF2B5EF4-FFF2-40B4-BE49-F238E27FC236}">
              <a16:creationId xmlns:a16="http://schemas.microsoft.com/office/drawing/2014/main" id="{BB2BA912-31FE-4C60-8B57-E44D7D648176}"/>
            </a:ext>
          </a:extLst>
        </cdr:cNvPr>
        <cdr:cNvCxnSpPr/>
      </cdr:nvCxnSpPr>
      <cdr:spPr>
        <a:xfrm xmlns:a="http://schemas.openxmlformats.org/drawingml/2006/main" rot="16200000" flipV="1">
          <a:off x="681072" y="2076818"/>
          <a:ext cx="764472" cy="426968"/>
        </a:xfrm>
        <a:prstGeom xmlns:a="http://schemas.openxmlformats.org/drawingml/2006/main" prst="bentConnector3">
          <a:avLst>
            <a:gd name="adj1" fmla="val 99345"/>
          </a:avLst>
        </a:prstGeom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0.6582</cdr:x>
      <cdr:y>0.03506</cdr:y>
    </cdr:from>
    <cdr:to>
      <cdr:x>0.93334</cdr:x>
      <cdr:y>0.82663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9939486-8F78-4CAE-B83F-239487468357}"/>
            </a:ext>
          </a:extLst>
        </cdr:cNvPr>
        <cdr:cNvSpPr/>
      </cdr:nvSpPr>
      <cdr:spPr>
        <a:xfrm xmlns:a="http://schemas.openxmlformats.org/drawingml/2006/main">
          <a:off x="3269011" y="110209"/>
          <a:ext cx="1366515" cy="248826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65000"/>
            <a:alpha val="15000"/>
          </a:schemeClr>
        </a:solidFill>
        <a:ln xmlns:a="http://schemas.openxmlformats.org/drawingml/2006/main">
          <a:solidFill>
            <a:schemeClr val="tx1">
              <a:alpha val="0"/>
            </a:scheme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0.4167</cdr:x>
      <cdr:y>0.9146</cdr:y>
    </cdr:from>
    <cdr:to>
      <cdr:x>0.54281</cdr:x>
      <cdr:y>0.96365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78C863EC-C155-48A7-ADFD-A7CA8310962B}"/>
            </a:ext>
          </a:extLst>
        </cdr:cNvPr>
        <cdr:cNvSpPr/>
      </cdr:nvSpPr>
      <cdr:spPr>
        <a:xfrm xmlns:a="http://schemas.openxmlformats.org/drawingml/2006/main">
          <a:off x="2043952" y="2841812"/>
          <a:ext cx="618565" cy="15240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0.81696</cdr:x>
      <cdr:y>0.91171</cdr:y>
    </cdr:from>
    <cdr:to>
      <cdr:x>0.94307</cdr:x>
      <cdr:y>0.96076</cdr:y>
    </cdr:to>
    <cdr:sp macro="" textlink="">
      <cdr:nvSpPr>
        <cdr:cNvPr id="4" name="Rectangle 3">
          <a:extLst xmlns:a="http://schemas.openxmlformats.org/drawingml/2006/main">
            <a:ext uri="{FF2B5EF4-FFF2-40B4-BE49-F238E27FC236}">
              <a16:creationId xmlns:a16="http://schemas.microsoft.com/office/drawing/2014/main" id="{7B70CC6B-545D-4DA7-99E5-D073A4A176BF}"/>
            </a:ext>
          </a:extLst>
        </cdr:cNvPr>
        <cdr:cNvSpPr/>
      </cdr:nvSpPr>
      <cdr:spPr>
        <a:xfrm xmlns:a="http://schemas.openxmlformats.org/drawingml/2006/main">
          <a:off x="4007223" y="2832847"/>
          <a:ext cx="618565" cy="15240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125779</xdr:colOff>
      <xdr:row>26</xdr:row>
      <xdr:rowOff>73270</xdr:rowOff>
    </xdr:from>
    <xdr:to>
      <xdr:col>54</xdr:col>
      <xdr:colOff>341924</xdr:colOff>
      <xdr:row>37</xdr:row>
      <xdr:rowOff>122115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984A13-BA9A-4546-A8BC-A209682D00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69</xdr:col>
      <xdr:colOff>677658</xdr:colOff>
      <xdr:row>178</xdr:row>
      <xdr:rowOff>46565</xdr:rowOff>
    </xdr:from>
    <xdr:to>
      <xdr:col>72</xdr:col>
      <xdr:colOff>206137</xdr:colOff>
      <xdr:row>190</xdr:row>
      <xdr:rowOff>123272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BA86841-3436-4DA7-8611-5E2FF4C0D3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258305</xdr:colOff>
      <xdr:row>38</xdr:row>
      <xdr:rowOff>80721</xdr:rowOff>
    </xdr:from>
    <xdr:to>
      <xdr:col>52</xdr:col>
      <xdr:colOff>43447</xdr:colOff>
      <xdr:row>53</xdr:row>
      <xdr:rowOff>133042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61E09E3-2E57-4BD3-BE0A-1F6D29A69CE8}"/>
            </a:ext>
            <a:ext uri="{147F2762-F138-4A5C-976F-8EAC2B608ADB}">
              <a16:predDERef xmlns:a16="http://schemas.microsoft.com/office/drawing/2014/main" pred="{DD03C989-C8B9-4E7A-8F06-58B407B817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53</xdr:col>
      <xdr:colOff>129152</xdr:colOff>
      <xdr:row>50</xdr:row>
      <xdr:rowOff>80722</xdr:rowOff>
    </xdr:from>
    <xdr:to>
      <xdr:col>60</xdr:col>
      <xdr:colOff>327292</xdr:colOff>
      <xdr:row>64</xdr:row>
      <xdr:rowOff>129908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E16CC7B-0DC8-43FE-9B65-EA41436B61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0.43017</cdr:x>
      <cdr:y>0.14748</cdr:y>
    </cdr:from>
    <cdr:to>
      <cdr:x>0.80046</cdr:x>
      <cdr:y>0.33575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B8CD670-65C4-42D1-B405-205013B59787}"/>
            </a:ext>
          </a:extLst>
        </cdr:cNvPr>
        <cdr:cNvSpPr txBox="1"/>
      </cdr:nvSpPr>
      <cdr:spPr>
        <a:xfrm xmlns:a="http://schemas.openxmlformats.org/drawingml/2006/main">
          <a:off x="2611292" y="575584"/>
          <a:ext cx="2247816" cy="7347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>
              <a:latin typeface="+mn-lt"/>
              <a:cs typeface="Times New Roman" panose="02020603050405020304" pitchFamily="18" charset="0"/>
            </a:rPr>
            <a:t>Từ</a:t>
          </a:r>
          <a:r>
            <a:rPr lang="en-US" sz="1100" baseline="0">
              <a:latin typeface="+mn-lt"/>
              <a:cs typeface="Times New Roman" panose="02020603050405020304" pitchFamily="18" charset="0"/>
            </a:rPr>
            <a:t> </a:t>
          </a:r>
          <a:r>
            <a:rPr lang="en-US" b="1"/>
            <a:t>tháng 5</a:t>
          </a:r>
          <a:r>
            <a:rPr lang="en-US" sz="1100" baseline="0">
              <a:latin typeface="+mn-lt"/>
              <a:cs typeface="Times New Roman" panose="02020603050405020304" pitchFamily="18" charset="0"/>
            </a:rPr>
            <a:t>, </a:t>
          </a:r>
          <a:r>
            <a:rPr lang="en-US" sz="1100" b="1" baseline="0">
              <a:solidFill>
                <a:schemeClr val="bg2">
                  <a:lumMod val="50000"/>
                </a:schemeClr>
              </a:solidFill>
              <a:latin typeface="+mn-lt"/>
              <a:cs typeface="Times New Roman" panose="02020603050405020304" pitchFamily="18" charset="0"/>
            </a:rPr>
            <a:t>tổng số PR </a:t>
          </a:r>
          <a:r>
            <a:rPr lang="en-US" sz="1100" baseline="0">
              <a:latin typeface="+mn-lt"/>
              <a:cs typeface="Times New Roman" panose="02020603050405020304" pitchFamily="18" charset="0"/>
            </a:rPr>
            <a:t>và </a:t>
          </a:r>
          <a:r>
            <a:rPr lang="en-US" sz="1100" b="1" baseline="0">
              <a:solidFill>
                <a:schemeClr val="bg2">
                  <a:lumMod val="75000"/>
                </a:schemeClr>
              </a:solidFill>
              <a:latin typeface="+mn-lt"/>
              <a:cs typeface="Times New Roman" panose="02020603050405020304" pitchFamily="18" charset="0"/>
            </a:rPr>
            <a:t>tổng số PO</a:t>
          </a:r>
        </a:p>
        <a:p xmlns:a="http://schemas.openxmlformats.org/drawingml/2006/main">
          <a:r>
            <a:rPr lang="en-US" sz="1100" baseline="0">
              <a:latin typeface="+mn-lt"/>
              <a:cs typeface="Times New Roman" panose="02020603050405020304" pitchFamily="18" charset="0"/>
            </a:rPr>
            <a:t>của công ty bắt đầu có </a:t>
          </a:r>
          <a:r>
            <a:rPr lang="en-US" sz="1100" b="1" baseline="0">
              <a:solidFill>
                <a:srgbClr val="E5B000"/>
              </a:solidFill>
              <a:latin typeface="+mn-lt"/>
              <a:cs typeface="Times New Roman" panose="02020603050405020304" pitchFamily="18" charset="0"/>
            </a:rPr>
            <a:t>sự chênh lệch</a:t>
          </a:r>
          <a:r>
            <a:rPr lang="en-US" sz="1100" baseline="0">
              <a:solidFill>
                <a:srgbClr val="E5B000"/>
              </a:solidFill>
              <a:latin typeface="+mn-lt"/>
              <a:cs typeface="Times New Roman" panose="02020603050405020304" pitchFamily="18" charset="0"/>
            </a:rPr>
            <a:t> </a:t>
          </a:r>
          <a:r>
            <a:rPr lang="en-US" sz="1100" baseline="0">
              <a:latin typeface="+mn-lt"/>
              <a:cs typeface="Times New Roman" panose="02020603050405020304" pitchFamily="18" charset="0"/>
            </a:rPr>
            <a:t>đáng kể</a:t>
          </a:r>
        </a:p>
        <a:p xmlns:a="http://schemas.openxmlformats.org/drawingml/2006/main">
          <a:r>
            <a:rPr lang="en-US" sz="1100" baseline="0">
              <a:latin typeface="+mn-lt"/>
              <a:cs typeface="Times New Roman" panose="02020603050405020304" pitchFamily="18" charset="0"/>
            </a:rPr>
            <a:t>khi đợt dịch thứ 4 bùng phát</a:t>
          </a:r>
          <a:endParaRPr lang="en-US" sz="1100">
            <a:latin typeface="+mn-lt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0.76621</cdr:x>
      <cdr:y>0.34951</cdr:y>
    </cdr:from>
    <cdr:to>
      <cdr:x>0.99068</cdr:x>
      <cdr:y>0.75825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4B5F82CF-23C3-42FF-8819-8EACAFDFCAEF}"/>
            </a:ext>
          </a:extLst>
        </cdr:cNvPr>
        <cdr:cNvSpPr txBox="1"/>
      </cdr:nvSpPr>
      <cdr:spPr>
        <a:xfrm xmlns:a="http://schemas.openxmlformats.org/drawingml/2006/main">
          <a:off x="4651208" y="1364118"/>
          <a:ext cx="1362626" cy="15952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 baseline="0">
              <a:solidFill>
                <a:schemeClr val="bg2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Tổng số PR </a:t>
          </a:r>
          <a:r>
            <a:rPr lang="en-US" sz="1100" baseline="0">
              <a:effectLst/>
              <a:latin typeface="+mn-lt"/>
              <a:ea typeface="+mn-ea"/>
              <a:cs typeface="+mn-cs"/>
            </a:rPr>
            <a:t>và </a:t>
          </a:r>
        </a:p>
        <a:p xmlns:a="http://schemas.openxmlformats.org/drawingml/2006/main">
          <a:r>
            <a:rPr lang="en-US" sz="1100" b="1" baseline="0">
              <a:solidFill>
                <a:schemeClr val="bg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tổng số PO</a:t>
          </a:r>
          <a:r>
            <a:rPr lang="vi-VN" sz="1100">
              <a:solidFill>
                <a:schemeClr val="bg2">
                  <a:lumMod val="7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vi-VN" sz="1100" b="1">
              <a:latin typeface="Calibri" panose="020F0502020204030204" pitchFamily="34" charset="0"/>
              <a:cs typeface="Calibri" panose="020F0502020204030204" pitchFamily="34" charset="0"/>
            </a:rPr>
            <a:t>tháng 9</a:t>
          </a:r>
          <a:endParaRPr lang="en-US" sz="1100" b="1">
            <a:latin typeface="Calibri" panose="020F0502020204030204" pitchFamily="34" charset="0"/>
            <a:cs typeface="Calibri" panose="020F0502020204030204" pitchFamily="34" charset="0"/>
          </a:endParaRPr>
        </a:p>
        <a:p xmlns:a="http://schemas.openxmlformats.org/drawingml/2006/main">
          <a:r>
            <a:rPr lang="vi-VN" sz="1100" b="1">
              <a:latin typeface="Calibri" panose="020F0502020204030204" pitchFamily="34" charset="0"/>
              <a:cs typeface="Calibri" panose="020F0502020204030204" pitchFamily="34" charset="0"/>
            </a:rPr>
            <a:t>giảm</a:t>
          </a:r>
          <a:r>
            <a:rPr lang="en-US" sz="1100" b="1" baseline="0">
              <a:latin typeface="Calibri" panose="020F0502020204030204" pitchFamily="34" charset="0"/>
              <a:cs typeface="Calibri" panose="020F0502020204030204" pitchFamily="34" charset="0"/>
            </a:rPr>
            <a:t> một</a:t>
          </a:r>
          <a:r>
            <a:rPr lang="vi-VN" sz="1100" b="1">
              <a:latin typeface="Calibri" panose="020F0502020204030204" pitchFamily="34" charset="0"/>
              <a:cs typeface="Calibri" panose="020F0502020204030204" pitchFamily="34" charset="0"/>
            </a:rPr>
            <a:t> nửa</a:t>
          </a:r>
          <a:r>
            <a:rPr lang="en-US" sz="1100">
              <a:latin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vi-VN" sz="1100">
              <a:latin typeface="Calibri" panose="020F0502020204030204" pitchFamily="34" charset="0"/>
              <a:cs typeface="Calibri" panose="020F0502020204030204" pitchFamily="34" charset="0"/>
            </a:rPr>
            <a:t>so</a:t>
          </a:r>
          <a:endParaRPr lang="en-US" sz="1100">
            <a:latin typeface="Calibri" panose="020F0502020204030204" pitchFamily="34" charset="0"/>
            <a:cs typeface="Calibri" panose="020F0502020204030204" pitchFamily="34" charset="0"/>
          </a:endParaRPr>
        </a:p>
        <a:p xmlns:a="http://schemas.openxmlformats.org/drawingml/2006/main">
          <a:r>
            <a:rPr lang="vi-VN" sz="1100">
              <a:latin typeface="Calibri" panose="020F0502020204030204" pitchFamily="34" charset="0"/>
              <a:cs typeface="Calibri" panose="020F0502020204030204" pitchFamily="34" charset="0"/>
            </a:rPr>
            <a:t>với </a:t>
          </a:r>
          <a:r>
            <a:rPr lang="vi-VN" sz="1100" b="1">
              <a:latin typeface="Calibri" panose="020F0502020204030204" pitchFamily="34" charset="0"/>
              <a:cs typeface="Calibri" panose="020F0502020204030204" pitchFamily="34" charset="0"/>
            </a:rPr>
            <a:t>tháng 8</a:t>
          </a:r>
          <a:r>
            <a:rPr lang="en-US" sz="1100">
              <a:latin typeface="Calibri" panose="020F0502020204030204" pitchFamily="34" charset="0"/>
              <a:cs typeface="Calibri" panose="020F0502020204030204" pitchFamily="34" charset="0"/>
            </a:rPr>
            <a:t>, </a:t>
          </a:r>
          <a:r>
            <a:rPr lang="en-US" sz="1100" baseline="0">
              <a:latin typeface="Calibri" panose="020F0502020204030204" pitchFamily="34" charset="0"/>
              <a:cs typeface="Calibri" panose="020F0502020204030204" pitchFamily="34" charset="0"/>
            </a:rPr>
            <a:t>có thể</a:t>
          </a:r>
        </a:p>
        <a:p xmlns:a="http://schemas.openxmlformats.org/drawingml/2006/main">
          <a:r>
            <a:rPr lang="en-US" sz="1100">
              <a:latin typeface="Calibri" panose="020F0502020204030204" pitchFamily="34" charset="0"/>
              <a:cs typeface="Calibri" panose="020F0502020204030204" pitchFamily="34" charset="0"/>
            </a:rPr>
            <a:t>vì</a:t>
          </a:r>
          <a:r>
            <a:rPr lang="vi-VN" sz="1100">
              <a:latin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en-US" sz="1100">
              <a:latin typeface="Calibri" panose="020F0502020204030204" pitchFamily="34" charset="0"/>
              <a:cs typeface="Calibri" panose="020F0502020204030204" pitchFamily="34" charset="0"/>
            </a:rPr>
            <a:t>số</a:t>
          </a:r>
          <a:r>
            <a:rPr lang="en-US" sz="1100" baseline="0">
              <a:latin typeface="Calibri" panose="020F0502020204030204" pitchFamily="34" charset="0"/>
              <a:cs typeface="Calibri" panose="020F0502020204030204" pitchFamily="34" charset="0"/>
            </a:rPr>
            <a:t> đơn tồn đọng</a:t>
          </a:r>
        </a:p>
        <a:p xmlns:a="http://schemas.openxmlformats.org/drawingml/2006/main">
          <a:r>
            <a:rPr lang="en-US" sz="1100" baseline="0">
              <a:latin typeface="Calibri" panose="020F0502020204030204" pitchFamily="34" charset="0"/>
              <a:cs typeface="Calibri" panose="020F0502020204030204" pitchFamily="34" charset="0"/>
            </a:rPr>
            <a:t>còn nhiều nên không</a:t>
          </a:r>
        </a:p>
        <a:p xmlns:a="http://schemas.openxmlformats.org/drawingml/2006/main">
          <a:r>
            <a:rPr lang="vi-VN" sz="1100">
              <a:latin typeface="Calibri" panose="020F0502020204030204" pitchFamily="34" charset="0"/>
              <a:cs typeface="Calibri" panose="020F0502020204030204" pitchFamily="34" charset="0"/>
            </a:rPr>
            <a:t>đặt </a:t>
          </a:r>
          <a:r>
            <a:rPr lang="en-US" sz="1100">
              <a:latin typeface="Calibri" panose="020F0502020204030204" pitchFamily="34" charset="0"/>
              <a:cs typeface="Calibri" panose="020F0502020204030204" pitchFamily="34" charset="0"/>
            </a:rPr>
            <a:t>thêm. Vì thế</a:t>
          </a:r>
          <a:r>
            <a:rPr lang="en-US" sz="1100" baseline="0">
              <a:latin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vi-VN" sz="1100">
              <a:latin typeface="Calibri" panose="020F0502020204030204" pitchFamily="34" charset="0"/>
              <a:cs typeface="Calibri" panose="020F0502020204030204" pitchFamily="34" charset="0"/>
            </a:rPr>
            <a:t>cần</a:t>
          </a:r>
          <a:endParaRPr lang="en-US" sz="1100">
            <a:latin typeface="Calibri" panose="020F0502020204030204" pitchFamily="34" charset="0"/>
            <a:cs typeface="Calibri" panose="020F0502020204030204" pitchFamily="34" charset="0"/>
          </a:endParaRPr>
        </a:p>
        <a:p xmlns:a="http://schemas.openxmlformats.org/drawingml/2006/main">
          <a:r>
            <a:rPr lang="vi-VN" sz="1100">
              <a:latin typeface="Calibri" panose="020F0502020204030204" pitchFamily="34" charset="0"/>
              <a:cs typeface="Calibri" panose="020F0502020204030204" pitchFamily="34" charset="0"/>
            </a:rPr>
            <a:t>tìm nguyên</a:t>
          </a:r>
          <a:r>
            <a:rPr lang="en-US" sz="1100">
              <a:latin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vi-VN" sz="1100">
              <a:latin typeface="Calibri" panose="020F0502020204030204" pitchFamily="34" charset="0"/>
              <a:cs typeface="Calibri" panose="020F0502020204030204" pitchFamily="34" charset="0"/>
            </a:rPr>
            <a:t>nhân và</a:t>
          </a:r>
          <a:endParaRPr lang="en-US" sz="1100">
            <a:latin typeface="Calibri" panose="020F0502020204030204" pitchFamily="34" charset="0"/>
            <a:cs typeface="Calibri" panose="020F0502020204030204" pitchFamily="34" charset="0"/>
          </a:endParaRPr>
        </a:p>
        <a:p xmlns:a="http://schemas.openxmlformats.org/drawingml/2006/main">
          <a:r>
            <a:rPr lang="vi-VN" sz="1100">
              <a:latin typeface="Calibri" panose="020F0502020204030204" pitchFamily="34" charset="0"/>
              <a:cs typeface="Calibri" panose="020F0502020204030204" pitchFamily="34" charset="0"/>
            </a:rPr>
            <a:t>giải quyết</a:t>
          </a:r>
          <a:r>
            <a:rPr lang="en-US" sz="1100">
              <a:latin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vi-VN" sz="1100">
              <a:latin typeface="Calibri" panose="020F0502020204030204" pitchFamily="34" charset="0"/>
              <a:cs typeface="Calibri" panose="020F0502020204030204" pitchFamily="34" charset="0"/>
            </a:rPr>
            <a:t>gấp đơn</a:t>
          </a:r>
          <a:endParaRPr lang="en-US" sz="1100">
            <a:latin typeface="Calibri" panose="020F0502020204030204" pitchFamily="34" charset="0"/>
            <a:cs typeface="Calibri" panose="020F0502020204030204" pitchFamily="34" charset="0"/>
          </a:endParaRPr>
        </a:p>
        <a:p xmlns:a="http://schemas.openxmlformats.org/drawingml/2006/main">
          <a:r>
            <a:rPr lang="vi-VN" sz="1100">
              <a:latin typeface="Calibri" panose="020F0502020204030204" pitchFamily="34" charset="0"/>
              <a:cs typeface="Calibri" panose="020F0502020204030204" pitchFamily="34" charset="0"/>
            </a:rPr>
            <a:t>tồn đọng</a:t>
          </a:r>
          <a:endParaRPr lang="en-US" sz="1100">
            <a:latin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0.72167</cdr:x>
      <cdr:y>0.38982</cdr:y>
    </cdr:from>
    <cdr:to>
      <cdr:x>0.76452</cdr:x>
      <cdr:y>0.61956</cdr:y>
    </cdr:to>
    <cdr:cxnSp macro="">
      <cdr:nvCxnSpPr>
        <cdr:cNvPr id="4" name="Connector: Elbow 3">
          <a:extLst xmlns:a="http://schemas.openxmlformats.org/drawingml/2006/main">
            <a:ext uri="{FF2B5EF4-FFF2-40B4-BE49-F238E27FC236}">
              <a16:creationId xmlns:a16="http://schemas.microsoft.com/office/drawing/2014/main" id="{F7D2968A-6CF4-4ABF-9F96-B05B281C5C9B}"/>
            </a:ext>
          </a:extLst>
        </cdr:cNvPr>
        <cdr:cNvCxnSpPr/>
      </cdr:nvCxnSpPr>
      <cdr:spPr>
        <a:xfrm xmlns:a="http://schemas.openxmlformats.org/drawingml/2006/main" rot="5400000" flipH="1" flipV="1">
          <a:off x="4062567" y="1839679"/>
          <a:ext cx="896670" cy="260127"/>
        </a:xfrm>
        <a:prstGeom xmlns:a="http://schemas.openxmlformats.org/drawingml/2006/main" prst="bentConnector3">
          <a:avLst>
            <a:gd name="adj1" fmla="val 99432"/>
          </a:avLst>
        </a:prstGeom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0.16062</cdr:x>
      <cdr:y>0.32714</cdr:y>
    </cdr:from>
    <cdr:to>
      <cdr:x>0.35438</cdr:x>
      <cdr:y>0.48164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0504122F-27BD-4277-9E8A-A30EA5FDC50E}"/>
            </a:ext>
          </a:extLst>
        </cdr:cNvPr>
        <cdr:cNvSpPr txBox="1"/>
      </cdr:nvSpPr>
      <cdr:spPr>
        <a:xfrm xmlns:a="http://schemas.openxmlformats.org/drawingml/2006/main">
          <a:off x="975009" y="1276789"/>
          <a:ext cx="1176252" cy="6029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latin typeface="Calibri" panose="020F0502020204030204" pitchFamily="34" charset="0"/>
              <a:cs typeface="Calibri" panose="020F0502020204030204" pitchFamily="34" charset="0"/>
            </a:rPr>
            <a:t>Còn</a:t>
          </a:r>
          <a:r>
            <a:rPr lang="en-US" sz="1100" baseline="0">
              <a:latin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en-US" sz="1100" b="1" baseline="0">
              <a:solidFill>
                <a:srgbClr val="FFC000"/>
              </a:solidFill>
              <a:latin typeface="Calibri" panose="020F0502020204030204" pitchFamily="34" charset="0"/>
              <a:cs typeface="Calibri" panose="020F0502020204030204" pitchFamily="34" charset="0"/>
            </a:rPr>
            <a:t>một số đơn</a:t>
          </a:r>
        </a:p>
        <a:p xmlns:a="http://schemas.openxmlformats.org/drawingml/2006/main">
          <a:r>
            <a:rPr lang="en-US" sz="1100" b="1" baseline="0">
              <a:latin typeface="Calibri" panose="020F0502020204030204" pitchFamily="34" charset="0"/>
              <a:cs typeface="Calibri" panose="020F0502020204030204" pitchFamily="34" charset="0"/>
            </a:rPr>
            <a:t>chưa</a:t>
          </a:r>
          <a:r>
            <a:rPr lang="en-US" sz="1100" baseline="0">
              <a:latin typeface="Calibri" panose="020F0502020204030204" pitchFamily="34" charset="0"/>
              <a:cs typeface="Calibri" panose="020F0502020204030204" pitchFamily="34" charset="0"/>
            </a:rPr>
            <a:t> được giải</a:t>
          </a:r>
        </a:p>
        <a:p xmlns:a="http://schemas.openxmlformats.org/drawingml/2006/main">
          <a:r>
            <a:rPr lang="en-US" sz="1100" baseline="0">
              <a:latin typeface="Calibri" panose="020F0502020204030204" pitchFamily="34" charset="0"/>
              <a:cs typeface="Calibri" panose="020F0502020204030204" pitchFamily="34" charset="0"/>
            </a:rPr>
            <a:t>quyết từ </a:t>
          </a:r>
          <a:r>
            <a:rPr lang="en-US" sz="1100" b="1" baseline="0">
              <a:latin typeface="Calibri" panose="020F0502020204030204" pitchFamily="34" charset="0"/>
              <a:cs typeface="Calibri" panose="020F0502020204030204" pitchFamily="34" charset="0"/>
            </a:rPr>
            <a:t>đầu năm</a:t>
          </a:r>
          <a:endParaRPr lang="en-US" sz="1100" b="1">
            <a:latin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0.13844</cdr:x>
      <cdr:y>0.37049</cdr:y>
    </cdr:from>
    <cdr:to>
      <cdr:x>0.16485</cdr:x>
      <cdr:y>0.56379</cdr:y>
    </cdr:to>
    <cdr:cxnSp macro="">
      <cdr:nvCxnSpPr>
        <cdr:cNvPr id="8" name="Connector: Elbow 7">
          <a:extLst xmlns:a="http://schemas.openxmlformats.org/drawingml/2006/main">
            <a:ext uri="{FF2B5EF4-FFF2-40B4-BE49-F238E27FC236}">
              <a16:creationId xmlns:a16="http://schemas.microsoft.com/office/drawing/2014/main" id="{F7D2968A-6CF4-4ABF-9F96-B05B281C5C9B}"/>
            </a:ext>
          </a:extLst>
        </cdr:cNvPr>
        <cdr:cNvCxnSpPr/>
      </cdr:nvCxnSpPr>
      <cdr:spPr>
        <a:xfrm xmlns:a="http://schemas.openxmlformats.org/drawingml/2006/main" rot="5400000" flipH="1" flipV="1">
          <a:off x="543326" y="1743033"/>
          <a:ext cx="754459" cy="160319"/>
        </a:xfrm>
        <a:prstGeom xmlns:a="http://schemas.openxmlformats.org/drawingml/2006/main" prst="bentConnector3">
          <a:avLst>
            <a:gd name="adj1" fmla="val 100000"/>
          </a:avLst>
        </a:prstGeom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0.18703</cdr:x>
      <cdr:y>0.68476</cdr:y>
    </cdr:from>
    <cdr:to>
      <cdr:x>0.23606</cdr:x>
      <cdr:y>0.74648</cdr:y>
    </cdr:to>
    <cdr:sp macro="" textlink="">
      <cdr:nvSpPr>
        <cdr:cNvPr id="14" name="Oval 13">
          <a:extLst xmlns:a="http://schemas.openxmlformats.org/drawingml/2006/main">
            <a:ext uri="{FF2B5EF4-FFF2-40B4-BE49-F238E27FC236}">
              <a16:creationId xmlns:a16="http://schemas.microsoft.com/office/drawing/2014/main" id="{80FDB6EB-2C5B-4735-A938-3584E5568894}"/>
            </a:ext>
          </a:extLst>
        </cdr:cNvPr>
        <cdr:cNvSpPr/>
      </cdr:nvSpPr>
      <cdr:spPr>
        <a:xfrm xmlns:a="http://schemas.openxmlformats.org/drawingml/2006/main">
          <a:off x="1135330" y="2672532"/>
          <a:ext cx="297656" cy="240907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chemeClr val="accent6">
              <a:lumMod val="75000"/>
            </a:scheme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0.13999</cdr:x>
      <cdr:y>0.48889</cdr:y>
    </cdr:from>
    <cdr:to>
      <cdr:x>0.21033</cdr:x>
      <cdr:y>0.68476</cdr:y>
    </cdr:to>
    <cdr:cxnSp macro="">
      <cdr:nvCxnSpPr>
        <cdr:cNvPr id="15" name="Connector: Elbow 14">
          <a:extLst xmlns:a="http://schemas.openxmlformats.org/drawingml/2006/main">
            <a:ext uri="{FF2B5EF4-FFF2-40B4-BE49-F238E27FC236}">
              <a16:creationId xmlns:a16="http://schemas.microsoft.com/office/drawing/2014/main" id="{BB2BA912-31FE-4C60-8B57-E44D7D648176}"/>
            </a:ext>
          </a:extLst>
        </cdr:cNvPr>
        <cdr:cNvCxnSpPr/>
      </cdr:nvCxnSpPr>
      <cdr:spPr>
        <a:xfrm xmlns:a="http://schemas.openxmlformats.org/drawingml/2006/main" rot="16200000" flipV="1">
          <a:off x="681072" y="2076818"/>
          <a:ext cx="764472" cy="426968"/>
        </a:xfrm>
        <a:prstGeom xmlns:a="http://schemas.openxmlformats.org/drawingml/2006/main" prst="bentConnector3">
          <a:avLst>
            <a:gd name="adj1" fmla="val 99345"/>
          </a:avLst>
        </a:prstGeom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0.49194</cdr:x>
      <cdr:y>0.46977</cdr:y>
    </cdr:from>
    <cdr:to>
      <cdr:x>0.88051</cdr:x>
      <cdr:y>0.70828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52D4B158-ADED-4AFB-BA63-BA45B4739291}"/>
            </a:ext>
          </a:extLst>
        </cdr:cNvPr>
        <cdr:cNvSpPr txBox="1"/>
      </cdr:nvSpPr>
      <cdr:spPr>
        <a:xfrm xmlns:a="http://schemas.openxmlformats.org/drawingml/2006/main">
          <a:off x="3074987" y="1801019"/>
          <a:ext cx="2428875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100" b="0"/>
        </a:p>
      </cdr:txBody>
    </cdr:sp>
  </cdr:relSizeAnchor>
  <cdr:relSizeAnchor xmlns:cdr="http://schemas.openxmlformats.org/drawingml/2006/chartDrawing">
    <cdr:from>
      <cdr:x>0.62815</cdr:x>
      <cdr:y>0.42091</cdr:y>
    </cdr:from>
    <cdr:to>
      <cdr:x>1</cdr:x>
      <cdr:y>0.6324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52D4B158-ADED-4AFB-BA63-BA45B4739291}"/>
            </a:ext>
          </a:extLst>
        </cdr:cNvPr>
        <cdr:cNvSpPr txBox="1"/>
      </cdr:nvSpPr>
      <cdr:spPr>
        <a:xfrm xmlns:a="http://schemas.openxmlformats.org/drawingml/2006/main">
          <a:off x="3090425" y="1166092"/>
          <a:ext cx="1829442" cy="5859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>
              <a:solidFill>
                <a:srgbClr val="EAB200"/>
              </a:solidFill>
            </a:rPr>
            <a:t>Thời</a:t>
          </a:r>
          <a:r>
            <a:rPr lang="en-US" sz="1100" b="1" baseline="0">
              <a:solidFill>
                <a:srgbClr val="EAB200"/>
              </a:solidFill>
            </a:rPr>
            <a:t> gian xử lý trung bình</a:t>
          </a:r>
        </a:p>
        <a:p xmlns:a="http://schemas.openxmlformats.org/drawingml/2006/main">
          <a:r>
            <a:rPr lang="en-US" sz="1100" b="0">
              <a:solidFill>
                <a:sysClr val="windowText" lastClr="000000"/>
              </a:solidFill>
            </a:rPr>
            <a:t>được</a:t>
          </a:r>
          <a:r>
            <a:rPr lang="en-US" sz="1100" b="0" baseline="0">
              <a:solidFill>
                <a:sysClr val="windowText" lastClr="000000"/>
              </a:solidFill>
            </a:rPr>
            <a:t> giữ ở mức </a:t>
          </a:r>
          <a:r>
            <a:rPr lang="en-US" sz="1100" b="1" baseline="0">
              <a:solidFill>
                <a:sysClr val="windowText" lastClr="000000"/>
              </a:solidFill>
            </a:rPr>
            <a:t>ổn định</a:t>
          </a:r>
          <a:r>
            <a:rPr lang="en-US" sz="1100" b="0" baseline="0">
              <a:solidFill>
                <a:sysClr val="windowText" lastClr="000000"/>
              </a:solidFill>
            </a:rPr>
            <a:t>.</a:t>
          </a:r>
        </a:p>
        <a:p xmlns:a="http://schemas.openxmlformats.org/drawingml/2006/main">
          <a:r>
            <a:rPr lang="en-US" sz="1100" b="0" baseline="0">
              <a:solidFill>
                <a:sysClr val="windowText" lastClr="000000"/>
              </a:solidFill>
            </a:rPr>
            <a:t>Cần </a:t>
          </a:r>
          <a:r>
            <a:rPr lang="en-US" sz="1100" b="1" baseline="0">
              <a:solidFill>
                <a:sysClr val="windowText" lastClr="000000"/>
              </a:solidFill>
            </a:rPr>
            <a:t>duy trì </a:t>
          </a:r>
          <a:r>
            <a:rPr lang="en-US" sz="1100" b="0" baseline="0">
              <a:solidFill>
                <a:sysClr val="windowText" lastClr="000000"/>
              </a:solidFill>
            </a:rPr>
            <a:t>ở mức này và</a:t>
          </a:r>
        </a:p>
        <a:p xmlns:a="http://schemas.openxmlformats.org/drawingml/2006/main">
          <a:r>
            <a:rPr lang="en-US" sz="1100" b="0" baseline="0">
              <a:solidFill>
                <a:sysClr val="windowText" lastClr="000000"/>
              </a:solidFill>
            </a:rPr>
            <a:t>không để tăng</a:t>
          </a:r>
          <a:endParaRPr lang="en-US" sz="1100" b="0">
            <a:solidFill>
              <a:sysClr val="windowText" lastClr="000000"/>
            </a:solidFill>
          </a:endParaRP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562319</xdr:colOff>
      <xdr:row>4</xdr:row>
      <xdr:rowOff>60231</xdr:rowOff>
    </xdr:from>
    <xdr:to>
      <xdr:col>8</xdr:col>
      <xdr:colOff>154782</xdr:colOff>
      <xdr:row>16</xdr:row>
      <xdr:rowOff>47624</xdr:rowOff>
    </xdr:to>
    <xdr:graphicFrame macro="">
      <xdr:nvGraphicFramePr>
        <xdr:cNvPr id="16" name="Chart 8">
          <a:extLst>
            <a:ext uri="{FF2B5EF4-FFF2-40B4-BE49-F238E27FC236}">
              <a16:creationId xmlns:a16="http://schemas.microsoft.com/office/drawing/2014/main" id="{99F43727-945A-483F-AB01-64518501E5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576273</xdr:colOff>
      <xdr:row>2</xdr:row>
      <xdr:rowOff>180974</xdr:rowOff>
    </xdr:from>
    <xdr:to>
      <xdr:col>16</xdr:col>
      <xdr:colOff>564366</xdr:colOff>
      <xdr:row>17</xdr:row>
      <xdr:rowOff>107154</xdr:rowOff>
    </xdr:to>
    <xdr:graphicFrame macro="[0]!Select_PM_TotalPRPO">
      <xdr:nvGraphicFramePr>
        <xdr:cNvPr id="10" name="Chart 9">
          <a:extLst>
            <a:ext uri="{FF2B5EF4-FFF2-40B4-BE49-F238E27FC236}">
              <a16:creationId xmlns:a16="http://schemas.microsoft.com/office/drawing/2014/main" id="{28C21052-046C-4053-8551-E34FA6F6858A}"/>
            </a:ext>
            <a:ext uri="{147F2762-F138-4A5C-976F-8EAC2B608ADB}">
              <a16:predDERef xmlns:a16="http://schemas.microsoft.com/office/drawing/2014/main" pred="{99F43727-945A-483F-AB01-64518501E5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326931</xdr:colOff>
      <xdr:row>4</xdr:row>
      <xdr:rowOff>56329</xdr:rowOff>
    </xdr:from>
    <xdr:to>
      <xdr:col>3</xdr:col>
      <xdr:colOff>238125</xdr:colOff>
      <xdr:row>16</xdr:row>
      <xdr:rowOff>59531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4D70EA90-531D-48E3-8B68-598601C039C1}"/>
            </a:ext>
          </a:extLst>
        </xdr:cNvPr>
        <xdr:cNvGrpSpPr/>
      </xdr:nvGrpSpPr>
      <xdr:grpSpPr>
        <a:xfrm>
          <a:off x="326931" y="1475554"/>
          <a:ext cx="1739994" cy="2174902"/>
          <a:chOff x="326931" y="1496985"/>
          <a:chExt cx="1732850" cy="22892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7963B71-11A6-437D-BD5E-FF147E93C74E}"/>
              </a:ext>
            </a:extLst>
          </xdr:cNvPr>
          <xdr:cNvSpPr/>
        </xdr:nvSpPr>
        <xdr:spPr>
          <a:xfrm>
            <a:off x="326931" y="1496985"/>
            <a:ext cx="1732850" cy="2289202"/>
          </a:xfrm>
          <a:prstGeom prst="rect">
            <a:avLst/>
          </a:prstGeom>
          <a:solidFill>
            <a:schemeClr val="lt1"/>
          </a:solidFill>
          <a:ln w="25400">
            <a:solidFill>
              <a:schemeClr val="accent6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Data!BH5">
        <xdr:nvSpPr>
          <xdr:cNvPr id="15" name="TextBox 14">
            <a:extLst>
              <a:ext uri="{FF2B5EF4-FFF2-40B4-BE49-F238E27FC236}">
                <a16:creationId xmlns:a16="http://schemas.microsoft.com/office/drawing/2014/main" id="{2AD2F39F-D0BA-4484-9389-B4614078B88A}"/>
              </a:ext>
            </a:extLst>
          </xdr:cNvPr>
          <xdr:cNvSpPr txBox="1"/>
        </xdr:nvSpPr>
        <xdr:spPr>
          <a:xfrm>
            <a:off x="548387" y="3069246"/>
            <a:ext cx="1371552" cy="687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12618EC7-D2B0-4239-BD41-ABCB89ECAFFE}" type="TxLink">
              <a:rPr lang="en-US" sz="4400" b="0" i="0" u="none" strike="noStrike">
                <a:ln>
                  <a:noFill/>
                </a:ln>
                <a:solidFill>
                  <a:srgbClr val="000000"/>
                </a:solidFill>
                <a:latin typeface="Calibri"/>
                <a:cs typeface="Calibri"/>
              </a:rPr>
              <a:pPr/>
              <a:t>2826</a:t>
            </a:fld>
            <a:endParaRPr lang="en-US" sz="4400" b="0">
              <a:ln>
                <a:noFill/>
              </a:ln>
              <a:solidFill>
                <a:schemeClr val="tx1"/>
              </a:solidFill>
            </a:endParaRPr>
          </a:p>
        </xdr:txBody>
      </xdr:sp>
      <xdr:sp macro="" textlink="Data!BH4">
        <xdr:nvSpPr>
          <xdr:cNvPr id="8" name="TextBox 7">
            <a:extLst>
              <a:ext uri="{FF2B5EF4-FFF2-40B4-BE49-F238E27FC236}">
                <a16:creationId xmlns:a16="http://schemas.microsoft.com/office/drawing/2014/main" id="{ED2FFA19-AAF1-4AD0-99EB-53DDE52C630E}"/>
              </a:ext>
            </a:extLst>
          </xdr:cNvPr>
          <xdr:cNvSpPr txBox="1"/>
        </xdr:nvSpPr>
        <xdr:spPr>
          <a:xfrm>
            <a:off x="542083" y="1935815"/>
            <a:ext cx="1388363" cy="679825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62B155AA-109E-4D96-9D60-58A557B78AA6}" type="TxLink">
              <a:rPr lang="en-US" sz="44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3926</a:t>
            </a:fld>
            <a:endParaRPr lang="en-US" sz="4400" b="0">
              <a:solidFill>
                <a:schemeClr val="tx1"/>
              </a:solidFill>
            </a:endParaRP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51EB8799-92F5-4472-BB45-C612020577BF}"/>
              </a:ext>
            </a:extLst>
          </xdr:cNvPr>
          <xdr:cNvSpPr/>
        </xdr:nvSpPr>
        <xdr:spPr>
          <a:xfrm>
            <a:off x="345724" y="1525746"/>
            <a:ext cx="1675780" cy="440418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D03CDBE4-ED6D-46D9-9E9C-0C6E77609FF6}"/>
              </a:ext>
            </a:extLst>
          </xdr:cNvPr>
          <xdr:cNvSpPr txBox="1"/>
        </xdr:nvSpPr>
        <xdr:spPr>
          <a:xfrm>
            <a:off x="733143" y="1590722"/>
            <a:ext cx="1112325" cy="290465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 w="9525" cmpd="sng"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 b="1">
                <a:solidFill>
                  <a:schemeClr val="accent6">
                    <a:lumMod val="50000"/>
                  </a:schemeClr>
                </a:solidFill>
              </a:rPr>
              <a:t>TOTAL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</a:rPr>
              <a:t> PR</a:t>
            </a:r>
            <a:endParaRPr lang="en-US" sz="1600" b="1">
              <a:solidFill>
                <a:schemeClr val="accent6">
                  <a:lumMod val="50000"/>
                </a:schemeClr>
              </a:solidFill>
            </a:endParaRPr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A2B86CA1-D157-444F-BEB8-833581095C5E}"/>
              </a:ext>
            </a:extLst>
          </xdr:cNvPr>
          <xdr:cNvSpPr/>
        </xdr:nvSpPr>
        <xdr:spPr>
          <a:xfrm>
            <a:off x="350579" y="2618440"/>
            <a:ext cx="1677465" cy="436038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867D6C9D-FBA4-47A2-84DA-C376F605FDEF}"/>
              </a:ext>
            </a:extLst>
          </xdr:cNvPr>
          <xdr:cNvSpPr txBox="1"/>
        </xdr:nvSpPr>
        <xdr:spPr>
          <a:xfrm>
            <a:off x="704871" y="2660697"/>
            <a:ext cx="1045348" cy="342712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 w="9525" cmpd="sng"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 b="1">
                <a:solidFill>
                  <a:schemeClr val="accent6">
                    <a:lumMod val="50000"/>
                  </a:schemeClr>
                </a:solidFill>
              </a:rPr>
              <a:t>TOTAL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</a:rPr>
              <a:t> PO</a:t>
            </a:r>
            <a:endParaRPr lang="en-US" sz="16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17</xdr:col>
      <xdr:colOff>280984</xdr:colOff>
      <xdr:row>3</xdr:row>
      <xdr:rowOff>57150</xdr:rowOff>
    </xdr:from>
    <xdr:to>
      <xdr:col>25</xdr:col>
      <xdr:colOff>309562</xdr:colOff>
      <xdr:row>17</xdr:row>
      <xdr:rowOff>154782</xdr:rowOff>
    </xdr:to>
    <xdr:graphicFrame macro="[0]!Select_PM_PRUrgentComplete">
      <xdr:nvGraphicFramePr>
        <xdr:cNvPr id="4" name="Chart 3">
          <a:extLst>
            <a:ext uri="{FF2B5EF4-FFF2-40B4-BE49-F238E27FC236}">
              <a16:creationId xmlns:a16="http://schemas.microsoft.com/office/drawing/2014/main" id="{C98BCF95-5441-43D9-B548-8652E94259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352984</xdr:colOff>
      <xdr:row>1</xdr:row>
      <xdr:rowOff>158636</xdr:rowOff>
    </xdr:from>
    <xdr:to>
      <xdr:col>7</xdr:col>
      <xdr:colOff>371875</xdr:colOff>
      <xdr:row>1</xdr:row>
      <xdr:rowOff>614474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0A8AAC88-829F-4571-B868-DB76E2B6DC6E}"/>
            </a:ext>
          </a:extLst>
        </xdr:cNvPr>
        <xdr:cNvSpPr/>
      </xdr:nvSpPr>
      <xdr:spPr>
        <a:xfrm>
          <a:off x="2802270" y="594065"/>
          <a:ext cx="1855855" cy="45583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 w="190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Year</a:t>
          </a:r>
        </a:p>
      </xdr:txBody>
    </xdr:sp>
    <xdr:clientData/>
  </xdr:twoCellAnchor>
  <xdr:twoCellAnchor>
    <xdr:from>
      <xdr:col>5</xdr:col>
      <xdr:colOff>437346</xdr:colOff>
      <xdr:row>1</xdr:row>
      <xdr:rowOff>219790</xdr:rowOff>
    </xdr:from>
    <xdr:to>
      <xdr:col>7</xdr:col>
      <xdr:colOff>218995</xdr:colOff>
      <xdr:row>1</xdr:row>
      <xdr:rowOff>527312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42942029-BCA7-4336-85F5-9D2A67101020}"/>
            </a:ext>
          </a:extLst>
        </xdr:cNvPr>
        <xdr:cNvSpPr/>
      </xdr:nvSpPr>
      <xdr:spPr>
        <a:xfrm>
          <a:off x="3498953" y="655219"/>
          <a:ext cx="1006292" cy="307522"/>
        </a:xfrm>
        <a:prstGeom prst="roundRect">
          <a:avLst/>
        </a:prstGeom>
        <a:solidFill>
          <a:sysClr val="window" lastClr="FFFFFF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2021</a:t>
          </a:r>
        </a:p>
      </xdr:txBody>
    </xdr:sp>
    <xdr:clientData/>
  </xdr:twoCellAnchor>
  <xdr:twoCellAnchor>
    <xdr:from>
      <xdr:col>8</xdr:col>
      <xdr:colOff>173492</xdr:colOff>
      <xdr:row>1</xdr:row>
      <xdr:rowOff>105454</xdr:rowOff>
    </xdr:from>
    <xdr:to>
      <xdr:col>11</xdr:col>
      <xdr:colOff>137772</xdr:colOff>
      <xdr:row>2</xdr:row>
      <xdr:rowOff>34016</xdr:rowOff>
    </xdr:to>
    <xdr:sp macro="[0]!CommandButton1_Click" textlink="">
      <xdr:nvSpPr>
        <xdr:cNvPr id="23" name="Rectangle: Beveled 22">
          <a:extLst>
            <a:ext uri="{FF2B5EF4-FFF2-40B4-BE49-F238E27FC236}">
              <a16:creationId xmlns:a16="http://schemas.microsoft.com/office/drawing/2014/main" id="{6758ECA2-D432-4F60-89E0-2AE65BF0FDBE}"/>
            </a:ext>
          </a:extLst>
        </xdr:cNvPr>
        <xdr:cNvSpPr/>
      </xdr:nvSpPr>
      <xdr:spPr>
        <a:xfrm>
          <a:off x="5072063" y="540883"/>
          <a:ext cx="1801245" cy="554490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REPORT</a:t>
          </a:r>
        </a:p>
      </xdr:txBody>
    </xdr:sp>
    <xdr:clientData/>
  </xdr:twoCellAnchor>
  <xdr:twoCellAnchor>
    <xdr:from>
      <xdr:col>11</xdr:col>
      <xdr:colOff>476250</xdr:colOff>
      <xdr:row>1</xdr:row>
      <xdr:rowOff>129269</xdr:rowOff>
    </xdr:from>
    <xdr:to>
      <xdr:col>16</xdr:col>
      <xdr:colOff>197302</xdr:colOff>
      <xdr:row>2</xdr:row>
      <xdr:rowOff>22112</xdr:rowOff>
    </xdr:to>
    <xdr:sp macro="" textlink="">
      <xdr:nvSpPr>
        <xdr:cNvPr id="25" name="Rectangle: Beveled 24">
          <a:extLst>
            <a:ext uri="{FF2B5EF4-FFF2-40B4-BE49-F238E27FC236}">
              <a16:creationId xmlns:a16="http://schemas.microsoft.com/office/drawing/2014/main" id="{6D3701C1-9326-4162-B220-B31E94104900}"/>
            </a:ext>
          </a:extLst>
        </xdr:cNvPr>
        <xdr:cNvSpPr/>
      </xdr:nvSpPr>
      <xdr:spPr>
        <a:xfrm>
          <a:off x="7211786" y="564698"/>
          <a:ext cx="2782659" cy="518771"/>
        </a:xfrm>
        <a:prstGeom prst="bevel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Phòng</a:t>
          </a:r>
          <a:r>
            <a:rPr lang="en-US" sz="16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mua hàng</a:t>
          </a:r>
          <a:endParaRPr lang="en-US" sz="16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559593</xdr:colOff>
      <xdr:row>1</xdr:row>
      <xdr:rowOff>129268</xdr:rowOff>
    </xdr:from>
    <xdr:to>
      <xdr:col>21</xdr:col>
      <xdr:colOff>268739</xdr:colOff>
      <xdr:row>2</xdr:row>
      <xdr:rowOff>22111</xdr:rowOff>
    </xdr:to>
    <xdr:sp macro="" textlink="">
      <xdr:nvSpPr>
        <xdr:cNvPr id="27" name="Rectangle: Beveled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F42E5D7-25AD-42C9-9D6F-EB8924C79532}"/>
            </a:ext>
          </a:extLst>
        </xdr:cNvPr>
        <xdr:cNvSpPr/>
      </xdr:nvSpPr>
      <xdr:spPr>
        <a:xfrm>
          <a:off x="10356736" y="564697"/>
          <a:ext cx="2743539" cy="518771"/>
        </a:xfrm>
        <a:prstGeom prst="bevel">
          <a:avLst/>
        </a:prstGeom>
        <a:solidFill>
          <a:sysClr val="window" lastClr="FFFFFF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Nhân</a:t>
          </a:r>
          <a:r>
            <a:rPr lang="en-US" sz="16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viên mua hàng</a:t>
          </a:r>
          <a:endParaRPr lang="en-US" sz="16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243227</xdr:colOff>
      <xdr:row>1</xdr:row>
      <xdr:rowOff>153080</xdr:rowOff>
    </xdr:from>
    <xdr:to>
      <xdr:col>3</xdr:col>
      <xdr:colOff>262118</xdr:colOff>
      <xdr:row>1</xdr:row>
      <xdr:rowOff>602115</xdr:rowOff>
    </xdr:to>
    <xdr:sp macro="" textlink="">
      <xdr:nvSpPr>
        <xdr:cNvPr id="28" name="Rectangle: Rounded Corners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BF7D6F8-CFD1-42CC-AF20-33F330984B87}"/>
            </a:ext>
          </a:extLst>
        </xdr:cNvPr>
        <xdr:cNvSpPr/>
      </xdr:nvSpPr>
      <xdr:spPr>
        <a:xfrm>
          <a:off x="243227" y="588509"/>
          <a:ext cx="1855855" cy="449035"/>
        </a:xfrm>
        <a:prstGeom prst="roundRect">
          <a:avLst/>
        </a:prstGeom>
        <a:solidFill>
          <a:sysClr val="window" lastClr="FFFFFF"/>
        </a:solidFill>
        <a:ln w="190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Hướng</a:t>
          </a:r>
          <a:r>
            <a:rPr lang="en-US" sz="14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dẫn</a:t>
          </a:r>
          <a:endParaRPr lang="en-US" sz="14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0</xdr:colOff>
      <xdr:row>168</xdr:row>
      <xdr:rowOff>18342</xdr:rowOff>
    </xdr:from>
    <xdr:to>
      <xdr:col>7</xdr:col>
      <xdr:colOff>583579</xdr:colOff>
      <xdr:row>182</xdr:row>
      <xdr:rowOff>130567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6B07F415-9834-4C02-AFA6-00C7105250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410836</xdr:colOff>
      <xdr:row>166</xdr:row>
      <xdr:rowOff>133350</xdr:rowOff>
    </xdr:from>
    <xdr:to>
      <xdr:col>16</xdr:col>
      <xdr:colOff>390524</xdr:colOff>
      <xdr:row>181</xdr:row>
      <xdr:rowOff>59392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A18336C9-B395-455E-AD56-35DA0B39A2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57150</xdr:colOff>
      <xdr:row>306</xdr:row>
      <xdr:rowOff>57010</xdr:rowOff>
    </xdr:from>
    <xdr:to>
      <xdr:col>8</xdr:col>
      <xdr:colOff>27734</xdr:colOff>
      <xdr:row>320</xdr:row>
      <xdr:rowOff>169235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2245DC52-D5E5-41A7-BFD1-034895B8FF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248226</xdr:colOff>
      <xdr:row>18</xdr:row>
      <xdr:rowOff>161636</xdr:rowOff>
    </xdr:from>
    <xdr:to>
      <xdr:col>8</xdr:col>
      <xdr:colOff>300181</xdr:colOff>
      <xdr:row>34</xdr:row>
      <xdr:rowOff>91540</xdr:rowOff>
    </xdr:to>
    <xdr:graphicFrame macro="[0]!Select_PM_PRPending">
      <xdr:nvGraphicFramePr>
        <xdr:cNvPr id="30" name="Chart 29">
          <a:extLst>
            <a:ext uri="{FF2B5EF4-FFF2-40B4-BE49-F238E27FC236}">
              <a16:creationId xmlns:a16="http://schemas.microsoft.com/office/drawing/2014/main" id="{831E9687-FD62-4A59-ACC7-9FB1DB0EDB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608061</xdr:colOff>
      <xdr:row>18</xdr:row>
      <xdr:rowOff>127000</xdr:rowOff>
    </xdr:from>
    <xdr:to>
      <xdr:col>16</xdr:col>
      <xdr:colOff>565728</xdr:colOff>
      <xdr:row>34</xdr:row>
      <xdr:rowOff>87885</xdr:rowOff>
    </xdr:to>
    <xdr:graphicFrame macro="[0]!Select_PM_POPending">
      <xdr:nvGraphicFramePr>
        <xdr:cNvPr id="31" name="Chart 30">
          <a:extLst>
            <a:ext uri="{FF2B5EF4-FFF2-40B4-BE49-F238E27FC236}">
              <a16:creationId xmlns:a16="http://schemas.microsoft.com/office/drawing/2014/main" id="{746764AC-90C3-4E73-A2CC-F477035524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223211</xdr:colOff>
      <xdr:row>18</xdr:row>
      <xdr:rowOff>127000</xdr:rowOff>
    </xdr:from>
    <xdr:to>
      <xdr:col>25</xdr:col>
      <xdr:colOff>277090</xdr:colOff>
      <xdr:row>34</xdr:row>
      <xdr:rowOff>78539</xdr:rowOff>
    </xdr:to>
    <xdr:graphicFrame macro="[0]!Select_PM_AvgProcessingTime">
      <xdr:nvGraphicFramePr>
        <xdr:cNvPr id="32" name="Chart 31">
          <a:extLst>
            <a:ext uri="{FF2B5EF4-FFF2-40B4-BE49-F238E27FC236}">
              <a16:creationId xmlns:a16="http://schemas.microsoft.com/office/drawing/2014/main" id="{246886F4-A3C6-40EA-8C75-8F521BAA42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197926</xdr:colOff>
      <xdr:row>3</xdr:row>
      <xdr:rowOff>8545</xdr:rowOff>
    </xdr:from>
    <xdr:to>
      <xdr:col>8</xdr:col>
      <xdr:colOff>238128</xdr:colOff>
      <xdr:row>18</xdr:row>
      <xdr:rowOff>11906</xdr:rowOff>
    </xdr:to>
    <xdr:graphicFrame macro="[0]!Select_NV_TotalPR">
      <xdr:nvGraphicFramePr>
        <xdr:cNvPr id="5" name="Chart 4">
          <a:extLst>
            <a:ext uri="{FF2B5EF4-FFF2-40B4-BE49-F238E27FC236}">
              <a16:creationId xmlns:a16="http://schemas.microsoft.com/office/drawing/2014/main" id="{78F3FA8D-453F-4311-9B63-1372E634025B}"/>
            </a:ext>
            <a:ext uri="{147F2762-F138-4A5C-976F-8EAC2B608ADB}">
              <a16:predDERef xmlns:a16="http://schemas.microsoft.com/office/drawing/2014/main" pred="{16115A5D-91AF-4A09-9176-34E57DEA88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196907</xdr:colOff>
      <xdr:row>19</xdr:row>
      <xdr:rowOff>23813</xdr:rowOff>
    </xdr:from>
    <xdr:to>
      <xdr:col>8</xdr:col>
      <xdr:colOff>238125</xdr:colOff>
      <xdr:row>33</xdr:row>
      <xdr:rowOff>168825</xdr:rowOff>
    </xdr:to>
    <xdr:graphicFrame macro="[0]!Select_NV_TotalPO">
      <xdr:nvGraphicFramePr>
        <xdr:cNvPr id="18" name="Chart 17">
          <a:extLst>
            <a:ext uri="{FF2B5EF4-FFF2-40B4-BE49-F238E27FC236}">
              <a16:creationId xmlns:a16="http://schemas.microsoft.com/office/drawing/2014/main" id="{2D6A0B08-8CF6-429C-85B3-4F6E17AAC8C6}"/>
            </a:ext>
            <a:ext uri="{147F2762-F138-4A5C-976F-8EAC2B608ADB}">
              <a16:predDERef xmlns:a16="http://schemas.microsoft.com/office/drawing/2014/main" pred="{D40C24D7-A54F-4266-9B98-3E7ACD73F1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402370</xdr:colOff>
      <xdr:row>3</xdr:row>
      <xdr:rowOff>19751</xdr:rowOff>
    </xdr:from>
    <xdr:to>
      <xdr:col>17</xdr:col>
      <xdr:colOff>259495</xdr:colOff>
      <xdr:row>18</xdr:row>
      <xdr:rowOff>25034</xdr:rowOff>
    </xdr:to>
    <xdr:graphicFrame macro="[0]!Select_NV_PRPending">
      <xdr:nvGraphicFramePr>
        <xdr:cNvPr id="19" name="Chart 18">
          <a:extLst>
            <a:ext uri="{FF2B5EF4-FFF2-40B4-BE49-F238E27FC236}">
              <a16:creationId xmlns:a16="http://schemas.microsoft.com/office/drawing/2014/main" id="{EE8C18AE-2D6C-41F4-8C32-D563E30633F4}"/>
            </a:ext>
            <a:ext uri="{147F2762-F138-4A5C-976F-8EAC2B608ADB}">
              <a16:predDERef xmlns:a16="http://schemas.microsoft.com/office/drawing/2014/main" pred="{2D6A0B08-8CF6-429C-85B3-4F6E17AAC8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399437</xdr:colOff>
      <xdr:row>19</xdr:row>
      <xdr:rowOff>35101</xdr:rowOff>
    </xdr:from>
    <xdr:to>
      <xdr:col>17</xdr:col>
      <xdr:colOff>261937</xdr:colOff>
      <xdr:row>33</xdr:row>
      <xdr:rowOff>166688</xdr:rowOff>
    </xdr:to>
    <xdr:graphicFrame macro="[0]!Select_NV_POPending">
      <xdr:nvGraphicFramePr>
        <xdr:cNvPr id="22" name="Chart 21">
          <a:extLst>
            <a:ext uri="{FF2B5EF4-FFF2-40B4-BE49-F238E27FC236}">
              <a16:creationId xmlns:a16="http://schemas.microsoft.com/office/drawing/2014/main" id="{36AAF9D9-4CBC-4879-9DD3-6F9CEDF7C2C5}"/>
            </a:ext>
            <a:ext uri="{147F2762-F138-4A5C-976F-8EAC2B608ADB}">
              <a16:predDERef xmlns:a16="http://schemas.microsoft.com/office/drawing/2014/main" pred="{EE8C18AE-2D6C-41F4-8C32-D563E3063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193331</xdr:colOff>
      <xdr:row>34</xdr:row>
      <xdr:rowOff>182322</xdr:rowOff>
    </xdr:from>
    <xdr:to>
      <xdr:col>12</xdr:col>
      <xdr:colOff>404812</xdr:colOff>
      <xdr:row>50</xdr:row>
      <xdr:rowOff>12821</xdr:rowOff>
    </xdr:to>
    <xdr:graphicFrame macro="[0]!Select_NV_SumPRPO">
      <xdr:nvGraphicFramePr>
        <xdr:cNvPr id="23" name="Chart 22">
          <a:extLst>
            <a:ext uri="{FF2B5EF4-FFF2-40B4-BE49-F238E27FC236}">
              <a16:creationId xmlns:a16="http://schemas.microsoft.com/office/drawing/2014/main" id="{577FC213-2932-41C7-9169-A3F919158F2E}"/>
            </a:ext>
            <a:ext uri="{147F2762-F138-4A5C-976F-8EAC2B608ADB}">
              <a16:predDERef xmlns:a16="http://schemas.microsoft.com/office/drawing/2014/main" pred="{36AAF9D9-4CBC-4879-9DD3-6F9CEDF7C2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404201</xdr:colOff>
      <xdr:row>3</xdr:row>
      <xdr:rowOff>27625</xdr:rowOff>
    </xdr:from>
    <xdr:to>
      <xdr:col>25</xdr:col>
      <xdr:colOff>440531</xdr:colOff>
      <xdr:row>18</xdr:row>
      <xdr:rowOff>23812</xdr:rowOff>
    </xdr:to>
    <xdr:graphicFrame macro="[0]!Select_NV_AvgProcessingTime">
      <xdr:nvGraphicFramePr>
        <xdr:cNvPr id="26" name="Chart 25">
          <a:extLst>
            <a:ext uri="{FF2B5EF4-FFF2-40B4-BE49-F238E27FC236}">
              <a16:creationId xmlns:a16="http://schemas.microsoft.com/office/drawing/2014/main" id="{221C5E0B-863D-42C8-9B10-E67FF9A3D001}"/>
            </a:ext>
            <a:ext uri="{147F2762-F138-4A5C-976F-8EAC2B608ADB}">
              <a16:predDERef xmlns:a16="http://schemas.microsoft.com/office/drawing/2014/main" pred="{577FC213-2932-41C7-9169-A3F919158F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426790</xdr:colOff>
      <xdr:row>19</xdr:row>
      <xdr:rowOff>47162</xdr:rowOff>
    </xdr:from>
    <xdr:to>
      <xdr:col>25</xdr:col>
      <xdr:colOff>452438</xdr:colOff>
      <xdr:row>33</xdr:row>
      <xdr:rowOff>154780</xdr:rowOff>
    </xdr:to>
    <xdr:graphicFrame macro="[0]!Select_NV_PRUrgent">
      <xdr:nvGraphicFramePr>
        <xdr:cNvPr id="27" name="Chart 26">
          <a:extLst>
            <a:ext uri="{FF2B5EF4-FFF2-40B4-BE49-F238E27FC236}">
              <a16:creationId xmlns:a16="http://schemas.microsoft.com/office/drawing/2014/main" id="{5CFEC3B5-34DB-4C61-B1CF-83BBA3D054A8}"/>
            </a:ext>
            <a:ext uri="{147F2762-F138-4A5C-976F-8EAC2B608ADB}">
              <a16:predDERef xmlns:a16="http://schemas.microsoft.com/office/drawing/2014/main" pred="{221C5E0B-863D-42C8-9B10-E67FF9A3D0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444265</xdr:colOff>
      <xdr:row>1</xdr:row>
      <xdr:rowOff>140492</xdr:rowOff>
    </xdr:from>
    <xdr:to>
      <xdr:col>7</xdr:col>
      <xdr:colOff>463156</xdr:colOff>
      <xdr:row>1</xdr:row>
      <xdr:rowOff>589527</xdr:rowOff>
    </xdr:to>
    <xdr:sp macro="" textlink="">
      <xdr:nvSpPr>
        <xdr:cNvPr id="48" name="Rectangle: Rounded Corners 47">
          <a:extLst>
            <a:ext uri="{FF2B5EF4-FFF2-40B4-BE49-F238E27FC236}">
              <a16:creationId xmlns:a16="http://schemas.microsoft.com/office/drawing/2014/main" id="{29B1C3F9-A73C-4F77-A914-DA09F4D8BD1C}"/>
            </a:ext>
          </a:extLst>
        </xdr:cNvPr>
        <xdr:cNvSpPr/>
      </xdr:nvSpPr>
      <xdr:spPr>
        <a:xfrm>
          <a:off x="2857265" y="584992"/>
          <a:ext cx="1828641" cy="44903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 w="190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Year</a:t>
          </a:r>
        </a:p>
      </xdr:txBody>
    </xdr:sp>
    <xdr:clientData/>
  </xdr:twoCellAnchor>
  <xdr:twoCellAnchor>
    <xdr:from>
      <xdr:col>5</xdr:col>
      <xdr:colOff>528627</xdr:colOff>
      <xdr:row>1</xdr:row>
      <xdr:rowOff>201646</xdr:rowOff>
    </xdr:from>
    <xdr:to>
      <xdr:col>7</xdr:col>
      <xdr:colOff>315379</xdr:colOff>
      <xdr:row>1</xdr:row>
      <xdr:rowOff>509168</xdr:rowOff>
    </xdr:to>
    <xdr:sp macro="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E9CD78B3-21BA-498F-A763-6FCDA5C41B2D}"/>
            </a:ext>
          </a:extLst>
        </xdr:cNvPr>
        <xdr:cNvSpPr/>
      </xdr:nvSpPr>
      <xdr:spPr>
        <a:xfrm>
          <a:off x="3544877" y="646146"/>
          <a:ext cx="993252" cy="307522"/>
        </a:xfrm>
        <a:prstGeom prst="roundRect">
          <a:avLst/>
        </a:prstGeom>
        <a:solidFill>
          <a:sysClr val="window" lastClr="FFFFFF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2021</a:t>
          </a:r>
        </a:p>
      </xdr:txBody>
    </xdr:sp>
    <xdr:clientData/>
  </xdr:twoCellAnchor>
  <xdr:twoCellAnchor>
    <xdr:from>
      <xdr:col>16</xdr:col>
      <xdr:colOff>571500</xdr:colOff>
      <xdr:row>37</xdr:row>
      <xdr:rowOff>107157</xdr:rowOff>
    </xdr:from>
    <xdr:to>
      <xdr:col>21</xdr:col>
      <xdr:colOff>233024</xdr:colOff>
      <xdr:row>39</xdr:row>
      <xdr:rowOff>175192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19A451BB-2A13-44CC-9C1D-56E6319C3147}"/>
            </a:ext>
          </a:extLst>
        </xdr:cNvPr>
        <xdr:cNvSpPr/>
      </xdr:nvSpPr>
      <xdr:spPr>
        <a:xfrm>
          <a:off x="10275094" y="7881938"/>
          <a:ext cx="2697618" cy="44903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TOP 3 NHÂN</a:t>
          </a:r>
          <a:r>
            <a:rPr lang="en-US" sz="14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VIÊN</a:t>
          </a:r>
          <a:endParaRPr lang="en-US" sz="14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23812</xdr:colOff>
      <xdr:row>42</xdr:row>
      <xdr:rowOff>154781</xdr:rowOff>
    </xdr:from>
    <xdr:to>
      <xdr:col>16</xdr:col>
      <xdr:colOff>428626</xdr:colOff>
      <xdr:row>46</xdr:row>
      <xdr:rowOff>47624</xdr:rowOff>
    </xdr:to>
    <xdr:sp macro="" textlink="Data!AJ4">
      <xdr:nvSpPr>
        <xdr:cNvPr id="4" name="Rectangle: Beveled 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73BDDE9-329A-47DE-B7FE-7F62E04CD16A}"/>
            </a:ext>
          </a:extLst>
        </xdr:cNvPr>
        <xdr:cNvSpPr/>
      </xdr:nvSpPr>
      <xdr:spPr>
        <a:xfrm>
          <a:off x="7917656" y="8882062"/>
          <a:ext cx="2214564" cy="654843"/>
        </a:xfrm>
        <a:prstGeom prst="bevel">
          <a:avLst/>
        </a:prstGeom>
        <a:solidFill>
          <a:schemeClr val="accent4">
            <a:lumMod val="40000"/>
            <a:lumOff val="60000"/>
          </a:schemeClr>
        </a:solidFill>
        <a:ln w="12700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416734F-14B7-45AD-A52B-EA4997B5030D}" type="TxLink">
            <a:rPr lang="en-US" sz="1600" b="1" i="0" u="none" strike="noStrike">
              <a:solidFill>
                <a:srgbClr val="000000"/>
              </a:solidFill>
              <a:latin typeface="+mn-lt"/>
              <a:cs typeface="Arial" panose="020B0604020202020204" pitchFamily="34" charset="0"/>
            </a:rPr>
            <a:pPr algn="ctr"/>
            <a:t>DO TRUC LAM</a:t>
          </a:fld>
          <a:endParaRPr lang="en-US" sz="1600" b="1"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400844</xdr:colOff>
      <xdr:row>1</xdr:row>
      <xdr:rowOff>115094</xdr:rowOff>
    </xdr:from>
    <xdr:to>
      <xdr:col>16</xdr:col>
      <xdr:colOff>123030</xdr:colOff>
      <xdr:row>2</xdr:row>
      <xdr:rowOff>7937</xdr:rowOff>
    </xdr:to>
    <xdr:sp macro="" textlink="">
      <xdr:nvSpPr>
        <xdr:cNvPr id="24" name="Rectangle: Beveled 2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0C37D4F-F1B5-4857-BCD0-F594166A0823}"/>
            </a:ext>
          </a:extLst>
        </xdr:cNvPr>
        <xdr:cNvSpPr/>
      </xdr:nvSpPr>
      <xdr:spPr>
        <a:xfrm>
          <a:off x="7080250" y="555625"/>
          <a:ext cx="2746374" cy="511968"/>
        </a:xfrm>
        <a:prstGeom prst="bevel">
          <a:avLst/>
        </a:prstGeom>
        <a:solidFill>
          <a:sysClr val="window" lastClr="FFFFFF"/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Phòng</a:t>
          </a:r>
          <a:r>
            <a:rPr lang="en-US" sz="16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mua hàng</a:t>
          </a:r>
          <a:endParaRPr lang="en-US" sz="16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424656</xdr:colOff>
      <xdr:row>1</xdr:row>
      <xdr:rowOff>115094</xdr:rowOff>
    </xdr:from>
    <xdr:to>
      <xdr:col>21</xdr:col>
      <xdr:colOff>138905</xdr:colOff>
      <xdr:row>2</xdr:row>
      <xdr:rowOff>7937</xdr:rowOff>
    </xdr:to>
    <xdr:sp macro="" textlink="">
      <xdr:nvSpPr>
        <xdr:cNvPr id="25" name="Rectangle: Beveled 24">
          <a:extLst>
            <a:ext uri="{FF2B5EF4-FFF2-40B4-BE49-F238E27FC236}">
              <a16:creationId xmlns:a16="http://schemas.microsoft.com/office/drawing/2014/main" id="{5256CEFF-CE91-4314-A7BC-8B60350408D5}"/>
            </a:ext>
          </a:extLst>
        </xdr:cNvPr>
        <xdr:cNvSpPr/>
      </xdr:nvSpPr>
      <xdr:spPr>
        <a:xfrm>
          <a:off x="10060781" y="559594"/>
          <a:ext cx="2730499" cy="511968"/>
        </a:xfrm>
        <a:prstGeom prst="bevel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Nhân</a:t>
          </a:r>
          <a:r>
            <a:rPr lang="en-US" sz="16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viên mua hàng</a:t>
          </a:r>
          <a:endParaRPr lang="en-US" sz="16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17</xdr:col>
      <xdr:colOff>178594</xdr:colOff>
      <xdr:row>42</xdr:row>
      <xdr:rowOff>130970</xdr:rowOff>
    </xdr:from>
    <xdr:to>
      <xdr:col>20</xdr:col>
      <xdr:colOff>571502</xdr:colOff>
      <xdr:row>46</xdr:row>
      <xdr:rowOff>23813</xdr:rowOff>
    </xdr:to>
    <xdr:sp macro="" textlink="Data!AJ5">
      <xdr:nvSpPr>
        <xdr:cNvPr id="28" name="Rectangle: Beveled 2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FAB27F57-3D6A-4EC0-BB9D-FA1610EF42B5}"/>
            </a:ext>
          </a:extLst>
        </xdr:cNvPr>
        <xdr:cNvSpPr/>
      </xdr:nvSpPr>
      <xdr:spPr>
        <a:xfrm>
          <a:off x="10489407" y="8858251"/>
          <a:ext cx="2214564" cy="654843"/>
        </a:xfrm>
        <a:prstGeom prst="bevel">
          <a:avLst/>
        </a:prstGeom>
        <a:solidFill>
          <a:schemeClr val="accent4">
            <a:lumMod val="40000"/>
            <a:lumOff val="60000"/>
          </a:schemeClr>
        </a:solidFill>
        <a:ln w="12700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A4B954F-DBE7-449F-AC83-8CE74D8E8C8F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DO MAI HA</a:t>
          </a:fld>
          <a:endParaRPr lang="en-US" sz="1600" b="1"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21</xdr:col>
      <xdr:colOff>273844</xdr:colOff>
      <xdr:row>42</xdr:row>
      <xdr:rowOff>119064</xdr:rowOff>
    </xdr:from>
    <xdr:to>
      <xdr:col>25</xdr:col>
      <xdr:colOff>59533</xdr:colOff>
      <xdr:row>46</xdr:row>
      <xdr:rowOff>11907</xdr:rowOff>
    </xdr:to>
    <xdr:sp macro="" textlink="Data!AJ6">
      <xdr:nvSpPr>
        <xdr:cNvPr id="29" name="Rectangle: Beveled 2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EC847C8-5721-4259-A4D3-5E4108EB9979}"/>
            </a:ext>
          </a:extLst>
        </xdr:cNvPr>
        <xdr:cNvSpPr/>
      </xdr:nvSpPr>
      <xdr:spPr>
        <a:xfrm>
          <a:off x="13013532" y="8846345"/>
          <a:ext cx="2214564" cy="654843"/>
        </a:xfrm>
        <a:prstGeom prst="bevel">
          <a:avLst/>
        </a:prstGeom>
        <a:solidFill>
          <a:schemeClr val="accent4">
            <a:lumMod val="40000"/>
            <a:lumOff val="60000"/>
          </a:schemeClr>
        </a:solidFill>
        <a:ln w="12700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8BD6612-5B48-4985-8F75-FA153420EDBB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BUI NHU BAO</a:t>
          </a:fld>
          <a:endParaRPr lang="en-US" sz="1600" b="1"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202405</xdr:colOff>
      <xdr:row>1</xdr:row>
      <xdr:rowOff>134937</xdr:rowOff>
    </xdr:from>
    <xdr:to>
      <xdr:col>3</xdr:col>
      <xdr:colOff>236604</xdr:colOff>
      <xdr:row>1</xdr:row>
      <xdr:rowOff>583972</xdr:rowOff>
    </xdr:to>
    <xdr:sp macro="" textlink="">
      <xdr:nvSpPr>
        <xdr:cNvPr id="17" name="Rectangle: Rounded Corners 1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BFFB805-EC91-44BA-8AD6-D2AE5CEB7221}"/>
            </a:ext>
          </a:extLst>
        </xdr:cNvPr>
        <xdr:cNvSpPr/>
      </xdr:nvSpPr>
      <xdr:spPr>
        <a:xfrm>
          <a:off x="202405" y="575468"/>
          <a:ext cx="1855855" cy="449035"/>
        </a:xfrm>
        <a:prstGeom prst="roundRect">
          <a:avLst/>
        </a:prstGeom>
        <a:solidFill>
          <a:sysClr val="window" lastClr="FFFFFF"/>
        </a:solidFill>
        <a:ln w="190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Hướng</a:t>
          </a:r>
          <a:r>
            <a:rPr lang="en-US" sz="14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dẫn</a:t>
          </a:r>
          <a:endParaRPr lang="en-US" sz="14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166688</xdr:colOff>
      <xdr:row>1</xdr:row>
      <xdr:rowOff>95250</xdr:rowOff>
    </xdr:from>
    <xdr:to>
      <xdr:col>11</xdr:col>
      <xdr:colOff>130968</xdr:colOff>
      <xdr:row>2</xdr:row>
      <xdr:rowOff>23812</xdr:rowOff>
    </xdr:to>
    <xdr:sp macro="[0]!CommandButton1_Click" textlink="">
      <xdr:nvSpPr>
        <xdr:cNvPr id="20" name="Rectangle: Beveled 19">
          <a:extLst>
            <a:ext uri="{FF2B5EF4-FFF2-40B4-BE49-F238E27FC236}">
              <a16:creationId xmlns:a16="http://schemas.microsoft.com/office/drawing/2014/main" id="{6F317B06-A522-44FD-9603-1222A36C92AE}"/>
            </a:ext>
          </a:extLst>
        </xdr:cNvPr>
        <xdr:cNvSpPr/>
      </xdr:nvSpPr>
      <xdr:spPr>
        <a:xfrm>
          <a:off x="5024438" y="535781"/>
          <a:ext cx="1785936" cy="547687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REPORT</a:t>
          </a:r>
        </a:p>
      </xdr:txBody>
    </xdr:sp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0.01046</cdr:x>
      <cdr:y>0.9195</cdr:y>
    </cdr:from>
    <cdr:to>
      <cdr:x>0.06905</cdr:x>
      <cdr:y>0.9778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58728789-F84A-48CD-A2ED-DF391B9F6835}"/>
            </a:ext>
          </a:extLst>
        </cdr:cNvPr>
        <cdr:cNvSpPr/>
      </cdr:nvSpPr>
      <cdr:spPr>
        <a:xfrm xmlns:a="http://schemas.openxmlformats.org/drawingml/2006/main">
          <a:off x="55352" y="2632329"/>
          <a:ext cx="310057" cy="16690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0.0348</cdr:x>
      <cdr:y>0.90684</cdr:y>
    </cdr:from>
    <cdr:to>
      <cdr:x>0.0899</cdr:x>
      <cdr:y>0.96922</cdr:y>
    </cdr:to>
    <cdr:sp macro="" textlink="">
      <cdr:nvSpPr>
        <cdr:cNvPr id="4" name="Rectangle 3">
          <a:extLst xmlns:a="http://schemas.openxmlformats.org/drawingml/2006/main">
            <a:ext uri="{FF2B5EF4-FFF2-40B4-BE49-F238E27FC236}">
              <a16:creationId xmlns:a16="http://schemas.microsoft.com/office/drawing/2014/main" id="{CDEDF2CE-6EF9-470D-A48E-BC89F8532E58}"/>
            </a:ext>
          </a:extLst>
        </cdr:cNvPr>
        <cdr:cNvSpPr/>
      </cdr:nvSpPr>
      <cdr:spPr>
        <a:xfrm xmlns:a="http://schemas.openxmlformats.org/drawingml/2006/main">
          <a:off x="154667" y="1978024"/>
          <a:ext cx="244928" cy="136072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261936</xdr:colOff>
      <xdr:row>14</xdr:row>
      <xdr:rowOff>164306</xdr:rowOff>
    </xdr:from>
    <xdr:to>
      <xdr:col>25</xdr:col>
      <xdr:colOff>297655</xdr:colOff>
      <xdr:row>30</xdr:row>
      <xdr:rowOff>35719</xdr:rowOff>
    </xdr:to>
    <xdr:graphicFrame macro="[0]!Select_NV1_AvgProcessingTime">
      <xdr:nvGraphicFramePr>
        <xdr:cNvPr id="4" name="Chart 3">
          <a:extLst>
            <a:ext uri="{FF2B5EF4-FFF2-40B4-BE49-F238E27FC236}">
              <a16:creationId xmlns:a16="http://schemas.microsoft.com/office/drawing/2014/main" id="{9649BC84-CF10-43CF-8062-19A6FA5B2E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202405</xdr:colOff>
      <xdr:row>2</xdr:row>
      <xdr:rowOff>361949</xdr:rowOff>
    </xdr:from>
    <xdr:to>
      <xdr:col>4</xdr:col>
      <xdr:colOff>488155</xdr:colOff>
      <xdr:row>7</xdr:row>
      <xdr:rowOff>71436</xdr:rowOff>
    </xdr:to>
    <xdr:sp macro="" textlink="">
      <xdr:nvSpPr>
        <xdr:cNvPr id="7" name="Arrow: Left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69296C3-E875-4E00-B238-93702EBE02AC}"/>
            </a:ext>
          </a:extLst>
        </xdr:cNvPr>
        <xdr:cNvSpPr/>
      </xdr:nvSpPr>
      <xdr:spPr>
        <a:xfrm>
          <a:off x="202405" y="1421605"/>
          <a:ext cx="2714625" cy="852487"/>
        </a:xfrm>
        <a:prstGeom prst="leftArrow">
          <a:avLst/>
        </a:prstGeom>
        <a:solidFill>
          <a:sysClr val="window" lastClr="FFFFFF"/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Nhân</a:t>
          </a:r>
          <a:r>
            <a:rPr lang="en-US" sz="1400" b="1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viên mua hàng</a:t>
          </a:r>
          <a:endParaRPr lang="en-US" sz="1400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566736</xdr:colOff>
      <xdr:row>1</xdr:row>
      <xdr:rowOff>273843</xdr:rowOff>
    </xdr:from>
    <xdr:to>
      <xdr:col>15</xdr:col>
      <xdr:colOff>245268</xdr:colOff>
      <xdr:row>13</xdr:row>
      <xdr:rowOff>35719</xdr:rowOff>
    </xdr:to>
    <xdr:graphicFrame macro="[0]!Select_NV1_TotalPRPO">
      <xdr:nvGraphicFramePr>
        <xdr:cNvPr id="6" name="Chart 5">
          <a:extLst>
            <a:ext uri="{FF2B5EF4-FFF2-40B4-BE49-F238E27FC236}">
              <a16:creationId xmlns:a16="http://schemas.microsoft.com/office/drawing/2014/main" id="{B0BBA7FE-6BE5-42F6-A170-8B82FF4DF3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21431</xdr:colOff>
      <xdr:row>1</xdr:row>
      <xdr:rowOff>266700</xdr:rowOff>
    </xdr:from>
    <xdr:to>
      <xdr:col>25</xdr:col>
      <xdr:colOff>307182</xdr:colOff>
      <xdr:row>13</xdr:row>
      <xdr:rowOff>28576</xdr:rowOff>
    </xdr:to>
    <xdr:graphicFrame macro="[0]!Select_NV1_PRUrgentComplete">
      <xdr:nvGraphicFramePr>
        <xdr:cNvPr id="11" name="Chart 10">
          <a:extLst>
            <a:ext uri="{FF2B5EF4-FFF2-40B4-BE49-F238E27FC236}">
              <a16:creationId xmlns:a16="http://schemas.microsoft.com/office/drawing/2014/main" id="{19963E99-2A9F-4060-A1B8-5DE35ADB64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261939</xdr:colOff>
      <xdr:row>14</xdr:row>
      <xdr:rowOff>154781</xdr:rowOff>
    </xdr:from>
    <xdr:to>
      <xdr:col>8</xdr:col>
      <xdr:colOff>309563</xdr:colOff>
      <xdr:row>30</xdr:row>
      <xdr:rowOff>47626</xdr:rowOff>
    </xdr:to>
    <xdr:graphicFrame macro="[0]!Select_NV1_PRPending">
      <xdr:nvGraphicFramePr>
        <xdr:cNvPr id="12" name="Chart 11">
          <a:extLst>
            <a:ext uri="{FF2B5EF4-FFF2-40B4-BE49-F238E27FC236}">
              <a16:creationId xmlns:a16="http://schemas.microsoft.com/office/drawing/2014/main" id="{ED03A14C-9A3C-46CB-980E-2D22DF095B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559592</xdr:colOff>
      <xdr:row>14</xdr:row>
      <xdr:rowOff>161923</xdr:rowOff>
    </xdr:from>
    <xdr:to>
      <xdr:col>16</xdr:col>
      <xdr:colOff>607217</xdr:colOff>
      <xdr:row>30</xdr:row>
      <xdr:rowOff>83342</xdr:rowOff>
    </xdr:to>
    <xdr:graphicFrame macro="[0]!Select_NV1_POPending">
      <xdr:nvGraphicFramePr>
        <xdr:cNvPr id="13" name="Chart 12">
          <a:extLst>
            <a:ext uri="{FF2B5EF4-FFF2-40B4-BE49-F238E27FC236}">
              <a16:creationId xmlns:a16="http://schemas.microsoft.com/office/drawing/2014/main" id="{E6881D69-0572-4282-A750-6402945BFF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163206</xdr:colOff>
      <xdr:row>1</xdr:row>
      <xdr:rowOff>316285</xdr:rowOff>
    </xdr:from>
    <xdr:to>
      <xdr:col>4</xdr:col>
      <xdr:colOff>182096</xdr:colOff>
      <xdr:row>2</xdr:row>
      <xdr:rowOff>146195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E1571FD3-3360-4ED1-82D6-703371E55A34}"/>
            </a:ext>
          </a:extLst>
        </xdr:cNvPr>
        <xdr:cNvSpPr/>
      </xdr:nvSpPr>
      <xdr:spPr>
        <a:xfrm>
          <a:off x="770425" y="756816"/>
          <a:ext cx="1840546" cy="44903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 w="190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Year</a:t>
          </a:r>
        </a:p>
      </xdr:txBody>
    </xdr:sp>
    <xdr:clientData/>
  </xdr:twoCellAnchor>
  <xdr:twoCellAnchor>
    <xdr:from>
      <xdr:col>2</xdr:col>
      <xdr:colOff>211848</xdr:colOff>
      <xdr:row>1</xdr:row>
      <xdr:rowOff>377439</xdr:rowOff>
    </xdr:from>
    <xdr:to>
      <xdr:col>4</xdr:col>
      <xdr:colOff>701</xdr:colOff>
      <xdr:row>2</xdr:row>
      <xdr:rowOff>65836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B34E4B9D-D82A-4414-95F6-2082BAF34A52}"/>
            </a:ext>
          </a:extLst>
        </xdr:cNvPr>
        <xdr:cNvSpPr/>
      </xdr:nvSpPr>
      <xdr:spPr>
        <a:xfrm>
          <a:off x="1426286" y="817970"/>
          <a:ext cx="1003290" cy="307522"/>
        </a:xfrm>
        <a:prstGeom prst="roundRect">
          <a:avLst/>
        </a:prstGeom>
        <a:solidFill>
          <a:sysClr val="window" lastClr="FFFFFF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2021</a:t>
          </a:r>
        </a:p>
      </xdr:txBody>
    </xdr:sp>
    <xdr:clientData/>
  </xdr:twoCellAnchor>
  <xdr:twoCellAnchor>
    <xdr:from>
      <xdr:col>0</xdr:col>
      <xdr:colOff>374196</xdr:colOff>
      <xdr:row>8</xdr:row>
      <xdr:rowOff>178594</xdr:rowOff>
    </xdr:from>
    <xdr:to>
      <xdr:col>4</xdr:col>
      <xdr:colOff>532781</xdr:colOff>
      <xdr:row>11</xdr:row>
      <xdr:rowOff>56129</xdr:rowOff>
    </xdr:to>
    <xdr:sp macro="" textlink="Data!AJ4">
      <xdr:nvSpPr>
        <xdr:cNvPr id="20" name="Rectangle: Rounded Corners 19">
          <a:extLst>
            <a:ext uri="{FF2B5EF4-FFF2-40B4-BE49-F238E27FC236}">
              <a16:creationId xmlns:a16="http://schemas.microsoft.com/office/drawing/2014/main" id="{4B0B23F7-7EB4-4061-A895-A1B3E7378E14}"/>
            </a:ext>
          </a:extLst>
        </xdr:cNvPr>
        <xdr:cNvSpPr/>
      </xdr:nvSpPr>
      <xdr:spPr>
        <a:xfrm>
          <a:off x="374196" y="2571750"/>
          <a:ext cx="2587460" cy="44903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19050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F10B643-6613-42B3-B82F-8CB8161DDC1A}" type="TxLink">
            <a:rPr lang="en-US" sz="1400" b="1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DO TRUC LAM</a:t>
          </a:fld>
          <a:endParaRPr lang="en-US" sz="14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345280</xdr:colOff>
      <xdr:row>14</xdr:row>
      <xdr:rowOff>164304</xdr:rowOff>
    </xdr:from>
    <xdr:to>
      <xdr:col>25</xdr:col>
      <xdr:colOff>250029</xdr:colOff>
      <xdr:row>30</xdr:row>
      <xdr:rowOff>83343</xdr:rowOff>
    </xdr:to>
    <xdr:graphicFrame macro="[0]!Select_NV2_AvgProcessingTime">
      <xdr:nvGraphicFramePr>
        <xdr:cNvPr id="7" name="Chart 6">
          <a:extLst>
            <a:ext uri="{FF2B5EF4-FFF2-40B4-BE49-F238E27FC236}">
              <a16:creationId xmlns:a16="http://schemas.microsoft.com/office/drawing/2014/main" id="{4CA4D6D8-B911-4F4F-8FD1-88DA612351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202405</xdr:colOff>
      <xdr:row>2</xdr:row>
      <xdr:rowOff>361949</xdr:rowOff>
    </xdr:from>
    <xdr:to>
      <xdr:col>4</xdr:col>
      <xdr:colOff>488155</xdr:colOff>
      <xdr:row>7</xdr:row>
      <xdr:rowOff>71436</xdr:rowOff>
    </xdr:to>
    <xdr:sp macro="" textlink="">
      <xdr:nvSpPr>
        <xdr:cNvPr id="8" name="Arrow: Left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152123A-C2BD-4F4B-89EE-D8A2F8339484}"/>
            </a:ext>
          </a:extLst>
        </xdr:cNvPr>
        <xdr:cNvSpPr/>
      </xdr:nvSpPr>
      <xdr:spPr>
        <a:xfrm>
          <a:off x="202405" y="1419224"/>
          <a:ext cx="2724150" cy="852487"/>
        </a:xfrm>
        <a:prstGeom prst="leftArrow">
          <a:avLst/>
        </a:prstGeom>
        <a:solidFill>
          <a:sysClr val="window" lastClr="FFFFFF"/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Nhân</a:t>
          </a:r>
          <a:r>
            <a:rPr lang="en-US" sz="1400" b="1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viên mua hàng</a:t>
          </a:r>
          <a:endParaRPr lang="en-US" sz="1400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542923</xdr:colOff>
      <xdr:row>1</xdr:row>
      <xdr:rowOff>261937</xdr:rowOff>
    </xdr:from>
    <xdr:to>
      <xdr:col>15</xdr:col>
      <xdr:colOff>221455</xdr:colOff>
      <xdr:row>13</xdr:row>
      <xdr:rowOff>23813</xdr:rowOff>
    </xdr:to>
    <xdr:graphicFrame macro="[0]!Select_NV2_TotalPRPO">
      <xdr:nvGraphicFramePr>
        <xdr:cNvPr id="12" name="Chart 11">
          <a:extLst>
            <a:ext uri="{FF2B5EF4-FFF2-40B4-BE49-F238E27FC236}">
              <a16:creationId xmlns:a16="http://schemas.microsoft.com/office/drawing/2014/main" id="{2EEA99CB-9217-472A-8E60-9E288B0245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569120</xdr:colOff>
      <xdr:row>1</xdr:row>
      <xdr:rowOff>266700</xdr:rowOff>
    </xdr:from>
    <xdr:to>
      <xdr:col>25</xdr:col>
      <xdr:colOff>247652</xdr:colOff>
      <xdr:row>13</xdr:row>
      <xdr:rowOff>28576</xdr:rowOff>
    </xdr:to>
    <xdr:graphicFrame macro="[0]!Select_NV2_PRUrgentComplete">
      <xdr:nvGraphicFramePr>
        <xdr:cNvPr id="13" name="Chart 12">
          <a:extLst>
            <a:ext uri="{FF2B5EF4-FFF2-40B4-BE49-F238E27FC236}">
              <a16:creationId xmlns:a16="http://schemas.microsoft.com/office/drawing/2014/main" id="{FD11A4DD-4FEC-45EB-9608-3E5F8F4DD2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297658</xdr:colOff>
      <xdr:row>14</xdr:row>
      <xdr:rowOff>154781</xdr:rowOff>
    </xdr:from>
    <xdr:to>
      <xdr:col>8</xdr:col>
      <xdr:colOff>345282</xdr:colOff>
      <xdr:row>30</xdr:row>
      <xdr:rowOff>47626</xdr:rowOff>
    </xdr:to>
    <xdr:graphicFrame macro="[0]!Select_NV2_PRPending">
      <xdr:nvGraphicFramePr>
        <xdr:cNvPr id="14" name="Chart 13">
          <a:extLst>
            <a:ext uri="{FF2B5EF4-FFF2-40B4-BE49-F238E27FC236}">
              <a16:creationId xmlns:a16="http://schemas.microsoft.com/office/drawing/2014/main" id="{9A0A293D-3A81-4488-A39E-1AB9DD3BA8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607218</xdr:colOff>
      <xdr:row>14</xdr:row>
      <xdr:rowOff>161924</xdr:rowOff>
    </xdr:from>
    <xdr:to>
      <xdr:col>17</xdr:col>
      <xdr:colOff>47624</xdr:colOff>
      <xdr:row>30</xdr:row>
      <xdr:rowOff>83343</xdr:rowOff>
    </xdr:to>
    <xdr:graphicFrame macro="[0]!Select_NV2_POPending">
      <xdr:nvGraphicFramePr>
        <xdr:cNvPr id="15" name="Chart 14">
          <a:extLst>
            <a:ext uri="{FF2B5EF4-FFF2-40B4-BE49-F238E27FC236}">
              <a16:creationId xmlns:a16="http://schemas.microsoft.com/office/drawing/2014/main" id="{3A724780-ADAF-4E97-8F36-6101BC0FCF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163206</xdr:colOff>
      <xdr:row>1</xdr:row>
      <xdr:rowOff>316285</xdr:rowOff>
    </xdr:from>
    <xdr:to>
      <xdr:col>4</xdr:col>
      <xdr:colOff>182096</xdr:colOff>
      <xdr:row>2</xdr:row>
      <xdr:rowOff>146195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D11C10E5-DDA4-4C6C-9D58-3DB6A3C19905}"/>
            </a:ext>
          </a:extLst>
        </xdr:cNvPr>
        <xdr:cNvSpPr/>
      </xdr:nvSpPr>
      <xdr:spPr>
        <a:xfrm>
          <a:off x="772806" y="754435"/>
          <a:ext cx="1847690" cy="44903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Year</a:t>
          </a:r>
        </a:p>
      </xdr:txBody>
    </xdr:sp>
    <xdr:clientData/>
  </xdr:twoCellAnchor>
  <xdr:twoCellAnchor>
    <xdr:from>
      <xdr:col>2</xdr:col>
      <xdr:colOff>211848</xdr:colOff>
      <xdr:row>1</xdr:row>
      <xdr:rowOff>377439</xdr:rowOff>
    </xdr:from>
    <xdr:to>
      <xdr:col>4</xdr:col>
      <xdr:colOff>701</xdr:colOff>
      <xdr:row>2</xdr:row>
      <xdr:rowOff>65836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2C84A85D-2C7E-48E4-B276-8A3D06C14C96}"/>
            </a:ext>
          </a:extLst>
        </xdr:cNvPr>
        <xdr:cNvSpPr/>
      </xdr:nvSpPr>
      <xdr:spPr>
        <a:xfrm>
          <a:off x="1431048" y="815589"/>
          <a:ext cx="1008053" cy="307522"/>
        </a:xfrm>
        <a:prstGeom prst="roundRect">
          <a:avLst/>
        </a:prstGeom>
        <a:solidFill>
          <a:sysClr val="window" lastClr="FFFFFF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2021</a:t>
          </a:r>
        </a:p>
      </xdr:txBody>
    </xdr:sp>
    <xdr:clientData/>
  </xdr:twoCellAnchor>
  <xdr:twoCellAnchor>
    <xdr:from>
      <xdr:col>0</xdr:col>
      <xdr:colOff>326571</xdr:colOff>
      <xdr:row>8</xdr:row>
      <xdr:rowOff>130969</xdr:rowOff>
    </xdr:from>
    <xdr:to>
      <xdr:col>4</xdr:col>
      <xdr:colOff>485156</xdr:colOff>
      <xdr:row>11</xdr:row>
      <xdr:rowOff>8504</xdr:rowOff>
    </xdr:to>
    <xdr:sp macro="" textlink="Data!AJ5">
      <xdr:nvSpPr>
        <xdr:cNvPr id="18" name="Rectangle: Rounded Corners 17">
          <a:extLst>
            <a:ext uri="{FF2B5EF4-FFF2-40B4-BE49-F238E27FC236}">
              <a16:creationId xmlns:a16="http://schemas.microsoft.com/office/drawing/2014/main" id="{C2C0A06F-2AE5-44AA-9DFA-7050C8596F1E}"/>
            </a:ext>
          </a:extLst>
        </xdr:cNvPr>
        <xdr:cNvSpPr/>
      </xdr:nvSpPr>
      <xdr:spPr>
        <a:xfrm>
          <a:off x="326571" y="2521744"/>
          <a:ext cx="2596985" cy="44903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12700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8C1C10D-63BB-41ED-9BA4-E7BCA9977151}" type="TxLink">
            <a:rPr lang="en-US" sz="1400" b="1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DO MAI HA</a:t>
          </a:fld>
          <a:endParaRPr lang="en-US" sz="14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226217</xdr:colOff>
      <xdr:row>14</xdr:row>
      <xdr:rowOff>176212</xdr:rowOff>
    </xdr:from>
    <xdr:to>
      <xdr:col>25</xdr:col>
      <xdr:colOff>261936</xdr:colOff>
      <xdr:row>30</xdr:row>
      <xdr:rowOff>83344</xdr:rowOff>
    </xdr:to>
    <xdr:graphicFrame macro="[0]!Select_NV3_AvgProcessingTime">
      <xdr:nvGraphicFramePr>
        <xdr:cNvPr id="19" name="Chart 18">
          <a:extLst>
            <a:ext uri="{FF2B5EF4-FFF2-40B4-BE49-F238E27FC236}">
              <a16:creationId xmlns:a16="http://schemas.microsoft.com/office/drawing/2014/main" id="{432161F7-2427-4BAB-9190-D1880B04D7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202405</xdr:colOff>
      <xdr:row>2</xdr:row>
      <xdr:rowOff>361949</xdr:rowOff>
    </xdr:from>
    <xdr:to>
      <xdr:col>4</xdr:col>
      <xdr:colOff>488155</xdr:colOff>
      <xdr:row>7</xdr:row>
      <xdr:rowOff>71436</xdr:rowOff>
    </xdr:to>
    <xdr:sp macro="" textlink="">
      <xdr:nvSpPr>
        <xdr:cNvPr id="20" name="Arrow: Left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1CC790B-2B9D-4A10-B31B-E2ABAC5DED81}"/>
            </a:ext>
          </a:extLst>
        </xdr:cNvPr>
        <xdr:cNvSpPr/>
      </xdr:nvSpPr>
      <xdr:spPr>
        <a:xfrm>
          <a:off x="202405" y="1419224"/>
          <a:ext cx="2724150" cy="852487"/>
        </a:xfrm>
        <a:prstGeom prst="leftArrow">
          <a:avLst/>
        </a:prstGeom>
        <a:solidFill>
          <a:sysClr val="window" lastClr="FFFFFF"/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Nhân</a:t>
          </a:r>
          <a:r>
            <a:rPr lang="en-US" sz="1400" b="1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viên mua hàng</a:t>
          </a:r>
          <a:endParaRPr lang="en-US" sz="1400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7142</xdr:colOff>
      <xdr:row>1</xdr:row>
      <xdr:rowOff>273843</xdr:rowOff>
    </xdr:from>
    <xdr:to>
      <xdr:col>15</xdr:col>
      <xdr:colOff>292893</xdr:colOff>
      <xdr:row>13</xdr:row>
      <xdr:rowOff>35719</xdr:rowOff>
    </xdr:to>
    <xdr:graphicFrame macro="[0]!Select_NV3_TotalPRPO">
      <xdr:nvGraphicFramePr>
        <xdr:cNvPr id="21" name="Chart 20">
          <a:extLst>
            <a:ext uri="{FF2B5EF4-FFF2-40B4-BE49-F238E27FC236}">
              <a16:creationId xmlns:a16="http://schemas.microsoft.com/office/drawing/2014/main" id="{569A3ECE-6457-46DC-8B9C-A16653682C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604838</xdr:colOff>
      <xdr:row>1</xdr:row>
      <xdr:rowOff>266700</xdr:rowOff>
    </xdr:from>
    <xdr:to>
      <xdr:col>25</xdr:col>
      <xdr:colOff>283370</xdr:colOff>
      <xdr:row>13</xdr:row>
      <xdr:rowOff>28576</xdr:rowOff>
    </xdr:to>
    <xdr:graphicFrame macro="[0]!Select_NV3_PRUrgentComplete">
      <xdr:nvGraphicFramePr>
        <xdr:cNvPr id="22" name="Chart 21">
          <a:extLst>
            <a:ext uri="{FF2B5EF4-FFF2-40B4-BE49-F238E27FC236}">
              <a16:creationId xmlns:a16="http://schemas.microsoft.com/office/drawing/2014/main" id="{091E0589-0869-4635-8AC2-D71331CB0C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297658</xdr:colOff>
      <xdr:row>15</xdr:row>
      <xdr:rowOff>0</xdr:rowOff>
    </xdr:from>
    <xdr:to>
      <xdr:col>8</xdr:col>
      <xdr:colOff>345282</xdr:colOff>
      <xdr:row>30</xdr:row>
      <xdr:rowOff>83345</xdr:rowOff>
    </xdr:to>
    <xdr:graphicFrame macro="[0]!Select_NV3_PRPending">
      <xdr:nvGraphicFramePr>
        <xdr:cNvPr id="23" name="Chart 22">
          <a:extLst>
            <a:ext uri="{FF2B5EF4-FFF2-40B4-BE49-F238E27FC236}">
              <a16:creationId xmlns:a16="http://schemas.microsoft.com/office/drawing/2014/main" id="{E21CAAA0-5437-4A56-9F4E-81832C438B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595312</xdr:colOff>
      <xdr:row>14</xdr:row>
      <xdr:rowOff>173830</xdr:rowOff>
    </xdr:from>
    <xdr:to>
      <xdr:col>17</xdr:col>
      <xdr:colOff>35718</xdr:colOff>
      <xdr:row>30</xdr:row>
      <xdr:rowOff>95249</xdr:rowOff>
    </xdr:to>
    <xdr:graphicFrame macro="[0]!Select_NV3_POPending">
      <xdr:nvGraphicFramePr>
        <xdr:cNvPr id="24" name="Chart 23">
          <a:extLst>
            <a:ext uri="{FF2B5EF4-FFF2-40B4-BE49-F238E27FC236}">
              <a16:creationId xmlns:a16="http://schemas.microsoft.com/office/drawing/2014/main" id="{A193CD7D-41AD-449E-A267-9BF6388C32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163206</xdr:colOff>
      <xdr:row>1</xdr:row>
      <xdr:rowOff>316285</xdr:rowOff>
    </xdr:from>
    <xdr:to>
      <xdr:col>4</xdr:col>
      <xdr:colOff>182096</xdr:colOff>
      <xdr:row>2</xdr:row>
      <xdr:rowOff>146195</xdr:rowOff>
    </xdr:to>
    <xdr:sp macro="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329093FD-5B3B-4328-8503-733200B3DE7F}"/>
            </a:ext>
          </a:extLst>
        </xdr:cNvPr>
        <xdr:cNvSpPr/>
      </xdr:nvSpPr>
      <xdr:spPr>
        <a:xfrm>
          <a:off x="772806" y="754435"/>
          <a:ext cx="1847690" cy="44903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Year</a:t>
          </a:r>
        </a:p>
      </xdr:txBody>
    </xdr:sp>
    <xdr:clientData/>
  </xdr:twoCellAnchor>
  <xdr:twoCellAnchor>
    <xdr:from>
      <xdr:col>2</xdr:col>
      <xdr:colOff>211848</xdr:colOff>
      <xdr:row>1</xdr:row>
      <xdr:rowOff>377439</xdr:rowOff>
    </xdr:from>
    <xdr:to>
      <xdr:col>4</xdr:col>
      <xdr:colOff>701</xdr:colOff>
      <xdr:row>2</xdr:row>
      <xdr:rowOff>65836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1A83C3F2-60F0-4ED1-8B4F-69CA9BC07275}"/>
            </a:ext>
          </a:extLst>
        </xdr:cNvPr>
        <xdr:cNvSpPr/>
      </xdr:nvSpPr>
      <xdr:spPr>
        <a:xfrm>
          <a:off x="1431048" y="815589"/>
          <a:ext cx="1008053" cy="307522"/>
        </a:xfrm>
        <a:prstGeom prst="roundRect">
          <a:avLst/>
        </a:prstGeom>
        <a:solidFill>
          <a:sysClr val="window" lastClr="FFFFFF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2021</a:t>
          </a:r>
        </a:p>
      </xdr:txBody>
    </xdr:sp>
    <xdr:clientData/>
  </xdr:twoCellAnchor>
  <xdr:twoCellAnchor>
    <xdr:from>
      <xdr:col>0</xdr:col>
      <xdr:colOff>326571</xdr:colOff>
      <xdr:row>8</xdr:row>
      <xdr:rowOff>130969</xdr:rowOff>
    </xdr:from>
    <xdr:to>
      <xdr:col>4</xdr:col>
      <xdr:colOff>485156</xdr:colOff>
      <xdr:row>11</xdr:row>
      <xdr:rowOff>8504</xdr:rowOff>
    </xdr:to>
    <xdr:sp macro="" textlink="Data!AJ6">
      <xdr:nvSpPr>
        <xdr:cNvPr id="27" name="Rectangle: Rounded Corners 26">
          <a:extLst>
            <a:ext uri="{FF2B5EF4-FFF2-40B4-BE49-F238E27FC236}">
              <a16:creationId xmlns:a16="http://schemas.microsoft.com/office/drawing/2014/main" id="{CF50404C-E314-435E-B426-45A65AD05BA4}"/>
            </a:ext>
          </a:extLst>
        </xdr:cNvPr>
        <xdr:cNvSpPr/>
      </xdr:nvSpPr>
      <xdr:spPr>
        <a:xfrm>
          <a:off x="326571" y="2521744"/>
          <a:ext cx="2596985" cy="44903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12700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681C26D-E294-4F82-A6BD-D205BB1D8288}" type="TxLink">
            <a:rPr lang="en-US" sz="1400" b="1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BUI NHU BAO</a:t>
          </a:fld>
          <a:endParaRPr lang="en-US" sz="14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85726</xdr:colOff>
      <xdr:row>0</xdr:row>
      <xdr:rowOff>85726</xdr:rowOff>
    </xdr:from>
    <xdr:to>
      <xdr:col>3</xdr:col>
      <xdr:colOff>333375</xdr:colOff>
      <xdr:row>3</xdr:row>
      <xdr:rowOff>133350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548E00-C639-4B37-874C-C5930FA405CD}"/>
            </a:ext>
          </a:extLst>
        </xdr:cNvPr>
        <xdr:cNvSpPr/>
      </xdr:nvSpPr>
      <xdr:spPr>
        <a:xfrm>
          <a:off x="85726" y="85726"/>
          <a:ext cx="2076449" cy="619124"/>
        </a:xfrm>
        <a:prstGeom prst="leftArrow">
          <a:avLst/>
        </a:prstGeom>
        <a:solidFill>
          <a:sysClr val="window" lastClr="FFFFFF"/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Phòng</a:t>
          </a:r>
          <a:r>
            <a:rPr lang="en-US" sz="1400" b="1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mua hàng</a:t>
          </a:r>
          <a:endParaRPr lang="en-US" sz="1400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9524</xdr:colOff>
      <xdr:row>0</xdr:row>
      <xdr:rowOff>38100</xdr:rowOff>
    </xdr:from>
    <xdr:to>
      <xdr:col>17</xdr:col>
      <xdr:colOff>552449</xdr:colOff>
      <xdr:row>24</xdr:row>
      <xdr:rowOff>47625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20FE37D-6C34-42CF-BA36-1063AB976606}"/>
            </a:ext>
            <a:ext uri="{147F2762-F138-4A5C-976F-8EAC2B608ADB}">
              <a16:predDERef xmlns:a16="http://schemas.microsoft.com/office/drawing/2014/main" pred="{DD03C989-C8B9-4E7A-8F06-58B407B817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28574</xdr:rowOff>
    </xdr:from>
    <xdr:to>
      <xdr:col>17</xdr:col>
      <xdr:colOff>590550</xdr:colOff>
      <xdr:row>24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C18E114-0695-4015-BE2F-1743F52B6C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0</xdr:row>
      <xdr:rowOff>76200</xdr:rowOff>
    </xdr:from>
    <xdr:to>
      <xdr:col>3</xdr:col>
      <xdr:colOff>342899</xdr:colOff>
      <xdr:row>3</xdr:row>
      <xdr:rowOff>123824</xdr:rowOff>
    </xdr:to>
    <xdr:sp macro="" textlink="">
      <xdr:nvSpPr>
        <xdr:cNvPr id="3" name="Arrow: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0AE842B-20B0-4226-B27B-F58BDD4019B8}"/>
            </a:ext>
          </a:extLst>
        </xdr:cNvPr>
        <xdr:cNvSpPr/>
      </xdr:nvSpPr>
      <xdr:spPr>
        <a:xfrm>
          <a:off x="95250" y="76200"/>
          <a:ext cx="2076449" cy="619124"/>
        </a:xfrm>
        <a:prstGeom prst="leftArrow">
          <a:avLst/>
        </a:prstGeom>
        <a:solidFill>
          <a:sysClr val="window" lastClr="FFFFFF"/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Phòng</a:t>
          </a:r>
          <a:r>
            <a:rPr lang="en-US" sz="1400" b="1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mua hàng</a:t>
          </a:r>
          <a:endParaRPr lang="en-US" sz="1400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95250</xdr:rowOff>
    </xdr:from>
    <xdr:to>
      <xdr:col>3</xdr:col>
      <xdr:colOff>400049</xdr:colOff>
      <xdr:row>3</xdr:row>
      <xdr:rowOff>142874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429989-7AB9-4330-BF5C-46B1D0EBCCD9}"/>
            </a:ext>
          </a:extLst>
        </xdr:cNvPr>
        <xdr:cNvSpPr/>
      </xdr:nvSpPr>
      <xdr:spPr>
        <a:xfrm>
          <a:off x="152400" y="95250"/>
          <a:ext cx="2076449" cy="619124"/>
        </a:xfrm>
        <a:prstGeom prst="leftArrow">
          <a:avLst/>
        </a:prstGeom>
        <a:solidFill>
          <a:sysClr val="window" lastClr="FFFFFF"/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Phòng</a:t>
          </a:r>
          <a:r>
            <a:rPr lang="en-US" sz="1400" b="1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mua hàng</a:t>
          </a:r>
          <a:endParaRPr lang="en-US" sz="1400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488950</xdr:colOff>
      <xdr:row>0</xdr:row>
      <xdr:rowOff>0</xdr:rowOff>
    </xdr:from>
    <xdr:to>
      <xdr:col>17</xdr:col>
      <xdr:colOff>460375</xdr:colOff>
      <xdr:row>23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C63FBEE-C1D7-4038-97CB-C9E6F09CB6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85725</xdr:rowOff>
    </xdr:from>
    <xdr:to>
      <xdr:col>3</xdr:col>
      <xdr:colOff>314324</xdr:colOff>
      <xdr:row>3</xdr:row>
      <xdr:rowOff>133349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492AA2-6143-4C73-B36B-9FD904878EC4}"/>
            </a:ext>
          </a:extLst>
        </xdr:cNvPr>
        <xdr:cNvSpPr/>
      </xdr:nvSpPr>
      <xdr:spPr>
        <a:xfrm>
          <a:off x="66675" y="85725"/>
          <a:ext cx="2076449" cy="619124"/>
        </a:xfrm>
        <a:prstGeom prst="leftArrow">
          <a:avLst/>
        </a:prstGeom>
        <a:solidFill>
          <a:sysClr val="window" lastClr="FFFFFF"/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Phòng</a:t>
          </a:r>
          <a:r>
            <a:rPr lang="en-US" sz="1400" b="1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mua hàng</a:t>
          </a:r>
          <a:endParaRPr lang="en-US" sz="1400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368300</xdr:colOff>
      <xdr:row>0</xdr:row>
      <xdr:rowOff>127000</xdr:rowOff>
    </xdr:from>
    <xdr:to>
      <xdr:col>17</xdr:col>
      <xdr:colOff>320675</xdr:colOff>
      <xdr:row>24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F1C77C9-1508-457B-AA44-32A0910006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66675</xdr:rowOff>
    </xdr:from>
    <xdr:to>
      <xdr:col>3</xdr:col>
      <xdr:colOff>371474</xdr:colOff>
      <xdr:row>3</xdr:row>
      <xdr:rowOff>114299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7D2667-BF67-45BB-A3A1-DF910E9AC0C4}"/>
            </a:ext>
          </a:extLst>
        </xdr:cNvPr>
        <xdr:cNvSpPr/>
      </xdr:nvSpPr>
      <xdr:spPr>
        <a:xfrm>
          <a:off x="123825" y="66675"/>
          <a:ext cx="2076449" cy="619124"/>
        </a:xfrm>
        <a:prstGeom prst="leftArrow">
          <a:avLst/>
        </a:prstGeom>
        <a:solidFill>
          <a:sysClr val="window" lastClr="FFFFFF"/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Phòng</a:t>
          </a:r>
          <a:r>
            <a:rPr lang="en-US" sz="1400" b="1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mua hàng</a:t>
          </a:r>
          <a:endParaRPr lang="en-US" sz="1400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444500</xdr:colOff>
      <xdr:row>0</xdr:row>
      <xdr:rowOff>31750</xdr:rowOff>
    </xdr:from>
    <xdr:to>
      <xdr:col>17</xdr:col>
      <xdr:colOff>396875</xdr:colOff>
      <xdr:row>24</xdr:row>
      <xdr:rowOff>22225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80ED2A7-FBB2-42C8-AE18-66B6B79E99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28576</xdr:rowOff>
    </xdr:from>
    <xdr:to>
      <xdr:col>17</xdr:col>
      <xdr:colOff>581025</xdr:colOff>
      <xdr:row>23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D28ADA-0B18-4DD1-A3AD-E8BF20AF8AA1}"/>
            </a:ext>
            <a:ext uri="{147F2762-F138-4A5C-976F-8EAC2B608ADB}">
              <a16:predDERef xmlns:a16="http://schemas.microsoft.com/office/drawing/2014/main" pred="{2D6A0B08-8CF6-429C-85B3-4F6E17AAC8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</xdr:colOff>
      <xdr:row>0</xdr:row>
      <xdr:rowOff>85725</xdr:rowOff>
    </xdr:from>
    <xdr:to>
      <xdr:col>3</xdr:col>
      <xdr:colOff>380999</xdr:colOff>
      <xdr:row>3</xdr:row>
      <xdr:rowOff>133349</xdr:rowOff>
    </xdr:to>
    <xdr:sp macro="" textlink="">
      <xdr:nvSpPr>
        <xdr:cNvPr id="3" name="Arrow: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53B794B-0615-44F3-88D3-7A48BD93EB60}"/>
            </a:ext>
          </a:extLst>
        </xdr:cNvPr>
        <xdr:cNvSpPr/>
      </xdr:nvSpPr>
      <xdr:spPr>
        <a:xfrm>
          <a:off x="66675" y="85725"/>
          <a:ext cx="2143124" cy="619124"/>
        </a:xfrm>
        <a:prstGeom prst="leftArrow">
          <a:avLst/>
        </a:prstGeom>
        <a:solidFill>
          <a:sysClr val="window" lastClr="FFFFFF"/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Nhân</a:t>
          </a:r>
          <a:r>
            <a:rPr lang="en-US" sz="1400" b="1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viên mua hàng</a:t>
          </a:r>
          <a:endParaRPr lang="en-US" sz="1400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0.0056</cdr:x>
      <cdr:y>0.94307</cdr:y>
    </cdr:from>
    <cdr:to>
      <cdr:x>0.06278</cdr:x>
      <cdr:y>0.98833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58728789-F84A-48CD-A2ED-DF391B9F6835}"/>
            </a:ext>
          </a:extLst>
        </cdr:cNvPr>
        <cdr:cNvSpPr/>
      </cdr:nvSpPr>
      <cdr:spPr>
        <a:xfrm xmlns:a="http://schemas.openxmlformats.org/drawingml/2006/main">
          <a:off x="47585" y="4275769"/>
          <a:ext cx="485818" cy="20520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0</xdr:row>
      <xdr:rowOff>38101</xdr:rowOff>
    </xdr:from>
    <xdr:to>
      <xdr:col>17</xdr:col>
      <xdr:colOff>590550</xdr:colOff>
      <xdr:row>24</xdr:row>
      <xdr:rowOff>19051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C5E9AA-BB44-4665-8789-F486B9C9C3A5}"/>
            </a:ext>
            <a:ext uri="{147F2762-F138-4A5C-976F-8EAC2B608ADB}">
              <a16:predDERef xmlns:a16="http://schemas.microsoft.com/office/drawing/2014/main" pred="{16115A5D-91AF-4A09-9176-34E57DEA88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95251</xdr:colOff>
      <xdr:row>0</xdr:row>
      <xdr:rowOff>57151</xdr:rowOff>
    </xdr:from>
    <xdr:to>
      <xdr:col>3</xdr:col>
      <xdr:colOff>409575</xdr:colOff>
      <xdr:row>3</xdr:row>
      <xdr:rowOff>104775</xdr:rowOff>
    </xdr:to>
    <xdr:sp macro="" textlink="">
      <xdr:nvSpPr>
        <xdr:cNvPr id="3" name="Arrow: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5EE4515-1945-4AEF-980F-F1F15B30D8A9}"/>
            </a:ext>
          </a:extLst>
        </xdr:cNvPr>
        <xdr:cNvSpPr/>
      </xdr:nvSpPr>
      <xdr:spPr>
        <a:xfrm>
          <a:off x="95251" y="57151"/>
          <a:ext cx="2143124" cy="619124"/>
        </a:xfrm>
        <a:prstGeom prst="leftArrow">
          <a:avLst/>
        </a:prstGeom>
        <a:solidFill>
          <a:sysClr val="window" lastClr="FFFFFF"/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Nhân</a:t>
          </a:r>
          <a:r>
            <a:rPr lang="en-US" sz="1400" b="1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viên mua hàng</a:t>
          </a:r>
          <a:endParaRPr lang="en-US" sz="1400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3</xdr:col>
      <xdr:colOff>409574</xdr:colOff>
      <xdr:row>3</xdr:row>
      <xdr:rowOff>123824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44596B-57F6-4ACA-BAD1-A25431D1AE17}"/>
            </a:ext>
          </a:extLst>
        </xdr:cNvPr>
        <xdr:cNvSpPr/>
      </xdr:nvSpPr>
      <xdr:spPr>
        <a:xfrm>
          <a:off x="95250" y="76200"/>
          <a:ext cx="2143124" cy="619124"/>
        </a:xfrm>
        <a:prstGeom prst="leftArrow">
          <a:avLst/>
        </a:prstGeom>
        <a:solidFill>
          <a:sysClr val="window" lastClr="FFFFFF"/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Nhân</a:t>
          </a:r>
          <a:r>
            <a:rPr lang="en-US" sz="1400" b="1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viên mua hàng</a:t>
          </a:r>
          <a:endParaRPr lang="en-US" sz="1400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609599</xdr:colOff>
      <xdr:row>0</xdr:row>
      <xdr:rowOff>28575</xdr:rowOff>
    </xdr:from>
    <xdr:to>
      <xdr:col>17</xdr:col>
      <xdr:colOff>600074</xdr:colOff>
      <xdr:row>24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0DEA4E-8C2F-4BCB-90E3-497CEBE04EE3}"/>
            </a:ext>
            <a:ext uri="{147F2762-F138-4A5C-976F-8EAC2B608ADB}">
              <a16:predDERef xmlns:a16="http://schemas.microsoft.com/office/drawing/2014/main" pred="{577FC213-2932-41C7-9169-A3F919158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28574</xdr:colOff>
      <xdr:row>0</xdr:row>
      <xdr:rowOff>28575</xdr:rowOff>
    </xdr:from>
    <xdr:to>
      <xdr:col>17</xdr:col>
      <xdr:colOff>590549</xdr:colOff>
      <xdr:row>24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FE8696-A3D3-40FF-9139-C5D79E080EC1}"/>
            </a:ext>
            <a:ext uri="{147F2762-F138-4A5C-976F-8EAC2B608ADB}">
              <a16:predDERef xmlns:a16="http://schemas.microsoft.com/office/drawing/2014/main" pred="{D40C24D7-A54F-4266-9B98-3E7ACD73F1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123825</xdr:colOff>
      <xdr:row>0</xdr:row>
      <xdr:rowOff>95250</xdr:rowOff>
    </xdr:from>
    <xdr:to>
      <xdr:col>3</xdr:col>
      <xdr:colOff>438149</xdr:colOff>
      <xdr:row>3</xdr:row>
      <xdr:rowOff>142874</xdr:rowOff>
    </xdr:to>
    <xdr:sp macro="" textlink="">
      <xdr:nvSpPr>
        <xdr:cNvPr id="3" name="Arrow: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7F366AF-B4DC-4008-B546-6181C4041818}"/>
            </a:ext>
          </a:extLst>
        </xdr:cNvPr>
        <xdr:cNvSpPr/>
      </xdr:nvSpPr>
      <xdr:spPr>
        <a:xfrm>
          <a:off x="123825" y="95250"/>
          <a:ext cx="2143124" cy="619124"/>
        </a:xfrm>
        <a:prstGeom prst="leftArrow">
          <a:avLst/>
        </a:prstGeom>
        <a:solidFill>
          <a:sysClr val="window" lastClr="FFFFFF"/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Nhân</a:t>
          </a:r>
          <a:r>
            <a:rPr lang="en-US" sz="1400" b="1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viên mua hàng</a:t>
          </a:r>
          <a:endParaRPr lang="en-US" sz="1400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28575</xdr:rowOff>
    </xdr:from>
    <xdr:to>
      <xdr:col>17</xdr:col>
      <xdr:colOff>600075</xdr:colOff>
      <xdr:row>23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CF4CB8-8149-4BDB-8C62-8AB224BA0933}"/>
            </a:ext>
            <a:ext uri="{147F2762-F138-4A5C-976F-8EAC2B608ADB}">
              <a16:predDERef xmlns:a16="http://schemas.microsoft.com/office/drawing/2014/main" pred="{EE8C18AE-2D6C-41F4-8C32-D563E30633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0</xdr:row>
      <xdr:rowOff>85725</xdr:rowOff>
    </xdr:from>
    <xdr:to>
      <xdr:col>3</xdr:col>
      <xdr:colOff>409574</xdr:colOff>
      <xdr:row>3</xdr:row>
      <xdr:rowOff>133349</xdr:rowOff>
    </xdr:to>
    <xdr:sp macro="" textlink="">
      <xdr:nvSpPr>
        <xdr:cNvPr id="3" name="Arrow: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70BB48E-3FCC-48A8-90BB-D202B3ED3C22}"/>
            </a:ext>
          </a:extLst>
        </xdr:cNvPr>
        <xdr:cNvSpPr/>
      </xdr:nvSpPr>
      <xdr:spPr>
        <a:xfrm>
          <a:off x="95250" y="85725"/>
          <a:ext cx="2143124" cy="619124"/>
        </a:xfrm>
        <a:prstGeom prst="leftArrow">
          <a:avLst/>
        </a:prstGeom>
        <a:solidFill>
          <a:sysClr val="window" lastClr="FFFFFF"/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Nhân</a:t>
          </a:r>
          <a:r>
            <a:rPr lang="en-US" sz="1400" b="1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viên mua hàng</a:t>
          </a:r>
          <a:endParaRPr lang="en-US" sz="1400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0.03592</cdr:x>
      <cdr:y>0.89159</cdr:y>
    </cdr:from>
    <cdr:to>
      <cdr:x>0.09102</cdr:x>
      <cdr:y>0.95397</cdr:y>
    </cdr:to>
    <cdr:sp macro="" textlink="">
      <cdr:nvSpPr>
        <cdr:cNvPr id="4" name="Rectangle 3">
          <a:extLst xmlns:a="http://schemas.openxmlformats.org/drawingml/2006/main">
            <a:ext uri="{FF2B5EF4-FFF2-40B4-BE49-F238E27FC236}">
              <a16:creationId xmlns:a16="http://schemas.microsoft.com/office/drawing/2014/main" id="{CDEDF2CE-6EF9-470D-A48E-BC89F8532E58}"/>
            </a:ext>
          </a:extLst>
        </cdr:cNvPr>
        <cdr:cNvSpPr/>
      </cdr:nvSpPr>
      <cdr:spPr>
        <a:xfrm xmlns:a="http://schemas.openxmlformats.org/drawingml/2006/main">
          <a:off x="305859" y="5010490"/>
          <a:ext cx="469196" cy="35056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9524</xdr:colOff>
      <xdr:row>0</xdr:row>
      <xdr:rowOff>38100</xdr:rowOff>
    </xdr:from>
    <xdr:to>
      <xdr:col>17</xdr:col>
      <xdr:colOff>590549</xdr:colOff>
      <xdr:row>24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2754CD-8B2A-48F9-A63F-2D0F40BD9640}"/>
            </a:ext>
            <a:ext uri="{147F2762-F138-4A5C-976F-8EAC2B608ADB}">
              <a16:predDERef xmlns:a16="http://schemas.microsoft.com/office/drawing/2014/main" pred="{221C5E0B-863D-42C8-9B10-E67FF9A3D0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123825</xdr:colOff>
      <xdr:row>0</xdr:row>
      <xdr:rowOff>66675</xdr:rowOff>
    </xdr:from>
    <xdr:to>
      <xdr:col>3</xdr:col>
      <xdr:colOff>438149</xdr:colOff>
      <xdr:row>3</xdr:row>
      <xdr:rowOff>114299</xdr:rowOff>
    </xdr:to>
    <xdr:sp macro="" textlink="">
      <xdr:nvSpPr>
        <xdr:cNvPr id="3" name="Arrow: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633D2B-48B7-4340-97B2-A7110C284ED6}"/>
            </a:ext>
          </a:extLst>
        </xdr:cNvPr>
        <xdr:cNvSpPr/>
      </xdr:nvSpPr>
      <xdr:spPr>
        <a:xfrm>
          <a:off x="123825" y="66675"/>
          <a:ext cx="2143124" cy="619124"/>
        </a:xfrm>
        <a:prstGeom prst="leftArrow">
          <a:avLst/>
        </a:prstGeom>
        <a:solidFill>
          <a:sysClr val="window" lastClr="FFFFFF"/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Nhân</a:t>
          </a:r>
          <a:r>
            <a:rPr lang="en-US" sz="1400" b="1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viên mua hàng</a:t>
          </a:r>
          <a:endParaRPr lang="en-US" sz="1400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0</xdr:row>
      <xdr:rowOff>47625</xdr:rowOff>
    </xdr:from>
    <xdr:to>
      <xdr:col>17</xdr:col>
      <xdr:colOff>523875</xdr:colOff>
      <xdr:row>24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D210DE-0FD1-4AD9-A64D-0D5D976C2BC0}"/>
            </a:ext>
            <a:ext uri="{147F2762-F138-4A5C-976F-8EAC2B608ADB}">
              <a16:predDERef xmlns:a16="http://schemas.microsoft.com/office/drawing/2014/main" pred="{36AAF9D9-4CBC-4879-9DD3-6F9CEDF7C2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123825</xdr:colOff>
      <xdr:row>0</xdr:row>
      <xdr:rowOff>76200</xdr:rowOff>
    </xdr:from>
    <xdr:to>
      <xdr:col>3</xdr:col>
      <xdr:colOff>438149</xdr:colOff>
      <xdr:row>3</xdr:row>
      <xdr:rowOff>123824</xdr:rowOff>
    </xdr:to>
    <xdr:sp macro="" textlink="">
      <xdr:nvSpPr>
        <xdr:cNvPr id="3" name="Arrow: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9A3E7EC-3607-4A15-B8B8-036563B75025}"/>
            </a:ext>
          </a:extLst>
        </xdr:cNvPr>
        <xdr:cNvSpPr/>
      </xdr:nvSpPr>
      <xdr:spPr>
        <a:xfrm>
          <a:off x="123825" y="76200"/>
          <a:ext cx="2143124" cy="619124"/>
        </a:xfrm>
        <a:prstGeom prst="leftArrow">
          <a:avLst/>
        </a:prstGeom>
        <a:solidFill>
          <a:sysClr val="window" lastClr="FFFFFF"/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Nhân</a:t>
          </a:r>
          <a:r>
            <a:rPr lang="en-US" sz="1400" b="1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viên mua hàng</a:t>
          </a:r>
          <a:endParaRPr lang="en-US" sz="1400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57150</xdr:rowOff>
    </xdr:from>
    <xdr:to>
      <xdr:col>3</xdr:col>
      <xdr:colOff>409574</xdr:colOff>
      <xdr:row>3</xdr:row>
      <xdr:rowOff>104774</xdr:rowOff>
    </xdr:to>
    <xdr:sp macro="" textlink="Data!AJ4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31A6A27-1D7D-4896-BC8D-BCBE8269F343}"/>
            </a:ext>
          </a:extLst>
        </xdr:cNvPr>
        <xdr:cNvSpPr/>
      </xdr:nvSpPr>
      <xdr:spPr>
        <a:xfrm>
          <a:off x="95250" y="57150"/>
          <a:ext cx="2143124" cy="619124"/>
        </a:xfrm>
        <a:prstGeom prst="leftArrow">
          <a:avLst/>
        </a:prstGeom>
        <a:solidFill>
          <a:sysClr val="window" lastClr="FFFFFF"/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BE3CA13-DD6B-4A56-96B2-9DB9111F54C7}" type="TxLink">
            <a:rPr lang="en-US" sz="1400" b="1" i="0" u="none" strike="noStrike">
              <a:solidFill>
                <a:srgbClr val="000000"/>
              </a:solidFill>
              <a:effectLst/>
              <a:latin typeface="Calibri"/>
              <a:cs typeface="Calibri"/>
            </a:rPr>
            <a:pPr algn="ctr"/>
            <a:t>DO TRUC LAM</a:t>
          </a:fld>
          <a:endParaRPr lang="en-US" sz="1400" b="1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0</xdr:colOff>
      <xdr:row>0</xdr:row>
      <xdr:rowOff>76200</xdr:rowOff>
    </xdr:from>
    <xdr:to>
      <xdr:col>17</xdr:col>
      <xdr:colOff>581025</xdr:colOff>
      <xdr:row>23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891607F-564D-49BF-A729-20413FDDB4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66675</xdr:rowOff>
    </xdr:from>
    <xdr:to>
      <xdr:col>3</xdr:col>
      <xdr:colOff>400049</xdr:colOff>
      <xdr:row>3</xdr:row>
      <xdr:rowOff>114299</xdr:rowOff>
    </xdr:to>
    <xdr:sp macro="" textlink="Data!AJ4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473A5E1-EA37-41CA-9C88-98888BA08785}"/>
            </a:ext>
          </a:extLst>
        </xdr:cNvPr>
        <xdr:cNvSpPr/>
      </xdr:nvSpPr>
      <xdr:spPr>
        <a:xfrm>
          <a:off x="85725" y="66675"/>
          <a:ext cx="2143124" cy="619124"/>
        </a:xfrm>
        <a:prstGeom prst="leftArrow">
          <a:avLst/>
        </a:prstGeom>
        <a:solidFill>
          <a:sysClr val="window" lastClr="FFFFFF"/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BE3CA13-DD6B-4A56-96B2-9DB9111F54C7}" type="TxLink">
            <a:rPr lang="en-US" sz="1400" b="1" i="0" u="none" strike="noStrike">
              <a:solidFill>
                <a:srgbClr val="000000"/>
              </a:solidFill>
              <a:effectLst/>
              <a:latin typeface="Calibri"/>
              <a:cs typeface="Calibri"/>
            </a:rPr>
            <a:pPr algn="ctr"/>
            <a:t>DO TRUC LAM</a:t>
          </a:fld>
          <a:endParaRPr lang="en-US" sz="1400" b="1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19050</xdr:colOff>
      <xdr:row>0</xdr:row>
      <xdr:rowOff>19050</xdr:rowOff>
    </xdr:from>
    <xdr:to>
      <xdr:col>17</xdr:col>
      <xdr:colOff>571500</xdr:colOff>
      <xdr:row>23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052C24-6551-4F90-A244-E5B0C2086B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95250</xdr:rowOff>
    </xdr:from>
    <xdr:to>
      <xdr:col>3</xdr:col>
      <xdr:colOff>447674</xdr:colOff>
      <xdr:row>3</xdr:row>
      <xdr:rowOff>142874</xdr:rowOff>
    </xdr:to>
    <xdr:sp macro="" textlink="Data!AJ4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98B391-4962-49B8-9C0F-8596B1A090A0}"/>
            </a:ext>
          </a:extLst>
        </xdr:cNvPr>
        <xdr:cNvSpPr/>
      </xdr:nvSpPr>
      <xdr:spPr>
        <a:xfrm>
          <a:off x="133350" y="95250"/>
          <a:ext cx="2143124" cy="619124"/>
        </a:xfrm>
        <a:prstGeom prst="leftArrow">
          <a:avLst/>
        </a:prstGeom>
        <a:solidFill>
          <a:sysClr val="window" lastClr="FFFFFF"/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BE3CA13-DD6B-4A56-96B2-9DB9111F54C7}" type="TxLink">
            <a:rPr lang="en-US" sz="1400" b="1" i="0" u="none" strike="noStrike">
              <a:solidFill>
                <a:srgbClr val="000000"/>
              </a:solidFill>
              <a:effectLst/>
              <a:latin typeface="Calibri"/>
              <a:cs typeface="Calibri"/>
            </a:rPr>
            <a:pPr algn="ctr"/>
            <a:t>DO TRUC LAM</a:t>
          </a:fld>
          <a:endParaRPr lang="en-US" sz="1400" b="1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9525</xdr:colOff>
      <xdr:row>0</xdr:row>
      <xdr:rowOff>38100</xdr:rowOff>
    </xdr:from>
    <xdr:to>
      <xdr:col>17</xdr:col>
      <xdr:colOff>561975</xdr:colOff>
      <xdr:row>23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0DD3192-4CB6-4722-B24F-7EFF9F9422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85725</xdr:rowOff>
    </xdr:from>
    <xdr:to>
      <xdr:col>3</xdr:col>
      <xdr:colOff>371474</xdr:colOff>
      <xdr:row>3</xdr:row>
      <xdr:rowOff>133349</xdr:rowOff>
    </xdr:to>
    <xdr:sp macro="" textlink="Data!AJ4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5CBABF-4BEA-4FC7-8B99-4DA99F3B33B5}"/>
            </a:ext>
          </a:extLst>
        </xdr:cNvPr>
        <xdr:cNvSpPr/>
      </xdr:nvSpPr>
      <xdr:spPr>
        <a:xfrm>
          <a:off x="57150" y="85725"/>
          <a:ext cx="2143124" cy="619124"/>
        </a:xfrm>
        <a:prstGeom prst="leftArrow">
          <a:avLst/>
        </a:prstGeom>
        <a:solidFill>
          <a:sysClr val="window" lastClr="FFFFFF"/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BE3CA13-DD6B-4A56-96B2-9DB9111F54C7}" type="TxLink">
            <a:rPr lang="en-US" sz="1400" b="1" i="0" u="none" strike="noStrike">
              <a:solidFill>
                <a:srgbClr val="000000"/>
              </a:solidFill>
              <a:effectLst/>
              <a:latin typeface="Calibri"/>
              <a:cs typeface="Calibri"/>
            </a:rPr>
            <a:pPr algn="ctr"/>
            <a:t>DO TRUC LAM</a:t>
          </a:fld>
          <a:endParaRPr lang="en-US" sz="1400" b="1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9525</xdr:colOff>
      <xdr:row>0</xdr:row>
      <xdr:rowOff>9525</xdr:rowOff>
    </xdr:from>
    <xdr:to>
      <xdr:col>17</xdr:col>
      <xdr:colOff>581025</xdr:colOff>
      <xdr:row>24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52FB481-B0AD-431C-A08A-0350D3C1A8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0</xdr:row>
      <xdr:rowOff>38100</xdr:rowOff>
    </xdr:from>
    <xdr:to>
      <xdr:col>17</xdr:col>
      <xdr:colOff>542925</xdr:colOff>
      <xdr:row>23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ED8033-53C4-4855-989C-B7BF14815D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114300</xdr:colOff>
      <xdr:row>0</xdr:row>
      <xdr:rowOff>57150</xdr:rowOff>
    </xdr:from>
    <xdr:to>
      <xdr:col>3</xdr:col>
      <xdr:colOff>428624</xdr:colOff>
      <xdr:row>3</xdr:row>
      <xdr:rowOff>104774</xdr:rowOff>
    </xdr:to>
    <xdr:sp macro="" textlink="Data!AJ4">
      <xdr:nvSpPr>
        <xdr:cNvPr id="3" name="Arrow: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3980AA-43DA-4FEF-B06E-2CAB35F85ED6}"/>
            </a:ext>
          </a:extLst>
        </xdr:cNvPr>
        <xdr:cNvSpPr/>
      </xdr:nvSpPr>
      <xdr:spPr>
        <a:xfrm>
          <a:off x="114300" y="57150"/>
          <a:ext cx="2143124" cy="619124"/>
        </a:xfrm>
        <a:prstGeom prst="leftArrow">
          <a:avLst/>
        </a:prstGeom>
        <a:solidFill>
          <a:sysClr val="window" lastClr="FFFFFF"/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BE3CA13-DD6B-4A56-96B2-9DB9111F54C7}" type="TxLink">
            <a:rPr lang="en-US" sz="1400" b="1" i="0" u="none" strike="noStrike">
              <a:solidFill>
                <a:srgbClr val="000000"/>
              </a:solidFill>
              <a:effectLst/>
              <a:latin typeface="Calibri"/>
              <a:cs typeface="Calibri"/>
            </a:rPr>
            <a:pPr algn="ctr"/>
            <a:t>DO TRUC LAM</a:t>
          </a:fld>
          <a:endParaRPr lang="en-US" sz="1400" b="1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28576</xdr:colOff>
      <xdr:row>0</xdr:row>
      <xdr:rowOff>28575</xdr:rowOff>
    </xdr:from>
    <xdr:to>
      <xdr:col>17</xdr:col>
      <xdr:colOff>533400</xdr:colOff>
      <xdr:row>23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8C75B1-5B6F-4FF6-AE80-1F95510243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104776</xdr:colOff>
      <xdr:row>0</xdr:row>
      <xdr:rowOff>66676</xdr:rowOff>
    </xdr:from>
    <xdr:to>
      <xdr:col>3</xdr:col>
      <xdr:colOff>400050</xdr:colOff>
      <xdr:row>3</xdr:row>
      <xdr:rowOff>152400</xdr:rowOff>
    </xdr:to>
    <xdr:sp macro="" textlink="Data!AJ5">
      <xdr:nvSpPr>
        <xdr:cNvPr id="3" name="Arrow: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F94F967-4464-4608-B0E7-EED47F793D86}"/>
            </a:ext>
          </a:extLst>
        </xdr:cNvPr>
        <xdr:cNvSpPr/>
      </xdr:nvSpPr>
      <xdr:spPr>
        <a:xfrm>
          <a:off x="104776" y="66676"/>
          <a:ext cx="2124074" cy="657224"/>
        </a:xfrm>
        <a:prstGeom prst="leftArrow">
          <a:avLst/>
        </a:prstGeom>
        <a:solidFill>
          <a:sysClr val="window" lastClr="FFFFFF"/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CCF7270-040A-4329-9F73-154336FF2AE9}" type="TxLink">
            <a:rPr lang="en-US" sz="1400" b="1" i="0" u="none" strike="noStrike">
              <a:solidFill>
                <a:srgbClr val="000000"/>
              </a:solidFill>
              <a:effectLst/>
              <a:latin typeface="Calibri"/>
              <a:cs typeface="Calibri"/>
            </a:rPr>
            <a:pPr algn="ctr"/>
            <a:t>DO MAI HA</a:t>
          </a:fld>
          <a:endParaRPr lang="en-US" sz="1400" b="1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95250</xdr:rowOff>
    </xdr:from>
    <xdr:to>
      <xdr:col>3</xdr:col>
      <xdr:colOff>361949</xdr:colOff>
      <xdr:row>3</xdr:row>
      <xdr:rowOff>180974</xdr:rowOff>
    </xdr:to>
    <xdr:sp macro="" textlink="Data!AJ5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80B42F-E028-4682-A467-99859F4BF2E3}"/>
            </a:ext>
          </a:extLst>
        </xdr:cNvPr>
        <xdr:cNvSpPr/>
      </xdr:nvSpPr>
      <xdr:spPr>
        <a:xfrm>
          <a:off x="66675" y="95250"/>
          <a:ext cx="2124074" cy="657224"/>
        </a:xfrm>
        <a:prstGeom prst="leftArrow">
          <a:avLst/>
        </a:prstGeom>
        <a:solidFill>
          <a:sysClr val="window" lastClr="FFFFFF"/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CCF7270-040A-4329-9F73-154336FF2AE9}" type="TxLink">
            <a:rPr lang="en-US" sz="1400" b="1" i="0" u="none" strike="noStrike">
              <a:solidFill>
                <a:srgbClr val="000000"/>
              </a:solidFill>
              <a:effectLst/>
              <a:latin typeface="Calibri"/>
              <a:cs typeface="Calibri"/>
            </a:rPr>
            <a:pPr algn="ctr"/>
            <a:t>DO MAI HA</a:t>
          </a:fld>
          <a:endParaRPr lang="en-US" sz="1400" b="1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9524</xdr:colOff>
      <xdr:row>0</xdr:row>
      <xdr:rowOff>47625</xdr:rowOff>
    </xdr:from>
    <xdr:to>
      <xdr:col>17</xdr:col>
      <xdr:colOff>571499</xdr:colOff>
      <xdr:row>23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C6A21DF-6B4F-4140-ADDF-41842DD850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66675</xdr:rowOff>
    </xdr:from>
    <xdr:to>
      <xdr:col>3</xdr:col>
      <xdr:colOff>380999</xdr:colOff>
      <xdr:row>3</xdr:row>
      <xdr:rowOff>152399</xdr:rowOff>
    </xdr:to>
    <xdr:sp macro="" textlink="Data!AJ5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609A21-758C-4CE3-AE74-182868092EAC}"/>
            </a:ext>
          </a:extLst>
        </xdr:cNvPr>
        <xdr:cNvSpPr/>
      </xdr:nvSpPr>
      <xdr:spPr>
        <a:xfrm>
          <a:off x="85725" y="66675"/>
          <a:ext cx="2124074" cy="657224"/>
        </a:xfrm>
        <a:prstGeom prst="leftArrow">
          <a:avLst/>
        </a:prstGeom>
        <a:solidFill>
          <a:sysClr val="window" lastClr="FFFFFF"/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CCF7270-040A-4329-9F73-154336FF2AE9}" type="TxLink">
            <a:rPr lang="en-US" sz="1400" b="1" i="0" u="none" strike="noStrike">
              <a:solidFill>
                <a:srgbClr val="000000"/>
              </a:solidFill>
              <a:effectLst/>
              <a:latin typeface="Calibri"/>
              <a:cs typeface="Calibri"/>
            </a:rPr>
            <a:pPr algn="ctr"/>
            <a:t>DO MAI HA</a:t>
          </a:fld>
          <a:endParaRPr lang="en-US" sz="1400" b="1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9524</xdr:colOff>
      <xdr:row>0</xdr:row>
      <xdr:rowOff>28575</xdr:rowOff>
    </xdr:from>
    <xdr:to>
      <xdr:col>17</xdr:col>
      <xdr:colOff>571499</xdr:colOff>
      <xdr:row>23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2EA7A2-C3BB-4FE9-B141-04F34AC4A0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0</xdr:row>
      <xdr:rowOff>47625</xdr:rowOff>
    </xdr:from>
    <xdr:to>
      <xdr:col>17</xdr:col>
      <xdr:colOff>600075</xdr:colOff>
      <xdr:row>23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ECA65A-A45B-470D-A8FE-B8B31914B4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</xdr:colOff>
      <xdr:row>0</xdr:row>
      <xdr:rowOff>57150</xdr:rowOff>
    </xdr:from>
    <xdr:to>
      <xdr:col>3</xdr:col>
      <xdr:colOff>361949</xdr:colOff>
      <xdr:row>3</xdr:row>
      <xdr:rowOff>142874</xdr:rowOff>
    </xdr:to>
    <xdr:sp macro="" textlink="Data!AJ5">
      <xdr:nvSpPr>
        <xdr:cNvPr id="4" name="Arrow: Left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0F1D615-84A1-4876-889C-8793F247A432}"/>
            </a:ext>
          </a:extLst>
        </xdr:cNvPr>
        <xdr:cNvSpPr/>
      </xdr:nvSpPr>
      <xdr:spPr>
        <a:xfrm>
          <a:off x="66675" y="57150"/>
          <a:ext cx="2124074" cy="657224"/>
        </a:xfrm>
        <a:prstGeom prst="leftArrow">
          <a:avLst/>
        </a:prstGeom>
        <a:solidFill>
          <a:sysClr val="window" lastClr="FFFFFF"/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CCF7270-040A-4329-9F73-154336FF2AE9}" type="TxLink">
            <a:rPr lang="en-US" sz="1400" b="1" i="0" u="none" strike="noStrike">
              <a:solidFill>
                <a:srgbClr val="000000"/>
              </a:solidFill>
              <a:effectLst/>
              <a:latin typeface="Calibri"/>
              <a:cs typeface="Calibri"/>
            </a:rPr>
            <a:pPr algn="ctr"/>
            <a:t>DO MAI HA</a:t>
          </a:fld>
          <a:endParaRPr lang="en-US" sz="1400" b="1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66675</xdr:rowOff>
    </xdr:from>
    <xdr:to>
      <xdr:col>3</xdr:col>
      <xdr:colOff>380999</xdr:colOff>
      <xdr:row>3</xdr:row>
      <xdr:rowOff>152399</xdr:rowOff>
    </xdr:to>
    <xdr:sp macro="" textlink="Data!AJ5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01437D-CF14-4D85-8F29-3F41F9BD4EAC}"/>
            </a:ext>
          </a:extLst>
        </xdr:cNvPr>
        <xdr:cNvSpPr/>
      </xdr:nvSpPr>
      <xdr:spPr>
        <a:xfrm>
          <a:off x="85725" y="66675"/>
          <a:ext cx="2124074" cy="657224"/>
        </a:xfrm>
        <a:prstGeom prst="leftArrow">
          <a:avLst/>
        </a:prstGeom>
        <a:solidFill>
          <a:sysClr val="window" lastClr="FFFFFF"/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CCF7270-040A-4329-9F73-154336FF2AE9}" type="TxLink">
            <a:rPr lang="en-US" sz="1400" b="1" i="0" u="none" strike="noStrike">
              <a:solidFill>
                <a:srgbClr val="000000"/>
              </a:solidFill>
              <a:effectLst/>
              <a:latin typeface="Calibri"/>
              <a:cs typeface="Calibri"/>
            </a:rPr>
            <a:pPr algn="ctr"/>
            <a:t>DO MAI HA</a:t>
          </a:fld>
          <a:endParaRPr lang="en-US" sz="1400" b="1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19050</xdr:colOff>
      <xdr:row>0</xdr:row>
      <xdr:rowOff>47625</xdr:rowOff>
    </xdr:from>
    <xdr:to>
      <xdr:col>17</xdr:col>
      <xdr:colOff>590550</xdr:colOff>
      <xdr:row>23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D516AB2-6D63-4F1F-A02E-D2BE7A613B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0</xdr:row>
      <xdr:rowOff>66675</xdr:rowOff>
    </xdr:from>
    <xdr:to>
      <xdr:col>3</xdr:col>
      <xdr:colOff>409574</xdr:colOff>
      <xdr:row>3</xdr:row>
      <xdr:rowOff>152399</xdr:rowOff>
    </xdr:to>
    <xdr:sp macro="" textlink="Data!AJ6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742E33-D1CB-4E4A-A9D2-18531D4FD661}"/>
            </a:ext>
          </a:extLst>
        </xdr:cNvPr>
        <xdr:cNvSpPr/>
      </xdr:nvSpPr>
      <xdr:spPr>
        <a:xfrm>
          <a:off x="114300" y="66675"/>
          <a:ext cx="2124074" cy="657224"/>
        </a:xfrm>
        <a:prstGeom prst="leftArrow">
          <a:avLst/>
        </a:prstGeom>
        <a:solidFill>
          <a:sysClr val="window" lastClr="FFFFFF"/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3D190B4-05EA-4D13-9595-D0C0755C1766}" type="TxLink">
            <a:rPr lang="en-US" sz="1400" b="1" i="0" u="none" strike="noStrike">
              <a:solidFill>
                <a:srgbClr val="000000"/>
              </a:solidFill>
              <a:effectLst/>
              <a:latin typeface="Calibri"/>
              <a:cs typeface="Calibri"/>
            </a:rPr>
            <a:pPr algn="ctr"/>
            <a:t>BUI NHU BAO</a:t>
          </a:fld>
          <a:endParaRPr lang="en-US" sz="1400" b="1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19050</xdr:colOff>
      <xdr:row>0</xdr:row>
      <xdr:rowOff>47625</xdr:rowOff>
    </xdr:from>
    <xdr:to>
      <xdr:col>17</xdr:col>
      <xdr:colOff>552450</xdr:colOff>
      <xdr:row>23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9B9E62-436D-456B-BE9E-C2D76B3A41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76200</xdr:rowOff>
    </xdr:from>
    <xdr:to>
      <xdr:col>3</xdr:col>
      <xdr:colOff>400049</xdr:colOff>
      <xdr:row>3</xdr:row>
      <xdr:rowOff>161924</xdr:rowOff>
    </xdr:to>
    <xdr:sp macro="" textlink="Data!AJ6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27072C-11FE-471E-8CB2-610EE9999F91}"/>
            </a:ext>
          </a:extLst>
        </xdr:cNvPr>
        <xdr:cNvSpPr/>
      </xdr:nvSpPr>
      <xdr:spPr>
        <a:xfrm>
          <a:off x="104775" y="76200"/>
          <a:ext cx="2124074" cy="657224"/>
        </a:xfrm>
        <a:prstGeom prst="leftArrow">
          <a:avLst/>
        </a:prstGeom>
        <a:solidFill>
          <a:sysClr val="window" lastClr="FFFFFF"/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3D190B4-05EA-4D13-9595-D0C0755C1766}" type="TxLink">
            <a:rPr lang="en-US" sz="1400" b="1" i="0" u="none" strike="noStrike">
              <a:solidFill>
                <a:srgbClr val="000000"/>
              </a:solidFill>
              <a:effectLst/>
              <a:latin typeface="Calibri"/>
              <a:cs typeface="Calibri"/>
            </a:rPr>
            <a:pPr algn="ctr"/>
            <a:t>BUI NHU BAO</a:t>
          </a:fld>
          <a:endParaRPr lang="en-US" sz="1400" b="1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19050</xdr:colOff>
      <xdr:row>0</xdr:row>
      <xdr:rowOff>57150</xdr:rowOff>
    </xdr:from>
    <xdr:to>
      <xdr:col>17</xdr:col>
      <xdr:colOff>552450</xdr:colOff>
      <xdr:row>24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A9067A9-18FD-4637-ADC2-1790843FFB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95250</xdr:rowOff>
    </xdr:from>
    <xdr:to>
      <xdr:col>3</xdr:col>
      <xdr:colOff>400049</xdr:colOff>
      <xdr:row>3</xdr:row>
      <xdr:rowOff>180974</xdr:rowOff>
    </xdr:to>
    <xdr:sp macro="" textlink="Data!AJ6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A86E53-BA83-4498-8A27-D116A8E99FFF}"/>
            </a:ext>
          </a:extLst>
        </xdr:cNvPr>
        <xdr:cNvSpPr/>
      </xdr:nvSpPr>
      <xdr:spPr>
        <a:xfrm>
          <a:off x="104775" y="95250"/>
          <a:ext cx="2124074" cy="657224"/>
        </a:xfrm>
        <a:prstGeom prst="leftArrow">
          <a:avLst/>
        </a:prstGeom>
        <a:solidFill>
          <a:sysClr val="window" lastClr="FFFFFF"/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3D190B4-05EA-4D13-9595-D0C0755C1766}" type="TxLink">
            <a:rPr lang="en-US" sz="1400" b="1" i="0" u="none" strike="noStrike">
              <a:solidFill>
                <a:srgbClr val="000000"/>
              </a:solidFill>
              <a:effectLst/>
              <a:latin typeface="Calibri"/>
              <a:cs typeface="Calibri"/>
            </a:rPr>
            <a:pPr algn="ctr"/>
            <a:t>BUI NHU BAO</a:t>
          </a:fld>
          <a:endParaRPr lang="en-US" sz="1400" b="1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38099</xdr:colOff>
      <xdr:row>0</xdr:row>
      <xdr:rowOff>28575</xdr:rowOff>
    </xdr:from>
    <xdr:to>
      <xdr:col>17</xdr:col>
      <xdr:colOff>542924</xdr:colOff>
      <xdr:row>23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1F77B7-C5C6-4A05-917B-35AD1F702A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3</xdr:col>
      <xdr:colOff>390524</xdr:colOff>
      <xdr:row>3</xdr:row>
      <xdr:rowOff>161924</xdr:rowOff>
    </xdr:to>
    <xdr:sp macro="" textlink="Data!AJ6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181C4EA-68D1-4721-98D4-7A38F1370EB1}"/>
            </a:ext>
          </a:extLst>
        </xdr:cNvPr>
        <xdr:cNvSpPr/>
      </xdr:nvSpPr>
      <xdr:spPr>
        <a:xfrm>
          <a:off x="95250" y="76200"/>
          <a:ext cx="2124074" cy="657224"/>
        </a:xfrm>
        <a:prstGeom prst="leftArrow">
          <a:avLst/>
        </a:prstGeom>
        <a:solidFill>
          <a:sysClr val="window" lastClr="FFFFFF"/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3D190B4-05EA-4D13-9595-D0C0755C1766}" type="TxLink">
            <a:rPr lang="en-US" sz="1400" b="1" i="0" u="none" strike="noStrike">
              <a:solidFill>
                <a:srgbClr val="000000"/>
              </a:solidFill>
              <a:effectLst/>
              <a:latin typeface="Calibri"/>
              <a:cs typeface="Calibri"/>
            </a:rPr>
            <a:pPr algn="ctr"/>
            <a:t>BUI NHU BAO</a:t>
          </a:fld>
          <a:endParaRPr lang="en-US" sz="1400" b="1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0</xdr:colOff>
      <xdr:row>0</xdr:row>
      <xdr:rowOff>28575</xdr:rowOff>
    </xdr:from>
    <xdr:to>
      <xdr:col>17</xdr:col>
      <xdr:colOff>552450</xdr:colOff>
      <xdr:row>24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2B96D5C-02B9-413D-A4D0-F86E9F37F8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0</xdr:row>
      <xdr:rowOff>85725</xdr:rowOff>
    </xdr:from>
    <xdr:to>
      <xdr:col>3</xdr:col>
      <xdr:colOff>409574</xdr:colOff>
      <xdr:row>3</xdr:row>
      <xdr:rowOff>171449</xdr:rowOff>
    </xdr:to>
    <xdr:sp macro="" textlink="Data!AJ6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E0BBD93-0282-4151-9381-86959AC602CE}"/>
            </a:ext>
          </a:extLst>
        </xdr:cNvPr>
        <xdr:cNvSpPr/>
      </xdr:nvSpPr>
      <xdr:spPr>
        <a:xfrm>
          <a:off x="114300" y="85725"/>
          <a:ext cx="2124074" cy="657224"/>
        </a:xfrm>
        <a:prstGeom prst="leftArrow">
          <a:avLst/>
        </a:prstGeom>
        <a:solidFill>
          <a:sysClr val="window" lastClr="FFFFFF"/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3D190B4-05EA-4D13-9595-D0C0755C1766}" type="TxLink">
            <a:rPr lang="en-US" sz="1400" b="1" i="0" u="none" strike="noStrike">
              <a:solidFill>
                <a:srgbClr val="000000"/>
              </a:solidFill>
              <a:effectLst/>
              <a:latin typeface="Calibri"/>
              <a:cs typeface="Calibri"/>
            </a:rPr>
            <a:pPr algn="ctr"/>
            <a:t>BUI NHU BAO</a:t>
          </a:fld>
          <a:endParaRPr lang="en-US" sz="1400" b="1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0</xdr:colOff>
      <xdr:row>0</xdr:row>
      <xdr:rowOff>47625</xdr:rowOff>
    </xdr:from>
    <xdr:to>
      <xdr:col>17</xdr:col>
      <xdr:colOff>561975</xdr:colOff>
      <xdr:row>23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693CF2C-3E60-40B1-8779-3BC1DAF7FD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xcel%20SQL\Training%20Online\Supply%20Chain%20Data%20Analysis%20Challenge\Dashboard\De%20thi%20round%202\Solver_Procurement%20Dashboar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Book3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DATA%20FANATICS%20-%20N&#7896;P%20B&#192;I%20V&#210;NG%2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ulate PR_PO"/>
      <sheetName val="All_charts"/>
      <sheetName val="PR_Record_1"/>
      <sheetName val="PO_Status_1"/>
      <sheetName val="PR Status Detail"/>
      <sheetName val="PR_PO_Dashboard"/>
      <sheetName val="Bui Gia Han"/>
      <sheetName val="Tran Ngoc Han"/>
      <sheetName val="Do Truc Lam"/>
      <sheetName val="Bui Nhu Bao"/>
      <sheetName val="Do Hue An"/>
      <sheetName val="Master data"/>
      <sheetName val="Temp"/>
      <sheetName val="Chart_OTD"/>
      <sheetName val="Chart_Total_GR"/>
      <sheetName val="Do Minh An"/>
      <sheetName val="Bui Bich Hai"/>
      <sheetName val="Do Ngoc Ha"/>
      <sheetName val="Tran Bich Hang"/>
      <sheetName val="Do Mai Ha"/>
      <sheetName val="Chart_Total_Invoice"/>
      <sheetName val="Chart_Total_PR"/>
      <sheetName val="Chart_PR_Processing"/>
      <sheetName val="Chart_Total_PO"/>
      <sheetName val="Chart_PO_Processing"/>
      <sheetName val="Chart_AV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ecast"/>
    </sheetNames>
    <sheetDataSet>
      <sheetData sheetId="0">
        <row r="20">
          <cell r="C20">
            <v>2021</v>
          </cell>
          <cell r="D20">
            <v>1</v>
          </cell>
        </row>
        <row r="21">
          <cell r="D21">
            <v>2</v>
          </cell>
        </row>
        <row r="22">
          <cell r="D22">
            <v>3</v>
          </cell>
        </row>
        <row r="23">
          <cell r="D23">
            <v>4</v>
          </cell>
        </row>
        <row r="24">
          <cell r="D24">
            <v>5</v>
          </cell>
        </row>
        <row r="25">
          <cell r="D25">
            <v>6</v>
          </cell>
        </row>
        <row r="26">
          <cell r="D26">
            <v>7</v>
          </cell>
        </row>
        <row r="27">
          <cell r="D27">
            <v>8</v>
          </cell>
        </row>
        <row r="28">
          <cell r="D28">
            <v>9</v>
          </cell>
        </row>
        <row r="29">
          <cell r="D29">
            <v>10</v>
          </cell>
        </row>
        <row r="30">
          <cell r="D30">
            <v>11</v>
          </cell>
        </row>
        <row r="31">
          <cell r="D31">
            <v>12</v>
          </cell>
        </row>
        <row r="32">
          <cell r="C32">
            <v>2022</v>
          </cell>
          <cell r="D32">
            <v>1</v>
          </cell>
        </row>
        <row r="33">
          <cell r="D33">
            <v>2</v>
          </cell>
        </row>
        <row r="34">
          <cell r="D34">
            <v>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ướng dẫn"/>
      <sheetName val="Phòng mua hàng"/>
      <sheetName val="Nhân viên mua hàng"/>
      <sheetName val="Data"/>
      <sheetName val="NV_1"/>
      <sheetName val="NV_2"/>
      <sheetName val="NV_3"/>
      <sheetName val="PM_Total PR &amp; Total PO"/>
      <sheetName val="PM_PR Urgent &amp; Complete"/>
      <sheetName val="PM_PR Pending"/>
      <sheetName val="PM_PO Pending"/>
      <sheetName val="PM_Avg Processing Time"/>
      <sheetName val="NV_Total PR"/>
      <sheetName val="NV_PR Pending"/>
      <sheetName val="NV_Avg Processing Time"/>
      <sheetName val="NV_Total PO"/>
      <sheetName val="NV_PO Pending"/>
      <sheetName val="NV_PR Urgent"/>
      <sheetName val="NV_Sum PR &amp; PO"/>
      <sheetName val="NV1_Total PR &amp; Total PO"/>
      <sheetName val="NV1_PR Urgent &amp; Complete"/>
      <sheetName val="NV1_PR Pending"/>
      <sheetName val="NV1_PO Pending"/>
      <sheetName val="NV1_Avg Processing Time"/>
      <sheetName val="NV2_Total PR &amp; Total PO"/>
      <sheetName val="NV2_PR Urgent &amp; Complete"/>
      <sheetName val="NV2_PR Pending"/>
      <sheetName val="NV2_PO Pending"/>
      <sheetName val="NV2_Avg Processing Time"/>
      <sheetName val="NV3_Total PR &amp; Total PO"/>
      <sheetName val="NV3_PR Urgent &amp; Complete"/>
      <sheetName val="NV3_PR Pending"/>
      <sheetName val="NV3_PO Pending"/>
      <sheetName val="NV3_Avg Processing Time"/>
    </sheetNames>
    <sheetDataSet>
      <sheetData sheetId="0" refreshError="1"/>
      <sheetData sheetId="1" refreshError="1"/>
      <sheetData sheetId="2" refreshError="1"/>
      <sheetData sheetId="3">
        <row r="3">
          <cell r="AV3" t="str">
            <v>Jan</v>
          </cell>
          <cell r="AW3" t="str">
            <v>Feb</v>
          </cell>
          <cell r="AX3" t="str">
            <v>Mar</v>
          </cell>
          <cell r="AY3" t="str">
            <v>Apr</v>
          </cell>
          <cell r="AZ3" t="str">
            <v>May</v>
          </cell>
          <cell r="BA3" t="str">
            <v>Jun</v>
          </cell>
          <cell r="BB3" t="str">
            <v>Jul</v>
          </cell>
          <cell r="BC3" t="str">
            <v>Aug</v>
          </cell>
          <cell r="BD3" t="str">
            <v>Sep</v>
          </cell>
          <cell r="BE3" t="str">
            <v>Oct</v>
          </cell>
          <cell r="BF3" t="str">
            <v>Nov</v>
          </cell>
          <cell r="BG3" t="str">
            <v>Dec</v>
          </cell>
        </row>
        <row r="6">
          <cell r="AU6" t="str">
            <v>PR pending</v>
          </cell>
        </row>
        <row r="7">
          <cell r="AU7" t="str">
            <v>PO pending</v>
          </cell>
        </row>
        <row r="9">
          <cell r="AU9" t="str">
            <v>PR-PO Average Processing Time</v>
          </cell>
          <cell r="AV9">
            <v>1.1211014546351086</v>
          </cell>
          <cell r="AW9">
            <v>2.7408146783146781</v>
          </cell>
          <cell r="AX9">
            <v>14.590358531797474</v>
          </cell>
          <cell r="AY9">
            <v>6.0167717321692811</v>
          </cell>
          <cell r="AZ9">
            <v>9.0357242822155097</v>
          </cell>
          <cell r="BA9">
            <v>3.2684921724800882</v>
          </cell>
          <cell r="BB9">
            <v>6.2835058843054279</v>
          </cell>
          <cell r="BC9">
            <v>4.0165227884526127</v>
          </cell>
          <cell r="BD9">
            <v>4.4805194805194803</v>
          </cell>
          <cell r="BE9">
            <v>0</v>
          </cell>
          <cell r="BF9">
            <v>0</v>
          </cell>
          <cell r="BG9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BA99-324E-423A-B5D3-9571F7F9F550}">
  <sheetPr codeName="Sheet35"/>
  <dimension ref="A1:BW1257"/>
  <sheetViews>
    <sheetView tabSelected="1" zoomScale="70" zoomScaleNormal="70" workbookViewId="0">
      <selection activeCell="BU3" sqref="BU3"/>
    </sheetView>
  </sheetViews>
  <sheetFormatPr defaultRowHeight="14.45"/>
  <cols>
    <col min="1" max="1" width="13.28515625" customWidth="1"/>
    <col min="11" max="11" width="10.85546875" customWidth="1"/>
    <col min="12" max="12" width="13.85546875" bestFit="1" customWidth="1"/>
    <col min="13" max="13" width="9.7109375" customWidth="1"/>
    <col min="14" max="14" width="11.7109375" customWidth="1"/>
    <col min="19" max="19" width="10.140625" customWidth="1"/>
    <col min="20" max="20" width="15.85546875" customWidth="1"/>
    <col min="23" max="23" width="11.85546875" customWidth="1"/>
    <col min="24" max="24" width="17.140625" customWidth="1"/>
    <col min="27" max="27" width="5.140625" customWidth="1"/>
    <col min="28" max="28" width="5.5703125" customWidth="1"/>
    <col min="29" max="29" width="57.42578125" bestFit="1" customWidth="1"/>
    <col min="30" max="30" width="4.85546875" bestFit="1" customWidth="1"/>
    <col min="31" max="32" width="6.7109375" bestFit="1" customWidth="1"/>
    <col min="33" max="34" width="14.5703125" bestFit="1" customWidth="1"/>
    <col min="35" max="35" width="10.7109375" customWidth="1"/>
    <col min="36" max="36" width="7" bestFit="1" customWidth="1"/>
    <col min="37" max="37" width="8.140625" bestFit="1" customWidth="1"/>
    <col min="39" max="39" width="29.85546875" bestFit="1" customWidth="1"/>
    <col min="40" max="40" width="9.28515625" bestFit="1" customWidth="1"/>
    <col min="41" max="41" width="6.5703125" bestFit="1" customWidth="1"/>
    <col min="42" max="42" width="14.5703125" bestFit="1" customWidth="1"/>
    <col min="43" max="43" width="6.85546875" bestFit="1" customWidth="1"/>
    <col min="44" max="44" width="3.85546875" bestFit="1" customWidth="1"/>
    <col min="45" max="45" width="10.7109375" bestFit="1" customWidth="1"/>
    <col min="47" max="47" width="32.28515625" customWidth="1"/>
    <col min="48" max="48" width="7" bestFit="1" customWidth="1"/>
    <col min="49" max="49" width="7.140625" bestFit="1" customWidth="1"/>
    <col min="50" max="50" width="7.5703125" bestFit="1" customWidth="1"/>
    <col min="51" max="51" width="4.28515625" bestFit="1" customWidth="1"/>
    <col min="52" max="52" width="7.28515625" bestFit="1" customWidth="1"/>
    <col min="53" max="53" width="9.42578125" bestFit="1" customWidth="1"/>
    <col min="67" max="67" width="13.42578125" bestFit="1" customWidth="1"/>
    <col min="71" max="71" width="6.5703125" bestFit="1" customWidth="1"/>
    <col min="72" max="72" width="12.5703125" bestFit="1" customWidth="1"/>
    <col min="73" max="74" width="12.5703125" customWidth="1"/>
    <col min="79" max="79" width="15.42578125" bestFit="1" customWidth="1"/>
    <col min="80" max="80" width="16.85546875" bestFit="1" customWidth="1"/>
    <col min="81" max="81" width="18.7109375" bestFit="1" customWidth="1"/>
    <col min="82" max="82" width="17.140625" bestFit="1" customWidth="1"/>
    <col min="83" max="83" width="12.140625" bestFit="1" customWidth="1"/>
    <col min="84" max="85" width="11.5703125" bestFit="1" customWidth="1"/>
    <col min="86" max="86" width="15.42578125" bestFit="1" customWidth="1"/>
    <col min="87" max="87" width="11.85546875" bestFit="1" customWidth="1"/>
  </cols>
  <sheetData>
    <row r="1" spans="1:75" ht="15.6">
      <c r="A1" s="152" t="s">
        <v>0</v>
      </c>
      <c r="B1" s="152"/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52"/>
      <c r="Z1" s="152"/>
      <c r="AB1" s="151" t="s">
        <v>1</v>
      </c>
      <c r="AC1" s="151"/>
      <c r="AD1" s="151"/>
      <c r="AE1" s="151"/>
      <c r="AF1" s="151"/>
      <c r="AG1" s="151"/>
      <c r="AH1" s="151"/>
      <c r="AI1" s="151"/>
      <c r="AJ1" s="151"/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1"/>
      <c r="BA1" s="151"/>
      <c r="BD1" s="151" t="s">
        <v>2</v>
      </c>
      <c r="BE1" s="151"/>
      <c r="BF1" s="151"/>
      <c r="BG1" s="151"/>
      <c r="BH1" s="151"/>
      <c r="BI1" s="151"/>
      <c r="BJ1" s="151"/>
      <c r="BK1" s="151"/>
      <c r="BL1" s="151"/>
      <c r="BM1" s="151"/>
      <c r="BW1" s="104"/>
    </row>
    <row r="2" spans="1:75" ht="15.6">
      <c r="A2" s="132" t="s">
        <v>3</v>
      </c>
      <c r="BW2" s="104"/>
    </row>
    <row r="3" spans="1:75" ht="58.15" thickBot="1">
      <c r="A3" s="131" t="s">
        <v>4</v>
      </c>
      <c r="B3" s="131" t="s">
        <v>5</v>
      </c>
      <c r="C3" s="131" t="s">
        <v>6</v>
      </c>
      <c r="D3" s="131" t="s">
        <v>7</v>
      </c>
      <c r="E3" s="131" t="s">
        <v>8</v>
      </c>
      <c r="F3" s="131" t="s">
        <v>9</v>
      </c>
      <c r="G3" s="131" t="s">
        <v>10</v>
      </c>
      <c r="H3" s="131" t="s">
        <v>11</v>
      </c>
      <c r="I3" s="131" t="s">
        <v>12</v>
      </c>
      <c r="J3" s="131" t="s">
        <v>13</v>
      </c>
      <c r="K3" s="131" t="s">
        <v>14</v>
      </c>
      <c r="L3" s="131" t="s">
        <v>15</v>
      </c>
      <c r="M3" s="131" t="s">
        <v>16</v>
      </c>
      <c r="N3" s="131" t="s">
        <v>17</v>
      </c>
      <c r="O3" s="131" t="s">
        <v>18</v>
      </c>
      <c r="P3" s="131" t="s">
        <v>19</v>
      </c>
      <c r="S3" s="99" t="s">
        <v>20</v>
      </c>
      <c r="T3" s="99" t="s">
        <v>21</v>
      </c>
      <c r="U3" s="99" t="s">
        <v>19</v>
      </c>
      <c r="W3" s="99" t="s">
        <v>20</v>
      </c>
      <c r="X3" s="99" t="s">
        <v>22</v>
      </c>
      <c r="Y3" s="99" t="s">
        <v>19</v>
      </c>
      <c r="Z3" s="104"/>
      <c r="AB3" s="99" t="s">
        <v>23</v>
      </c>
      <c r="AC3" s="99" t="s">
        <v>24</v>
      </c>
      <c r="AD3" s="136" t="s">
        <v>25</v>
      </c>
      <c r="AE3" s="136" t="s">
        <v>26</v>
      </c>
      <c r="AF3" s="136" t="s">
        <v>27</v>
      </c>
      <c r="AG3" s="136" t="s">
        <v>28</v>
      </c>
      <c r="AH3" s="136" t="s">
        <v>29</v>
      </c>
      <c r="AI3" s="136" t="s">
        <v>30</v>
      </c>
      <c r="AJ3" s="136" t="s">
        <v>31</v>
      </c>
      <c r="AK3" s="136" t="s">
        <v>32</v>
      </c>
      <c r="AO3" s="74"/>
      <c r="AP3" s="105"/>
      <c r="AQ3" s="74"/>
      <c r="AU3" s="187"/>
      <c r="AV3" s="153" t="s">
        <v>33</v>
      </c>
      <c r="AW3" s="153" t="s">
        <v>34</v>
      </c>
      <c r="AX3" s="153" t="s">
        <v>35</v>
      </c>
      <c r="AY3" s="153" t="s">
        <v>36</v>
      </c>
      <c r="AZ3" s="111" t="s">
        <v>37</v>
      </c>
      <c r="BA3" s="188"/>
      <c r="BB3" s="104"/>
      <c r="BD3" s="137"/>
      <c r="BE3" s="138"/>
      <c r="BF3" s="140" t="s">
        <v>38</v>
      </c>
      <c r="BG3" s="139" t="s">
        <v>39</v>
      </c>
      <c r="BH3" s="141" t="s">
        <v>40</v>
      </c>
      <c r="BI3" s="141" t="s">
        <v>41</v>
      </c>
      <c r="BJ3" s="139" t="s">
        <v>42</v>
      </c>
      <c r="BK3" s="141" t="s">
        <v>43</v>
      </c>
      <c r="BL3" s="141" t="s">
        <v>44</v>
      </c>
      <c r="BM3" s="141" t="s">
        <v>45</v>
      </c>
      <c r="BN3" s="121"/>
      <c r="BR3" s="119" t="s">
        <v>46</v>
      </c>
      <c r="BS3" s="119" t="s">
        <v>38</v>
      </c>
      <c r="BT3" s="120" t="s">
        <v>39</v>
      </c>
      <c r="BU3" s="120" t="s">
        <v>47</v>
      </c>
      <c r="BV3" s="120" t="s">
        <v>48</v>
      </c>
      <c r="BW3" s="104"/>
    </row>
    <row r="4" spans="1:75" ht="28.9">
      <c r="A4" s="133" t="s">
        <v>49</v>
      </c>
      <c r="B4" s="7"/>
      <c r="C4" s="7"/>
      <c r="D4" s="7"/>
      <c r="E4" s="7">
        <v>3312000000</v>
      </c>
      <c r="F4" s="7"/>
      <c r="G4" s="7"/>
      <c r="H4" s="7"/>
      <c r="I4" s="7"/>
      <c r="J4" s="7">
        <v>17940000000</v>
      </c>
      <c r="K4" s="7">
        <v>21252000000</v>
      </c>
      <c r="L4" s="134">
        <f>K4/$K$932</f>
        <v>7.0656465866698895E-2</v>
      </c>
      <c r="M4" s="7" t="str">
        <f>IF(L4&lt;=0.8,"A",IF(L4&lt;=0.95,"B","C"))</f>
        <v>A</v>
      </c>
      <c r="N4" s="7">
        <f>STDEVP(B4:J4)/AVERAGE(B4:J4)</f>
        <v>0.68831168831168832</v>
      </c>
      <c r="O4" s="7" t="str">
        <f>IF(N4=0,"Z",IF(N4&lt;=30%,"X",IF(N4&lt;=60%,"Y","Z")))</f>
        <v>Z</v>
      </c>
      <c r="P4" s="7" t="str">
        <f>M4&amp;O4</f>
        <v>AZ</v>
      </c>
      <c r="S4" s="6" t="s">
        <v>50</v>
      </c>
      <c r="T4" s="25">
        <v>1</v>
      </c>
      <c r="U4" s="7" t="str" cm="1">
        <f t="array" ref="U4:U1257">_xlfn.XLOOKUP(S4:$S$1257,A4:A930,P4:P930)</f>
        <v>AZ</v>
      </c>
      <c r="W4" s="6" t="s">
        <v>51</v>
      </c>
      <c r="X4" s="6">
        <v>2</v>
      </c>
      <c r="Y4" s="7" t="str" cm="1">
        <f t="array" ref="Y4:Y1257">_xlfn.XLOOKUP(W4:$W$1257,A4:A930,P4:P930)</f>
        <v>CY</v>
      </c>
      <c r="Z4" s="104"/>
      <c r="AB4" s="7">
        <v>1</v>
      </c>
      <c r="AC4" s="7" t="s">
        <v>52</v>
      </c>
      <c r="AD4" s="7">
        <v>2</v>
      </c>
      <c r="AE4" s="7">
        <v>2</v>
      </c>
      <c r="AF4" s="7">
        <v>0</v>
      </c>
      <c r="AG4" s="106">
        <v>1320000000</v>
      </c>
      <c r="AH4" s="106">
        <v>1320000000</v>
      </c>
      <c r="AI4" s="11">
        <v>1</v>
      </c>
      <c r="AJ4" s="107">
        <v>7.0109515372102178E-3</v>
      </c>
      <c r="AK4" s="7">
        <v>2</v>
      </c>
      <c r="AM4" s="7"/>
      <c r="AN4" s="7" t="s">
        <v>26</v>
      </c>
      <c r="AO4" s="11" t="s">
        <v>53</v>
      </c>
      <c r="AP4" s="106" t="s">
        <v>54</v>
      </c>
      <c r="AQ4" s="11" t="s">
        <v>55</v>
      </c>
      <c r="AR4" s="7" t="s">
        <v>36</v>
      </c>
      <c r="AS4" s="7" t="s">
        <v>56</v>
      </c>
      <c r="AU4" s="189"/>
      <c r="AV4" s="154"/>
      <c r="AW4" s="154"/>
      <c r="AX4" s="154"/>
      <c r="AY4" s="154"/>
      <c r="AZ4" s="112" t="s">
        <v>57</v>
      </c>
      <c r="BA4" s="190"/>
      <c r="BB4" s="104"/>
      <c r="BD4" s="7">
        <f>(BE4-BG4)^2</f>
        <v>1150.4196888206254</v>
      </c>
      <c r="BE4" s="7">
        <f t="shared" ref="BE4:BE12" si="0">($BP$4*BF4+$BP$5)*BI4</f>
        <v>329.08216267477206</v>
      </c>
      <c r="BF4" s="7">
        <v>1</v>
      </c>
      <c r="BG4" s="7">
        <v>363</v>
      </c>
      <c r="BH4" s="38">
        <f t="shared" ref="BH4:BH15" si="1">$BG$16/12</f>
        <v>411.25</v>
      </c>
      <c r="BI4" s="7">
        <f t="shared" ref="BI4:BI15" si="2">BG4/BH4</f>
        <v>0.88267477203647415</v>
      </c>
      <c r="BJ4" s="7">
        <f t="shared" ref="BJ4:BJ15" si="3">$BP$5+$BP$4*(BF4+12)</f>
        <v>470.6694</v>
      </c>
      <c r="BK4" s="7">
        <f>BJ4*$BI$4*1.6</f>
        <v>664.71680855927059</v>
      </c>
      <c r="BL4" s="7">
        <f t="shared" ref="BL4:BL15" si="4">$BP$5+$BP$4*(BF4+24)</f>
        <v>568.51499999999999</v>
      </c>
      <c r="BM4" s="7">
        <f>BL4*$BI$4*1.6</f>
        <v>802.90215683890574</v>
      </c>
      <c r="BO4" s="122" t="s">
        <v>58</v>
      </c>
      <c r="BP4" s="123">
        <f>6.6538+1.5</f>
        <v>8.1538000000000004</v>
      </c>
      <c r="BR4">
        <v>2021</v>
      </c>
      <c r="BS4" s="129" t="s">
        <v>59</v>
      </c>
      <c r="BT4">
        <v>363</v>
      </c>
      <c r="BU4" s="150">
        <v>349</v>
      </c>
      <c r="BV4" s="150"/>
      <c r="BW4" s="104"/>
    </row>
    <row r="5" spans="1:75" ht="15" thickBot="1">
      <c r="A5" s="133" t="s">
        <v>60</v>
      </c>
      <c r="B5" s="7">
        <v>225000000</v>
      </c>
      <c r="C5" s="7"/>
      <c r="D5" s="7">
        <v>551000000</v>
      </c>
      <c r="E5" s="7">
        <v>3912000000</v>
      </c>
      <c r="F5" s="7">
        <v>246000000</v>
      </c>
      <c r="G5" s="7">
        <v>195600000</v>
      </c>
      <c r="H5" s="7"/>
      <c r="I5" s="7"/>
      <c r="J5" s="7">
        <v>6602947080</v>
      </c>
      <c r="K5" s="7">
        <v>11732547080</v>
      </c>
      <c r="L5" s="134">
        <f>K5/$K$932+L4</f>
        <v>0.10966363282921809</v>
      </c>
      <c r="M5" s="7" t="str">
        <f t="shared" ref="M5:M68" si="5">IF(L5&lt;=0.8,"A",IF(L5&lt;=0.95,"B","C"))</f>
        <v>A</v>
      </c>
      <c r="N5" s="7">
        <f t="shared" ref="N5:N68" si="6">STDEVP(B5:J5)/AVERAGE(B5:J5)</f>
        <v>1.2598382858785873</v>
      </c>
      <c r="O5" s="7" t="str">
        <f t="shared" ref="O5:O68" si="7">IF(N5=0,"Z",IF(N5&lt;=30%,"X",IF(N5&lt;=60%,"Y","Z")))</f>
        <v>Z</v>
      </c>
      <c r="P5" s="7" t="str">
        <f t="shared" ref="P5:P68" si="8">M5&amp;O5</f>
        <v>AZ</v>
      </c>
      <c r="S5" s="6" t="s">
        <v>50</v>
      </c>
      <c r="T5" s="25">
        <v>2</v>
      </c>
      <c r="U5" s="7" t="str">
        <v>AZ</v>
      </c>
      <c r="W5" s="6" t="s">
        <v>50</v>
      </c>
      <c r="X5" s="6">
        <v>3</v>
      </c>
      <c r="Y5" s="7" t="str">
        <v>AZ</v>
      </c>
      <c r="Z5" s="104"/>
      <c r="AB5" s="7">
        <v>2</v>
      </c>
      <c r="AC5" s="7" t="s">
        <v>61</v>
      </c>
      <c r="AD5" s="7">
        <v>1</v>
      </c>
      <c r="AE5" s="7">
        <v>1</v>
      </c>
      <c r="AF5" s="7">
        <v>0</v>
      </c>
      <c r="AG5" s="106">
        <v>250000000</v>
      </c>
      <c r="AH5" s="106">
        <v>250000000</v>
      </c>
      <c r="AI5" s="11">
        <v>1</v>
      </c>
      <c r="AJ5" s="107">
        <v>1.3278317305322382E-3</v>
      </c>
      <c r="AK5" s="7">
        <v>1</v>
      </c>
      <c r="AM5" s="108" t="s">
        <v>62</v>
      </c>
      <c r="AN5" s="7">
        <v>12</v>
      </c>
      <c r="AO5" s="11">
        <v>0.62574940200964846</v>
      </c>
      <c r="AP5" s="106">
        <v>11081389740</v>
      </c>
      <c r="AQ5" s="11">
        <v>9.405823396976741E-2</v>
      </c>
      <c r="AR5" s="7">
        <v>3</v>
      </c>
      <c r="AS5" s="7">
        <v>5</v>
      </c>
      <c r="AU5" s="76"/>
      <c r="AV5" s="113">
        <v>0.35</v>
      </c>
      <c r="AW5" s="113">
        <v>0.3</v>
      </c>
      <c r="AX5" s="113">
        <v>0.2</v>
      </c>
      <c r="AY5" s="113">
        <v>0.15</v>
      </c>
      <c r="AZ5" s="114">
        <v>0.5</v>
      </c>
      <c r="BA5" s="114" t="s">
        <v>63</v>
      </c>
      <c r="BB5" s="104"/>
      <c r="BD5" s="7">
        <f>(BE5-BG5)^2</f>
        <v>195.60911423086515</v>
      </c>
      <c r="BE5" s="7">
        <f t="shared" si="0"/>
        <v>176.01396717325227</v>
      </c>
      <c r="BF5" s="7">
        <v>2</v>
      </c>
      <c r="BG5" s="7">
        <v>190</v>
      </c>
      <c r="BH5" s="38">
        <f t="shared" si="1"/>
        <v>411.25</v>
      </c>
      <c r="BI5" s="7">
        <f t="shared" si="2"/>
        <v>0.46200607902735563</v>
      </c>
      <c r="BJ5" s="7">
        <f t="shared" si="3"/>
        <v>478.82320000000004</v>
      </c>
      <c r="BK5" s="7">
        <f>BJ5*$BI$5</f>
        <v>221.21922917933134</v>
      </c>
      <c r="BL5" s="7">
        <f t="shared" si="4"/>
        <v>576.66880000000003</v>
      </c>
      <c r="BM5" s="7">
        <f>BL5*$BI$5</f>
        <v>266.42449118541037</v>
      </c>
      <c r="BN5" s="124"/>
      <c r="BO5" s="125" t="s">
        <v>64</v>
      </c>
      <c r="BP5" s="126">
        <v>364.67</v>
      </c>
      <c r="BS5" s="129" t="s">
        <v>65</v>
      </c>
      <c r="BT5">
        <v>190</v>
      </c>
      <c r="BU5" s="150">
        <v>181</v>
      </c>
      <c r="BV5" s="150"/>
      <c r="BW5" s="104"/>
    </row>
    <row r="6" spans="1:75" ht="15.6">
      <c r="A6" s="133" t="s">
        <v>66</v>
      </c>
      <c r="B6" s="7">
        <v>350000000</v>
      </c>
      <c r="C6" s="7"/>
      <c r="D6" s="7"/>
      <c r="E6" s="7">
        <v>280000000</v>
      </c>
      <c r="F6" s="7">
        <v>350000000</v>
      </c>
      <c r="G6" s="7">
        <v>697107020</v>
      </c>
      <c r="H6" s="7">
        <v>4290000000</v>
      </c>
      <c r="I6" s="7"/>
      <c r="J6" s="7">
        <v>4875000000</v>
      </c>
      <c r="K6" s="7">
        <v>10842107020</v>
      </c>
      <c r="L6" s="134">
        <f t="shared" ref="L6:L69" si="9">K6/$K$932+L5</f>
        <v>0.14571035617674899</v>
      </c>
      <c r="M6" s="7" t="str">
        <f t="shared" si="5"/>
        <v>A</v>
      </c>
      <c r="N6" s="7">
        <f t="shared" si="6"/>
        <v>1.0925745316779849</v>
      </c>
      <c r="O6" s="7" t="str">
        <f t="shared" si="7"/>
        <v>Z</v>
      </c>
      <c r="P6" s="7" t="str">
        <f t="shared" si="8"/>
        <v>AZ</v>
      </c>
      <c r="S6" s="6" t="s">
        <v>50</v>
      </c>
      <c r="T6" s="25">
        <v>3</v>
      </c>
      <c r="U6" s="7" t="str">
        <v>AZ</v>
      </c>
      <c r="W6" s="6" t="s">
        <v>67</v>
      </c>
      <c r="X6" s="6">
        <v>2</v>
      </c>
      <c r="Y6" s="7" t="str">
        <v>CY</v>
      </c>
      <c r="Z6" s="104"/>
      <c r="AB6" s="7">
        <v>3</v>
      </c>
      <c r="AC6" s="7" t="s">
        <v>68</v>
      </c>
      <c r="AD6" s="7">
        <v>1</v>
      </c>
      <c r="AE6" s="7">
        <v>1</v>
      </c>
      <c r="AF6" s="7">
        <v>0</v>
      </c>
      <c r="AG6" s="106">
        <v>120000000</v>
      </c>
      <c r="AH6" s="106">
        <v>120000000</v>
      </c>
      <c r="AI6" s="11">
        <v>1</v>
      </c>
      <c r="AJ6" s="107">
        <v>6.3735923065547442E-4</v>
      </c>
      <c r="AK6" s="7">
        <v>1</v>
      </c>
      <c r="AM6" s="108" t="s">
        <v>69</v>
      </c>
      <c r="AN6" s="7">
        <v>4</v>
      </c>
      <c r="AO6" s="11">
        <v>0.53248628881089199</v>
      </c>
      <c r="AP6" s="106">
        <v>2058486617.5</v>
      </c>
      <c r="AQ6" s="11">
        <v>2.0532538809187595E-2</v>
      </c>
      <c r="AR6" s="7">
        <v>0</v>
      </c>
      <c r="AS6" s="7">
        <v>5</v>
      </c>
      <c r="AU6" s="115" t="s">
        <v>70</v>
      </c>
      <c r="AV6" s="76">
        <v>1</v>
      </c>
      <c r="AW6" s="76">
        <v>2</v>
      </c>
      <c r="AX6" s="76">
        <v>0</v>
      </c>
      <c r="AY6" s="76">
        <v>0</v>
      </c>
      <c r="AZ6" s="76">
        <v>0</v>
      </c>
      <c r="BA6" s="76">
        <f>SUMPRODUCT($AV$5:$AZ$5,AV6:AZ6)</f>
        <v>0.95</v>
      </c>
      <c r="BB6" s="104"/>
      <c r="BD6" s="7">
        <f t="shared" ref="BD6:BD12" si="10">(BE6-BG6)^2</f>
        <v>183.69804280935293</v>
      </c>
      <c r="BE6" s="7">
        <f t="shared" si="0"/>
        <v>238.44647489361705</v>
      </c>
      <c r="BF6" s="7">
        <v>3</v>
      </c>
      <c r="BG6" s="7">
        <v>252</v>
      </c>
      <c r="BH6" s="38">
        <f t="shared" si="1"/>
        <v>411.25</v>
      </c>
      <c r="BI6" s="7">
        <f t="shared" si="2"/>
        <v>0.61276595744680851</v>
      </c>
      <c r="BJ6" s="7">
        <f t="shared" si="3"/>
        <v>486.97700000000003</v>
      </c>
      <c r="BK6" s="7">
        <f>BJ6*$BI$6*1.5</f>
        <v>447.60439148936166</v>
      </c>
      <c r="BL6" s="7">
        <f t="shared" si="4"/>
        <v>584.82259999999997</v>
      </c>
      <c r="BM6" s="7">
        <f>BL6*$BI$6*1.5</f>
        <v>537.53907063829774</v>
      </c>
      <c r="BS6" s="129" t="s">
        <v>71</v>
      </c>
      <c r="BT6">
        <v>252</v>
      </c>
      <c r="BU6" s="150">
        <v>273</v>
      </c>
      <c r="BV6" s="150"/>
      <c r="BW6" s="104"/>
    </row>
    <row r="7" spans="1:75" ht="15.6">
      <c r="A7" s="133" t="s">
        <v>72</v>
      </c>
      <c r="B7" s="7"/>
      <c r="C7" s="7"/>
      <c r="D7" s="7">
        <v>200000000</v>
      </c>
      <c r="E7" s="7"/>
      <c r="F7" s="7">
        <v>483479870</v>
      </c>
      <c r="G7" s="7">
        <v>2012076180</v>
      </c>
      <c r="H7" s="7"/>
      <c r="I7" s="7"/>
      <c r="J7" s="7">
        <v>6890000000</v>
      </c>
      <c r="K7" s="7">
        <v>9585556050</v>
      </c>
      <c r="L7" s="134">
        <f t="shared" si="9"/>
        <v>0.17757942797517523</v>
      </c>
      <c r="M7" s="7" t="str">
        <f t="shared" si="5"/>
        <v>A</v>
      </c>
      <c r="N7" s="7">
        <f t="shared" si="6"/>
        <v>1.1201770256747052</v>
      </c>
      <c r="O7" s="7" t="str">
        <f t="shared" si="7"/>
        <v>Z</v>
      </c>
      <c r="P7" s="7" t="str">
        <f t="shared" si="8"/>
        <v>AZ</v>
      </c>
      <c r="S7" s="6" t="s">
        <v>73</v>
      </c>
      <c r="T7" s="25">
        <v>1</v>
      </c>
      <c r="U7" s="7" t="str">
        <v>BZ</v>
      </c>
      <c r="W7" s="135" t="s">
        <v>74</v>
      </c>
      <c r="X7" s="135">
        <v>2</v>
      </c>
      <c r="Y7" s="7" t="str">
        <v>AY</v>
      </c>
      <c r="Z7" s="104"/>
      <c r="AB7" s="7">
        <v>4</v>
      </c>
      <c r="AC7" s="7" t="s">
        <v>75</v>
      </c>
      <c r="AD7" s="7">
        <v>2</v>
      </c>
      <c r="AE7" s="7">
        <v>2</v>
      </c>
      <c r="AF7" s="7">
        <v>0</v>
      </c>
      <c r="AG7" s="106">
        <v>82500000</v>
      </c>
      <c r="AH7" s="106">
        <v>82500000</v>
      </c>
      <c r="AI7" s="11">
        <v>1</v>
      </c>
      <c r="AJ7" s="107">
        <v>4.3818447107563861E-4</v>
      </c>
      <c r="AK7" s="7">
        <v>2</v>
      </c>
      <c r="AM7" s="108" t="s">
        <v>76</v>
      </c>
      <c r="AN7" s="7">
        <v>346</v>
      </c>
      <c r="AO7" s="11">
        <v>0.84844846033859611</v>
      </c>
      <c r="AP7" s="106">
        <v>2778886882.4549999</v>
      </c>
      <c r="AQ7" s="11">
        <v>1.7395961454681679E-2</v>
      </c>
      <c r="AR7" s="7">
        <v>192</v>
      </c>
      <c r="AS7" s="7">
        <v>18</v>
      </c>
      <c r="AU7" s="115" t="s">
        <v>77</v>
      </c>
      <c r="AV7" s="76">
        <v>2</v>
      </c>
      <c r="AW7" s="76">
        <v>3</v>
      </c>
      <c r="AX7" s="76">
        <v>1</v>
      </c>
      <c r="AY7" s="76">
        <v>0</v>
      </c>
      <c r="AZ7" s="76">
        <v>0</v>
      </c>
      <c r="BA7" s="76">
        <f t="shared" ref="BA7:BA21" si="11">SUMPRODUCT($AV$5:$AZ$5,AV7:AZ7)</f>
        <v>1.7999999999999998</v>
      </c>
      <c r="BB7" s="104"/>
      <c r="BD7" s="7">
        <f t="shared" si="10"/>
        <v>230.39479573732382</v>
      </c>
      <c r="BE7" s="7">
        <f t="shared" si="0"/>
        <v>431.82123866261401</v>
      </c>
      <c r="BF7" s="7">
        <v>4</v>
      </c>
      <c r="BG7" s="7">
        <v>447</v>
      </c>
      <c r="BH7" s="38">
        <f t="shared" si="1"/>
        <v>411.25</v>
      </c>
      <c r="BI7" s="7">
        <f t="shared" si="2"/>
        <v>1.0869300911854103</v>
      </c>
      <c r="BJ7" s="7">
        <f t="shared" si="3"/>
        <v>495.13080000000002</v>
      </c>
      <c r="BK7" s="7">
        <f>BJ7*$BI$7</f>
        <v>538.17256559270515</v>
      </c>
      <c r="BL7" s="7">
        <f t="shared" si="4"/>
        <v>592.97640000000001</v>
      </c>
      <c r="BM7" s="7">
        <f>BL7*$BI$7</f>
        <v>644.52389252279636</v>
      </c>
      <c r="BS7" s="129" t="s">
        <v>78</v>
      </c>
      <c r="BT7">
        <v>447</v>
      </c>
      <c r="BU7" s="150">
        <v>476</v>
      </c>
      <c r="BV7" s="150"/>
      <c r="BW7" s="104"/>
    </row>
    <row r="8" spans="1:75" ht="16.5" customHeight="1">
      <c r="A8" s="133" t="s">
        <v>79</v>
      </c>
      <c r="B8" s="7"/>
      <c r="C8" s="7"/>
      <c r="D8" s="7"/>
      <c r="E8" s="7"/>
      <c r="F8" s="7"/>
      <c r="G8" s="7">
        <v>1610000000</v>
      </c>
      <c r="H8" s="7">
        <v>1150000000</v>
      </c>
      <c r="I8" s="7">
        <v>2300000000</v>
      </c>
      <c r="J8" s="7">
        <v>3450000000</v>
      </c>
      <c r="K8" s="7">
        <v>8510000000</v>
      </c>
      <c r="L8" s="134">
        <f t="shared" si="9"/>
        <v>0.20587260153651571</v>
      </c>
      <c r="M8" s="7" t="str">
        <f t="shared" si="5"/>
        <v>A</v>
      </c>
      <c r="N8" s="7">
        <f t="shared" si="6"/>
        <v>0.40720322090052335</v>
      </c>
      <c r="O8" s="7" t="str">
        <f t="shared" si="7"/>
        <v>Y</v>
      </c>
      <c r="P8" s="7" t="str">
        <f t="shared" si="8"/>
        <v>AY</v>
      </c>
      <c r="S8" s="6" t="s">
        <v>80</v>
      </c>
      <c r="T8" s="25">
        <v>1</v>
      </c>
      <c r="U8" s="7" t="str">
        <v>BZ</v>
      </c>
      <c r="W8" s="135" t="s">
        <v>81</v>
      </c>
      <c r="X8" s="135">
        <v>2</v>
      </c>
      <c r="Y8" s="7" t="str">
        <v>BY</v>
      </c>
      <c r="Z8" s="104"/>
      <c r="AB8" s="7">
        <v>5</v>
      </c>
      <c r="AC8" s="7" t="s">
        <v>82</v>
      </c>
      <c r="AD8" s="7">
        <v>1</v>
      </c>
      <c r="AE8" s="7">
        <v>1</v>
      </c>
      <c r="AF8" s="7">
        <v>0</v>
      </c>
      <c r="AG8" s="106">
        <v>72000000</v>
      </c>
      <c r="AH8" s="106">
        <v>72000000</v>
      </c>
      <c r="AI8" s="11">
        <v>1</v>
      </c>
      <c r="AJ8" s="107">
        <v>3.8241553839328464E-4</v>
      </c>
      <c r="AK8" s="7">
        <v>1</v>
      </c>
      <c r="AM8" s="109" t="s">
        <v>83</v>
      </c>
      <c r="AN8" s="7">
        <v>2</v>
      </c>
      <c r="AO8" s="11">
        <v>1</v>
      </c>
      <c r="AP8" s="106">
        <v>1320000000</v>
      </c>
      <c r="AQ8" s="11">
        <v>7.0109515372102178E-3</v>
      </c>
      <c r="AR8" s="7">
        <v>0</v>
      </c>
      <c r="AS8" s="7">
        <v>1</v>
      </c>
      <c r="AU8" s="115" t="s">
        <v>84</v>
      </c>
      <c r="AV8" s="76">
        <v>4</v>
      </c>
      <c r="AW8" s="76">
        <v>0</v>
      </c>
      <c r="AX8" s="76">
        <v>3</v>
      </c>
      <c r="AY8" s="76">
        <v>0</v>
      </c>
      <c r="AZ8" s="76">
        <v>0</v>
      </c>
      <c r="BA8" s="76">
        <f t="shared" si="11"/>
        <v>2</v>
      </c>
      <c r="BB8" s="104"/>
      <c r="BD8" s="7">
        <f t="shared" si="10"/>
        <v>43.171370394433843</v>
      </c>
      <c r="BE8" s="7">
        <f t="shared" si="0"/>
        <v>458.42950759878426</v>
      </c>
      <c r="BF8" s="7">
        <v>5</v>
      </c>
      <c r="BG8" s="7">
        <v>465</v>
      </c>
      <c r="BH8" s="38">
        <f t="shared" si="1"/>
        <v>411.25</v>
      </c>
      <c r="BI8" s="7">
        <f t="shared" si="2"/>
        <v>1.1306990881458967</v>
      </c>
      <c r="BJ8" s="7">
        <f t="shared" si="3"/>
        <v>503.28460000000001</v>
      </c>
      <c r="BK8" s="7">
        <f>BJ8*$BI$8*0.7</f>
        <v>398.34440680851066</v>
      </c>
      <c r="BL8" s="7">
        <f t="shared" si="4"/>
        <v>601.13020000000006</v>
      </c>
      <c r="BM8" s="7">
        <f>BL8*$BI$8*0.7</f>
        <v>475.78815829787237</v>
      </c>
      <c r="BS8" s="129" t="s">
        <v>71</v>
      </c>
      <c r="BT8">
        <v>465</v>
      </c>
      <c r="BU8" s="150">
        <v>408</v>
      </c>
      <c r="BV8" s="150"/>
      <c r="BW8" s="104"/>
    </row>
    <row r="9" spans="1:75" ht="31.15">
      <c r="A9" s="133" t="s">
        <v>85</v>
      </c>
      <c r="B9" s="7"/>
      <c r="C9" s="7"/>
      <c r="D9" s="7"/>
      <c r="E9" s="7"/>
      <c r="F9" s="7"/>
      <c r="G9" s="7">
        <v>1920000000</v>
      </c>
      <c r="H9" s="7">
        <v>1600000000</v>
      </c>
      <c r="I9" s="7"/>
      <c r="J9" s="7">
        <v>4887940160</v>
      </c>
      <c r="K9" s="7">
        <v>8407940160</v>
      </c>
      <c r="L9" s="134">
        <f t="shared" si="9"/>
        <v>0.23382645702890639</v>
      </c>
      <c r="M9" s="7" t="str">
        <f t="shared" si="5"/>
        <v>A</v>
      </c>
      <c r="N9" s="7">
        <f t="shared" si="6"/>
        <v>0.52817966074502276</v>
      </c>
      <c r="O9" s="7" t="str">
        <f t="shared" si="7"/>
        <v>Y</v>
      </c>
      <c r="P9" s="7" t="str">
        <f t="shared" si="8"/>
        <v>AY</v>
      </c>
      <c r="S9" s="6" t="s">
        <v>86</v>
      </c>
      <c r="T9" s="25">
        <v>1</v>
      </c>
      <c r="U9" s="7" t="str">
        <v>CZ</v>
      </c>
      <c r="W9" s="135" t="s">
        <v>87</v>
      </c>
      <c r="X9" s="135">
        <v>4</v>
      </c>
      <c r="Y9" s="7" t="str">
        <v>AZ</v>
      </c>
      <c r="Z9" s="104"/>
      <c r="AB9" s="7">
        <v>6</v>
      </c>
      <c r="AC9" s="7" t="s">
        <v>88</v>
      </c>
      <c r="AD9" s="7">
        <v>1</v>
      </c>
      <c r="AE9" s="7">
        <v>1</v>
      </c>
      <c r="AF9" s="7">
        <v>0</v>
      </c>
      <c r="AG9" s="106">
        <v>65000000</v>
      </c>
      <c r="AH9" s="106">
        <v>65000000</v>
      </c>
      <c r="AI9" s="11">
        <v>1</v>
      </c>
      <c r="AJ9" s="107">
        <v>3.4523624993838196E-4</v>
      </c>
      <c r="AK9" s="7">
        <v>1</v>
      </c>
      <c r="AM9" s="109" t="s">
        <v>89</v>
      </c>
      <c r="AN9" s="7">
        <v>2</v>
      </c>
      <c r="AO9" s="11">
        <v>0.54953000723065804</v>
      </c>
      <c r="AP9" s="106">
        <v>380000000</v>
      </c>
      <c r="AQ9" s="11">
        <v>3.6727825666521712E-3</v>
      </c>
      <c r="AR9" s="7">
        <v>0</v>
      </c>
      <c r="AS9" s="7">
        <v>1</v>
      </c>
      <c r="AU9" s="115" t="s">
        <v>90</v>
      </c>
      <c r="AV9" s="76">
        <v>1</v>
      </c>
      <c r="AW9" s="76">
        <v>5</v>
      </c>
      <c r="AX9" s="76">
        <v>1</v>
      </c>
      <c r="AY9" s="76">
        <v>0</v>
      </c>
      <c r="AZ9" s="76">
        <v>0</v>
      </c>
      <c r="BA9" s="76">
        <f t="shared" si="11"/>
        <v>2.0500000000000003</v>
      </c>
      <c r="BB9" s="104"/>
      <c r="BD9" s="7">
        <f t="shared" si="10"/>
        <v>10.250174051713584</v>
      </c>
      <c r="BE9" s="7">
        <f t="shared" si="0"/>
        <v>565.20158930091191</v>
      </c>
      <c r="BF9" s="7">
        <v>6</v>
      </c>
      <c r="BG9" s="7">
        <v>562</v>
      </c>
      <c r="BH9" s="38">
        <f t="shared" si="1"/>
        <v>411.25</v>
      </c>
      <c r="BI9" s="7">
        <f t="shared" si="2"/>
        <v>1.366565349544073</v>
      </c>
      <c r="BJ9" s="7">
        <f t="shared" si="3"/>
        <v>511.4384</v>
      </c>
      <c r="BK9" s="7">
        <f>BJ9*$BI$9</f>
        <v>698.91399586626142</v>
      </c>
      <c r="BL9" s="7">
        <f t="shared" si="4"/>
        <v>609.28399999999999</v>
      </c>
      <c r="BM9" s="7">
        <f>BL9*$BI$9</f>
        <v>832.62640243161104</v>
      </c>
      <c r="BS9" s="129" t="s">
        <v>59</v>
      </c>
      <c r="BT9">
        <v>562</v>
      </c>
      <c r="BU9" s="150">
        <v>427</v>
      </c>
      <c r="BV9" s="150"/>
      <c r="BW9" s="104"/>
    </row>
    <row r="10" spans="1:75" ht="15.6">
      <c r="A10" s="133" t="s">
        <v>91</v>
      </c>
      <c r="B10" s="7"/>
      <c r="C10" s="7">
        <v>3960474000</v>
      </c>
      <c r="D10" s="7">
        <v>3491825000</v>
      </c>
      <c r="E10" s="7"/>
      <c r="F10" s="7"/>
      <c r="G10" s="7"/>
      <c r="H10" s="7"/>
      <c r="I10" s="7"/>
      <c r="J10" s="7"/>
      <c r="K10" s="7">
        <v>7452299000</v>
      </c>
      <c r="L10" s="134">
        <f t="shared" si="9"/>
        <v>0.25860309498871886</v>
      </c>
      <c r="M10" s="7" t="str">
        <f t="shared" si="5"/>
        <v>A</v>
      </c>
      <c r="N10" s="7">
        <f t="shared" si="6"/>
        <v>6.2886499857292361E-2</v>
      </c>
      <c r="O10" s="7" t="str">
        <f t="shared" si="7"/>
        <v>X</v>
      </c>
      <c r="P10" s="7" t="str">
        <f t="shared" si="8"/>
        <v>AX</v>
      </c>
      <c r="S10" s="6" t="s">
        <v>92</v>
      </c>
      <c r="T10" s="25">
        <v>1</v>
      </c>
      <c r="U10" s="7" t="str">
        <v>AY</v>
      </c>
      <c r="W10" s="135" t="s">
        <v>73</v>
      </c>
      <c r="X10" s="135">
        <v>1</v>
      </c>
      <c r="Y10" s="7" t="str">
        <v>BZ</v>
      </c>
      <c r="Z10" s="104"/>
      <c r="AB10" s="7">
        <v>7</v>
      </c>
      <c r="AC10" s="7" t="s">
        <v>93</v>
      </c>
      <c r="AD10" s="7">
        <v>1</v>
      </c>
      <c r="AE10" s="7">
        <v>1</v>
      </c>
      <c r="AF10" s="7">
        <v>0</v>
      </c>
      <c r="AG10" s="106">
        <v>62000000</v>
      </c>
      <c r="AH10" s="106">
        <v>62000000</v>
      </c>
      <c r="AI10" s="11">
        <v>1</v>
      </c>
      <c r="AJ10" s="107">
        <v>3.2930226917199509E-4</v>
      </c>
      <c r="AK10" s="7">
        <v>1</v>
      </c>
      <c r="AM10" s="109" t="s">
        <v>94</v>
      </c>
      <c r="AN10" s="7">
        <v>7</v>
      </c>
      <c r="AO10" s="11">
        <v>0.75882868493919531</v>
      </c>
      <c r="AP10" s="106">
        <v>477069000</v>
      </c>
      <c r="AQ10" s="11">
        <v>3.3391850805115195E-3</v>
      </c>
      <c r="AR10" s="7">
        <v>2</v>
      </c>
      <c r="AS10" s="7">
        <v>10</v>
      </c>
      <c r="AU10" s="115" t="s">
        <v>95</v>
      </c>
      <c r="AV10" s="76">
        <v>1</v>
      </c>
      <c r="AW10" s="76">
        <v>5</v>
      </c>
      <c r="AX10" s="76">
        <v>1</v>
      </c>
      <c r="AY10" s="76">
        <v>0</v>
      </c>
      <c r="AZ10" s="76">
        <v>0</v>
      </c>
      <c r="BA10" s="76">
        <f t="shared" si="11"/>
        <v>2.0500000000000003</v>
      </c>
      <c r="BB10" s="104"/>
      <c r="BD10" s="7">
        <f t="shared" si="10"/>
        <v>214.63930730776164</v>
      </c>
      <c r="BE10" s="7">
        <f t="shared" si="0"/>
        <v>588.65057361702134</v>
      </c>
      <c r="BF10" s="7">
        <v>7</v>
      </c>
      <c r="BG10" s="7">
        <v>574</v>
      </c>
      <c r="BH10" s="38">
        <f t="shared" si="1"/>
        <v>411.25</v>
      </c>
      <c r="BI10" s="7">
        <f t="shared" si="2"/>
        <v>1.3957446808510638</v>
      </c>
      <c r="BJ10" s="7">
        <f t="shared" si="3"/>
        <v>519.59220000000005</v>
      </c>
      <c r="BK10" s="7">
        <f>BJ10*$BI$10</f>
        <v>725.21804936170224</v>
      </c>
      <c r="BL10" s="7">
        <f t="shared" si="4"/>
        <v>617.43780000000004</v>
      </c>
      <c r="BM10" s="7">
        <f>BL10*$BI$10</f>
        <v>861.78552510638303</v>
      </c>
      <c r="BS10" s="129" t="s">
        <v>59</v>
      </c>
      <c r="BT10">
        <v>574</v>
      </c>
      <c r="BU10" s="150">
        <v>262</v>
      </c>
      <c r="BV10" s="150"/>
      <c r="BW10" s="104"/>
    </row>
    <row r="11" spans="1:75" ht="31.15">
      <c r="A11" s="133" t="s">
        <v>96</v>
      </c>
      <c r="B11" s="7"/>
      <c r="C11" s="7"/>
      <c r="D11" s="7">
        <v>264000000</v>
      </c>
      <c r="E11" s="7">
        <v>6480000000</v>
      </c>
      <c r="F11" s="7"/>
      <c r="G11" s="7"/>
      <c r="H11" s="7"/>
      <c r="I11" s="7"/>
      <c r="J11" s="7"/>
      <c r="K11" s="7">
        <v>6744000000</v>
      </c>
      <c r="L11" s="134">
        <f t="shared" si="9"/>
        <v>0.28102485321406317</v>
      </c>
      <c r="M11" s="7" t="str">
        <f t="shared" si="5"/>
        <v>A</v>
      </c>
      <c r="N11" s="7">
        <f t="shared" si="6"/>
        <v>0.92170818505338081</v>
      </c>
      <c r="O11" s="7" t="str">
        <f t="shared" si="7"/>
        <v>Z</v>
      </c>
      <c r="P11" s="7" t="str">
        <f t="shared" si="8"/>
        <v>AZ</v>
      </c>
      <c r="S11" s="6" t="s">
        <v>97</v>
      </c>
      <c r="T11" s="25">
        <v>1</v>
      </c>
      <c r="U11" s="7" t="str">
        <v>AZ</v>
      </c>
      <c r="W11" s="135" t="s">
        <v>98</v>
      </c>
      <c r="X11" s="135">
        <v>3</v>
      </c>
      <c r="Y11" s="7" t="str">
        <v>BZ</v>
      </c>
      <c r="Z11" s="104"/>
      <c r="AB11" s="7">
        <v>8</v>
      </c>
      <c r="AC11" s="7" t="s">
        <v>99</v>
      </c>
      <c r="AD11" s="7">
        <v>3</v>
      </c>
      <c r="AE11" s="7">
        <v>3</v>
      </c>
      <c r="AF11" s="7">
        <v>0</v>
      </c>
      <c r="AG11" s="106">
        <v>51103125</v>
      </c>
      <c r="AH11" s="106">
        <v>51103125</v>
      </c>
      <c r="AI11" s="11">
        <v>1</v>
      </c>
      <c r="AJ11" s="107">
        <v>2.7142540361742117E-4</v>
      </c>
      <c r="AK11" s="7">
        <v>3</v>
      </c>
      <c r="AM11" s="109" t="s">
        <v>100</v>
      </c>
      <c r="AN11" s="7">
        <v>2</v>
      </c>
      <c r="AO11" s="11">
        <v>0.68027210884353739</v>
      </c>
      <c r="AP11" s="106">
        <v>100000000</v>
      </c>
      <c r="AQ11" s="11">
        <v>7.807650575529561E-4</v>
      </c>
      <c r="AR11" s="7">
        <v>1</v>
      </c>
      <c r="AS11" s="7">
        <v>2</v>
      </c>
      <c r="AU11" s="116" t="s">
        <v>101</v>
      </c>
      <c r="AV11" s="76">
        <v>1</v>
      </c>
      <c r="AW11" s="76">
        <v>5</v>
      </c>
      <c r="AX11" s="76">
        <v>1</v>
      </c>
      <c r="AY11" s="76">
        <v>0</v>
      </c>
      <c r="AZ11" s="76">
        <v>1</v>
      </c>
      <c r="BA11" s="76">
        <f t="shared" si="11"/>
        <v>2.5500000000000003</v>
      </c>
      <c r="BB11" s="104"/>
      <c r="BD11" s="7">
        <f t="shared" si="10"/>
        <v>1150.7147372501017</v>
      </c>
      <c r="BE11" s="7">
        <f t="shared" si="0"/>
        <v>781.92218650455925</v>
      </c>
      <c r="BF11" s="7">
        <v>8</v>
      </c>
      <c r="BG11" s="7">
        <v>748</v>
      </c>
      <c r="BH11" s="38">
        <f t="shared" si="1"/>
        <v>411.25</v>
      </c>
      <c r="BI11" s="7">
        <f t="shared" si="2"/>
        <v>1.8188449848024315</v>
      </c>
      <c r="BJ11" s="7">
        <f t="shared" si="3"/>
        <v>527.74600000000009</v>
      </c>
      <c r="BK11" s="7">
        <f>BJ11*$BI$11</f>
        <v>959.88816534954424</v>
      </c>
      <c r="BL11" s="7">
        <f t="shared" si="4"/>
        <v>625.59159999999997</v>
      </c>
      <c r="BM11" s="7">
        <f>BL11*$BI$11</f>
        <v>1137.8541441945288</v>
      </c>
      <c r="BS11" s="129" t="s">
        <v>78</v>
      </c>
      <c r="BT11">
        <v>748</v>
      </c>
      <c r="BU11" s="150">
        <v>343</v>
      </c>
      <c r="BV11" s="150"/>
      <c r="BW11" s="104"/>
    </row>
    <row r="12" spans="1:75" ht="15.6">
      <c r="A12" s="133" t="s">
        <v>102</v>
      </c>
      <c r="B12" s="7"/>
      <c r="C12" s="7"/>
      <c r="D12" s="7"/>
      <c r="E12" s="7">
        <v>175000000</v>
      </c>
      <c r="F12" s="7">
        <v>350000000</v>
      </c>
      <c r="G12" s="7">
        <v>350000000</v>
      </c>
      <c r="H12" s="7">
        <v>4497955540.000001</v>
      </c>
      <c r="I12" s="7">
        <v>660000000</v>
      </c>
      <c r="J12" s="7"/>
      <c r="K12" s="7">
        <v>6032955540.000001</v>
      </c>
      <c r="L12" s="134">
        <f t="shared" si="9"/>
        <v>0.30108260388163904</v>
      </c>
      <c r="M12" s="7" t="str">
        <f t="shared" si="5"/>
        <v>A</v>
      </c>
      <c r="N12" s="7">
        <f t="shared" si="6"/>
        <v>1.3700491653092437</v>
      </c>
      <c r="O12" s="7" t="str">
        <f t="shared" si="7"/>
        <v>Z</v>
      </c>
      <c r="P12" s="7" t="str">
        <f t="shared" si="8"/>
        <v>AZ</v>
      </c>
      <c r="S12" s="6" t="s">
        <v>97</v>
      </c>
      <c r="T12" s="25">
        <v>1</v>
      </c>
      <c r="U12" s="7" t="str">
        <v>AZ</v>
      </c>
      <c r="W12" s="135" t="s">
        <v>80</v>
      </c>
      <c r="X12" s="135">
        <v>1</v>
      </c>
      <c r="Y12" s="7" t="str">
        <v>BZ</v>
      </c>
      <c r="Z12" s="104"/>
      <c r="AB12" s="7">
        <v>9</v>
      </c>
      <c r="AC12" s="7" t="s">
        <v>103</v>
      </c>
      <c r="AD12" s="7">
        <v>1</v>
      </c>
      <c r="AE12" s="7">
        <v>1</v>
      </c>
      <c r="AF12" s="7">
        <v>0</v>
      </c>
      <c r="AG12" s="106">
        <v>38000000</v>
      </c>
      <c r="AH12" s="106">
        <v>38000000</v>
      </c>
      <c r="AI12" s="11">
        <v>1</v>
      </c>
      <c r="AJ12" s="107">
        <v>2.0183042304090023E-4</v>
      </c>
      <c r="AK12" s="7">
        <v>1</v>
      </c>
      <c r="AM12" s="109" t="s">
        <v>104</v>
      </c>
      <c r="AN12" s="7">
        <v>1</v>
      </c>
      <c r="AO12" s="11">
        <v>0.5</v>
      </c>
      <c r="AP12" s="106">
        <v>66000000</v>
      </c>
      <c r="AQ12" s="11">
        <v>7.010951537210218E-4</v>
      </c>
      <c r="AR12" s="7">
        <v>0</v>
      </c>
      <c r="AS12" s="7">
        <v>2</v>
      </c>
      <c r="AU12" s="116" t="s">
        <v>105</v>
      </c>
      <c r="AV12" s="76">
        <v>1</v>
      </c>
      <c r="AW12" s="76">
        <v>2</v>
      </c>
      <c r="AX12" s="76">
        <v>4</v>
      </c>
      <c r="AY12" s="76">
        <v>7</v>
      </c>
      <c r="AZ12" s="76">
        <v>0</v>
      </c>
      <c r="BA12" s="76">
        <f t="shared" si="11"/>
        <v>2.8</v>
      </c>
      <c r="BB12" s="104"/>
      <c r="BD12" s="7">
        <f t="shared" si="10"/>
        <v>448.70468033798869</v>
      </c>
      <c r="BE12" s="7">
        <f t="shared" si="0"/>
        <v>346.1826504559271</v>
      </c>
      <c r="BF12" s="7">
        <v>9</v>
      </c>
      <c r="BG12" s="7">
        <v>325</v>
      </c>
      <c r="BH12" s="38">
        <f t="shared" si="1"/>
        <v>411.25</v>
      </c>
      <c r="BI12" s="7">
        <f t="shared" si="2"/>
        <v>0.79027355623100304</v>
      </c>
      <c r="BJ12" s="7">
        <f t="shared" si="3"/>
        <v>535.89980000000003</v>
      </c>
      <c r="BK12" s="7">
        <f>BJ12*$BI$12*1.7</f>
        <v>719.96264924012155</v>
      </c>
      <c r="BL12" s="7">
        <f t="shared" si="4"/>
        <v>633.74540000000002</v>
      </c>
      <c r="BM12" s="7">
        <f>BL12*$BI$12*1.7</f>
        <v>851.4147927051672</v>
      </c>
      <c r="BS12" s="129" t="s">
        <v>106</v>
      </c>
      <c r="BT12">
        <v>325</v>
      </c>
      <c r="BU12" s="150">
        <v>107</v>
      </c>
      <c r="BV12" s="150"/>
      <c r="BW12" s="104"/>
    </row>
    <row r="13" spans="1:75" ht="31.15">
      <c r="A13" s="133" t="s">
        <v>107</v>
      </c>
      <c r="B13" s="7"/>
      <c r="C13" s="7"/>
      <c r="D13" s="7"/>
      <c r="E13" s="7">
        <v>750209865</v>
      </c>
      <c r="F13" s="7">
        <v>1508122900</v>
      </c>
      <c r="G13" s="7">
        <v>1806603500</v>
      </c>
      <c r="H13" s="7">
        <v>1389695000</v>
      </c>
      <c r="I13" s="7"/>
      <c r="J13" s="7"/>
      <c r="K13" s="7">
        <v>5454631265</v>
      </c>
      <c r="L13" s="134">
        <f t="shared" si="9"/>
        <v>0.31921760142497146</v>
      </c>
      <c r="M13" s="7" t="str">
        <f t="shared" si="5"/>
        <v>A</v>
      </c>
      <c r="N13" s="7">
        <f t="shared" si="6"/>
        <v>0.28260669428473706</v>
      </c>
      <c r="O13" s="7" t="str">
        <f t="shared" si="7"/>
        <v>X</v>
      </c>
      <c r="P13" s="7" t="str">
        <f t="shared" si="8"/>
        <v>AX</v>
      </c>
      <c r="S13" s="6" t="s">
        <v>108</v>
      </c>
      <c r="T13" s="25">
        <v>1</v>
      </c>
      <c r="U13" s="7" t="str">
        <v>CY</v>
      </c>
      <c r="W13" s="135" t="s">
        <v>109</v>
      </c>
      <c r="X13" s="135">
        <v>2</v>
      </c>
      <c r="Y13" s="7" t="str">
        <v>BZ</v>
      </c>
      <c r="Z13" s="104"/>
      <c r="AB13" s="7">
        <v>10</v>
      </c>
      <c r="AC13" s="7" t="s">
        <v>110</v>
      </c>
      <c r="AD13" s="7">
        <v>1</v>
      </c>
      <c r="AE13" s="7">
        <v>1</v>
      </c>
      <c r="AF13" s="7">
        <v>0</v>
      </c>
      <c r="AG13" s="106">
        <v>37800000</v>
      </c>
      <c r="AH13" s="106">
        <v>37800000</v>
      </c>
      <c r="AI13" s="11">
        <v>1</v>
      </c>
      <c r="AJ13" s="107">
        <v>2.0076815765647442E-4</v>
      </c>
      <c r="AK13" s="7">
        <v>1</v>
      </c>
      <c r="AM13" s="109" t="s">
        <v>111</v>
      </c>
      <c r="AN13" s="7">
        <v>3</v>
      </c>
      <c r="AO13" s="11">
        <v>0.80523917995444194</v>
      </c>
      <c r="AP13" s="106">
        <v>70700000</v>
      </c>
      <c r="AQ13" s="11">
        <v>4.6633450376292211E-4</v>
      </c>
      <c r="AR13" s="7">
        <v>1</v>
      </c>
      <c r="AS13" s="7">
        <v>4</v>
      </c>
      <c r="AU13" s="116" t="s">
        <v>112</v>
      </c>
      <c r="AV13" s="76">
        <v>1</v>
      </c>
      <c r="AW13" s="76">
        <v>0</v>
      </c>
      <c r="AX13" s="76">
        <v>10</v>
      </c>
      <c r="AY13" s="76">
        <v>0</v>
      </c>
      <c r="AZ13" s="76">
        <v>1</v>
      </c>
      <c r="BA13" s="76">
        <f t="shared" si="11"/>
        <v>2.85</v>
      </c>
      <c r="BB13" s="104"/>
      <c r="BD13" s="7"/>
      <c r="BE13" s="7"/>
      <c r="BF13" s="7">
        <v>10</v>
      </c>
      <c r="BG13" s="7">
        <v>240</v>
      </c>
      <c r="BH13" s="38">
        <f t="shared" si="1"/>
        <v>411.25</v>
      </c>
      <c r="BI13" s="7">
        <f t="shared" si="2"/>
        <v>0.5835866261398176</v>
      </c>
      <c r="BJ13" s="7">
        <f t="shared" si="3"/>
        <v>544.05359999999996</v>
      </c>
      <c r="BK13" s="7">
        <f>BJ13*$BI$13*1.5</f>
        <v>476.25360729483276</v>
      </c>
      <c r="BL13" s="7">
        <f t="shared" si="4"/>
        <v>641.89920000000006</v>
      </c>
      <c r="BM13" s="7">
        <f>BL13*$BI$13*1.5</f>
        <v>561.90568267477204</v>
      </c>
      <c r="BS13" s="129" t="s">
        <v>113</v>
      </c>
      <c r="BT13">
        <v>240</v>
      </c>
      <c r="BU13" s="150">
        <v>178</v>
      </c>
      <c r="BV13" s="150">
        <v>62</v>
      </c>
      <c r="BW13" s="104"/>
    </row>
    <row r="14" spans="1:75" ht="15.6">
      <c r="A14" s="133" t="s">
        <v>114</v>
      </c>
      <c r="B14" s="7">
        <v>122850000</v>
      </c>
      <c r="C14" s="7"/>
      <c r="D14" s="7"/>
      <c r="E14" s="7"/>
      <c r="F14" s="7">
        <v>388508509.49400002</v>
      </c>
      <c r="G14" s="7">
        <v>390733242.69375002</v>
      </c>
      <c r="H14" s="7">
        <v>389610000</v>
      </c>
      <c r="I14" s="7">
        <v>3116800080</v>
      </c>
      <c r="J14" s="7">
        <v>389610000</v>
      </c>
      <c r="K14" s="7">
        <v>4798111832.1877499</v>
      </c>
      <c r="L14" s="134">
        <f t="shared" si="9"/>
        <v>0.33516987061825104</v>
      </c>
      <c r="M14" s="7" t="str">
        <f t="shared" si="5"/>
        <v>A</v>
      </c>
      <c r="N14" s="7">
        <f t="shared" si="6"/>
        <v>1.3015290672319468</v>
      </c>
      <c r="O14" s="7" t="str">
        <f t="shared" si="7"/>
        <v>Z</v>
      </c>
      <c r="P14" s="7" t="str">
        <f t="shared" si="8"/>
        <v>AZ</v>
      </c>
      <c r="S14" s="6" t="s">
        <v>115</v>
      </c>
      <c r="T14" s="25">
        <v>1</v>
      </c>
      <c r="U14" s="7" t="str">
        <v>CZ</v>
      </c>
      <c r="W14" s="135" t="s">
        <v>116</v>
      </c>
      <c r="X14" s="135">
        <v>2</v>
      </c>
      <c r="Y14" s="7" t="str">
        <v>AZ</v>
      </c>
      <c r="Z14" s="104"/>
      <c r="AB14" s="7">
        <v>11</v>
      </c>
      <c r="AC14" s="7" t="s">
        <v>117</v>
      </c>
      <c r="AD14" s="7">
        <v>11</v>
      </c>
      <c r="AE14" s="7">
        <v>11</v>
      </c>
      <c r="AF14" s="7">
        <v>0</v>
      </c>
      <c r="AG14" s="106">
        <v>35200000</v>
      </c>
      <c r="AH14" s="106">
        <v>35200000</v>
      </c>
      <c r="AI14" s="11">
        <v>1</v>
      </c>
      <c r="AJ14" s="107">
        <v>1.8695870765893916E-4</v>
      </c>
      <c r="AK14" s="7">
        <v>11</v>
      </c>
      <c r="AM14" s="109" t="s">
        <v>118</v>
      </c>
      <c r="AN14" s="7">
        <v>3</v>
      </c>
      <c r="AO14" s="11">
        <v>0.60397635679742079</v>
      </c>
      <c r="AP14" s="106">
        <v>23604000</v>
      </c>
      <c r="AQ14" s="11">
        <v>2.075719674437216E-4</v>
      </c>
      <c r="AR14" s="7">
        <v>2</v>
      </c>
      <c r="AS14" s="7">
        <v>1</v>
      </c>
      <c r="AU14" s="117" t="s">
        <v>119</v>
      </c>
      <c r="AV14" s="76">
        <v>1</v>
      </c>
      <c r="AW14" s="76">
        <v>4</v>
      </c>
      <c r="AX14" s="76">
        <v>0</v>
      </c>
      <c r="AY14" s="76">
        <v>6</v>
      </c>
      <c r="AZ14" s="76">
        <v>1</v>
      </c>
      <c r="BA14" s="76">
        <f t="shared" si="11"/>
        <v>2.9499999999999997</v>
      </c>
      <c r="BB14" s="104"/>
      <c r="BD14" s="7"/>
      <c r="BE14" s="7"/>
      <c r="BF14" s="7">
        <v>11</v>
      </c>
      <c r="BG14" s="7">
        <v>330</v>
      </c>
      <c r="BH14" s="38">
        <f t="shared" si="1"/>
        <v>411.25</v>
      </c>
      <c r="BI14" s="7">
        <f t="shared" si="2"/>
        <v>0.80243161094224924</v>
      </c>
      <c r="BJ14" s="7">
        <f t="shared" si="3"/>
        <v>552.20740000000001</v>
      </c>
      <c r="BK14" s="7">
        <f>BJ14*$BI$14</f>
        <v>443.108673556231</v>
      </c>
      <c r="BL14" s="7">
        <f t="shared" si="4"/>
        <v>650.05300000000011</v>
      </c>
      <c r="BM14" s="7">
        <f>BL14*$BI$14</f>
        <v>521.62307598784207</v>
      </c>
      <c r="BS14" s="129" t="s">
        <v>120</v>
      </c>
      <c r="BT14">
        <v>330</v>
      </c>
      <c r="BU14" s="150">
        <v>205</v>
      </c>
      <c r="BV14" s="150">
        <v>125</v>
      </c>
      <c r="BW14" s="104"/>
    </row>
    <row r="15" spans="1:75" ht="15.6">
      <c r="A15" s="133" t="s">
        <v>121</v>
      </c>
      <c r="B15" s="7"/>
      <c r="C15" s="7"/>
      <c r="D15" s="7"/>
      <c r="E15" s="7"/>
      <c r="F15" s="7"/>
      <c r="G15" s="7">
        <v>755000000</v>
      </c>
      <c r="H15" s="7">
        <v>382168000</v>
      </c>
      <c r="I15" s="7">
        <v>2752522112</v>
      </c>
      <c r="J15" s="7">
        <v>686000000</v>
      </c>
      <c r="K15" s="7">
        <v>4575690112</v>
      </c>
      <c r="L15" s="134">
        <f t="shared" si="9"/>
        <v>0.35038265493102722</v>
      </c>
      <c r="M15" s="7" t="str">
        <f t="shared" si="5"/>
        <v>A</v>
      </c>
      <c r="N15" s="7">
        <f t="shared" si="6"/>
        <v>0.82108462575776908</v>
      </c>
      <c r="O15" s="7" t="str">
        <f t="shared" si="7"/>
        <v>Z</v>
      </c>
      <c r="P15" s="7" t="str">
        <f t="shared" si="8"/>
        <v>AZ</v>
      </c>
      <c r="S15" s="6" t="s">
        <v>122</v>
      </c>
      <c r="T15" s="25">
        <v>1</v>
      </c>
      <c r="U15" s="7" t="str">
        <v>AZ</v>
      </c>
      <c r="W15" s="135" t="s">
        <v>123</v>
      </c>
      <c r="X15" s="135">
        <v>2</v>
      </c>
      <c r="Y15" s="7" t="str">
        <v>AZ</v>
      </c>
      <c r="Z15" s="104"/>
      <c r="AB15" s="7">
        <v>12</v>
      </c>
      <c r="AC15" s="7" t="s">
        <v>124</v>
      </c>
      <c r="AD15" s="7">
        <v>2</v>
      </c>
      <c r="AE15" s="7">
        <v>2</v>
      </c>
      <c r="AF15" s="7">
        <v>0</v>
      </c>
      <c r="AG15" s="106">
        <v>26952000</v>
      </c>
      <c r="AH15" s="106">
        <v>26952000</v>
      </c>
      <c r="AI15" s="11">
        <v>1</v>
      </c>
      <c r="AJ15" s="107">
        <v>1.4315088320521955E-4</v>
      </c>
      <c r="AK15" s="7">
        <v>2</v>
      </c>
      <c r="AM15" s="109" t="s">
        <v>125</v>
      </c>
      <c r="AN15" s="7">
        <v>11</v>
      </c>
      <c r="AO15" s="11">
        <v>1</v>
      </c>
      <c r="AP15" s="106">
        <v>35200000</v>
      </c>
      <c r="AQ15" s="11">
        <v>1.8695870765893916E-4</v>
      </c>
      <c r="AR15" s="7">
        <v>0</v>
      </c>
      <c r="AS15" s="7">
        <v>11</v>
      </c>
      <c r="AU15" s="116" t="s">
        <v>126</v>
      </c>
      <c r="AV15" s="76">
        <v>3</v>
      </c>
      <c r="AW15" s="76">
        <v>4</v>
      </c>
      <c r="AX15" s="76">
        <v>1</v>
      </c>
      <c r="AY15" s="76">
        <v>7</v>
      </c>
      <c r="AZ15" s="76">
        <v>0</v>
      </c>
      <c r="BA15" s="76">
        <f t="shared" si="11"/>
        <v>3.5</v>
      </c>
      <c r="BB15" s="104"/>
      <c r="BD15" s="7">
        <f>SQRT(SUM(BD4:BD12)/9)</f>
        <v>20.076525570759294</v>
      </c>
      <c r="BE15" s="7"/>
      <c r="BF15" s="7">
        <v>12</v>
      </c>
      <c r="BG15" s="7">
        <v>439</v>
      </c>
      <c r="BH15" s="38">
        <f t="shared" si="1"/>
        <v>411.25</v>
      </c>
      <c r="BI15" s="7">
        <f t="shared" si="2"/>
        <v>1.0674772036474165</v>
      </c>
      <c r="BJ15" s="7">
        <f t="shared" si="3"/>
        <v>560.36120000000005</v>
      </c>
      <c r="BK15" s="7">
        <f>BJ15*$BI$15*1.1</f>
        <v>657.99008748936183</v>
      </c>
      <c r="BL15" s="7">
        <f t="shared" si="4"/>
        <v>658.20680000000004</v>
      </c>
      <c r="BM15" s="7">
        <f>BL15*$BI$15*1.1</f>
        <v>772.88282971428589</v>
      </c>
      <c r="BS15" s="129" t="s">
        <v>127</v>
      </c>
      <c r="BT15">
        <v>439</v>
      </c>
      <c r="BU15" s="150">
        <v>250</v>
      </c>
      <c r="BV15" s="150">
        <v>189</v>
      </c>
      <c r="BW15" s="104"/>
    </row>
    <row r="16" spans="1:75" ht="15.6">
      <c r="A16" s="133" t="s">
        <v>128</v>
      </c>
      <c r="B16" s="7">
        <v>62700000</v>
      </c>
      <c r="C16" s="7"/>
      <c r="D16" s="7">
        <v>3984300000</v>
      </c>
      <c r="E16" s="7"/>
      <c r="F16" s="7"/>
      <c r="G16" s="7"/>
      <c r="H16" s="7"/>
      <c r="I16" s="7"/>
      <c r="J16" s="7"/>
      <c r="K16" s="7">
        <v>4047000000</v>
      </c>
      <c r="L16" s="134">
        <f t="shared" si="9"/>
        <v>0.36383770468458126</v>
      </c>
      <c r="M16" s="7" t="str">
        <f t="shared" si="5"/>
        <v>A</v>
      </c>
      <c r="N16" s="7">
        <f t="shared" si="6"/>
        <v>0.96901408450704218</v>
      </c>
      <c r="O16" s="7" t="str">
        <f t="shared" si="7"/>
        <v>Z</v>
      </c>
      <c r="P16" s="7" t="str">
        <f t="shared" si="8"/>
        <v>AZ</v>
      </c>
      <c r="S16" s="6" t="s">
        <v>129</v>
      </c>
      <c r="T16" s="25">
        <v>2</v>
      </c>
      <c r="U16" s="7" t="str">
        <v>AZ</v>
      </c>
      <c r="W16" s="135" t="s">
        <v>130</v>
      </c>
      <c r="X16" s="135">
        <v>1</v>
      </c>
      <c r="Y16" s="7" t="str">
        <v>CZ</v>
      </c>
      <c r="Z16" s="104"/>
      <c r="AB16" s="7">
        <v>13</v>
      </c>
      <c r="AC16" s="7" t="s">
        <v>131</v>
      </c>
      <c r="AD16" s="7">
        <v>1</v>
      </c>
      <c r="AE16" s="7">
        <v>1</v>
      </c>
      <c r="AF16" s="7">
        <v>0</v>
      </c>
      <c r="AG16" s="106">
        <v>9940000</v>
      </c>
      <c r="AH16" s="106">
        <v>9940000</v>
      </c>
      <c r="AI16" s="11">
        <v>1</v>
      </c>
      <c r="AJ16" s="107">
        <v>5.2794589605961795E-5</v>
      </c>
      <c r="AK16" s="7">
        <v>1</v>
      </c>
      <c r="AM16" s="110" t="s">
        <v>132</v>
      </c>
      <c r="AN16" s="7">
        <v>21</v>
      </c>
      <c r="AO16" s="11">
        <v>1</v>
      </c>
      <c r="AP16" s="106">
        <v>1144466125</v>
      </c>
      <c r="AQ16" s="11">
        <v>6.0786337411770997E-3</v>
      </c>
      <c r="AR16" s="7">
        <v>10</v>
      </c>
      <c r="AS16" s="7">
        <v>3</v>
      </c>
      <c r="AU16" s="116" t="s">
        <v>133</v>
      </c>
      <c r="AV16" s="76">
        <v>4</v>
      </c>
      <c r="AW16" s="76">
        <v>3</v>
      </c>
      <c r="AX16" s="76">
        <v>1</v>
      </c>
      <c r="AY16" s="76">
        <v>8</v>
      </c>
      <c r="AZ16" s="76">
        <v>0</v>
      </c>
      <c r="BA16" s="76">
        <f t="shared" si="11"/>
        <v>3.7</v>
      </c>
      <c r="BB16" s="104"/>
      <c r="BD16" s="7"/>
      <c r="BE16" s="7"/>
      <c r="BF16" s="127" t="s">
        <v>134</v>
      </c>
      <c r="BG16" s="128">
        <f>SUM(BG4:BG15)</f>
        <v>4935</v>
      </c>
      <c r="BH16" s="38"/>
      <c r="BI16" s="7"/>
      <c r="BJ16" s="7"/>
      <c r="BK16" s="7"/>
      <c r="BL16" s="7"/>
      <c r="BM16" s="7"/>
      <c r="BR16">
        <v>2022</v>
      </c>
      <c r="BS16" s="129" t="s">
        <v>59</v>
      </c>
      <c r="BT16" s="60">
        <v>664.71680855927059</v>
      </c>
      <c r="BU16" s="150">
        <v>306</v>
      </c>
      <c r="BV16" s="150">
        <v>358.71680859999998</v>
      </c>
      <c r="BW16" s="104"/>
    </row>
    <row r="17" spans="1:75" ht="15.6">
      <c r="A17" s="133" t="s">
        <v>135</v>
      </c>
      <c r="B17" s="7">
        <v>200700000</v>
      </c>
      <c r="C17" s="7"/>
      <c r="D17" s="7"/>
      <c r="E17" s="7">
        <v>925802107.5</v>
      </c>
      <c r="F17" s="7">
        <v>599000000</v>
      </c>
      <c r="G17" s="7"/>
      <c r="H17" s="7">
        <v>1380000000</v>
      </c>
      <c r="I17" s="7"/>
      <c r="J17" s="7">
        <v>875000000</v>
      </c>
      <c r="K17" s="7">
        <v>3980502107.5</v>
      </c>
      <c r="L17" s="134">
        <f t="shared" si="9"/>
        <v>0.37707166907809231</v>
      </c>
      <c r="M17" s="7" t="str">
        <f t="shared" si="5"/>
        <v>A</v>
      </c>
      <c r="N17" s="7">
        <f t="shared" si="6"/>
        <v>0.48886801574809474</v>
      </c>
      <c r="O17" s="7" t="str">
        <f t="shared" si="7"/>
        <v>Y</v>
      </c>
      <c r="P17" s="7" t="str">
        <f t="shared" si="8"/>
        <v>AY</v>
      </c>
      <c r="S17" s="6" t="s">
        <v>136</v>
      </c>
      <c r="T17" s="25">
        <v>1</v>
      </c>
      <c r="U17" s="7" t="str">
        <v>BY</v>
      </c>
      <c r="W17" s="135" t="s">
        <v>137</v>
      </c>
      <c r="X17" s="135">
        <v>1</v>
      </c>
      <c r="Y17" s="7" t="str">
        <v>CY</v>
      </c>
      <c r="Z17" s="104"/>
      <c r="AB17" s="7">
        <v>14</v>
      </c>
      <c r="AC17" s="7" t="s">
        <v>138</v>
      </c>
      <c r="AD17" s="7">
        <v>475</v>
      </c>
      <c r="AE17" s="7">
        <v>346</v>
      </c>
      <c r="AF17" s="7"/>
      <c r="AG17" s="106">
        <v>2778886882.4549999</v>
      </c>
      <c r="AH17" s="106">
        <v>3275257145.6680002</v>
      </c>
      <c r="AI17" s="11">
        <v>0.84844846033859611</v>
      </c>
      <c r="AJ17" s="107">
        <v>1.7395961454681679E-2</v>
      </c>
      <c r="AK17" s="7">
        <v>192</v>
      </c>
      <c r="AM17" s="110" t="s">
        <v>139</v>
      </c>
      <c r="AN17" s="7">
        <v>3</v>
      </c>
      <c r="AO17" s="11">
        <v>0.72424513560717096</v>
      </c>
      <c r="AP17" s="106">
        <v>182798086.08000001</v>
      </c>
      <c r="AQ17" s="11">
        <v>1.340568749690525E-3</v>
      </c>
      <c r="AR17" s="7">
        <v>2</v>
      </c>
      <c r="AS17" s="7">
        <v>2</v>
      </c>
      <c r="AU17" s="116" t="s">
        <v>140</v>
      </c>
      <c r="AV17" s="76">
        <v>6</v>
      </c>
      <c r="AW17" s="76">
        <v>5</v>
      </c>
      <c r="AX17" s="76">
        <v>0</v>
      </c>
      <c r="AY17" s="76">
        <v>0</v>
      </c>
      <c r="AZ17" s="76">
        <v>1</v>
      </c>
      <c r="BA17" s="76">
        <f t="shared" si="11"/>
        <v>4.0999999999999996</v>
      </c>
      <c r="BB17" s="104"/>
      <c r="BD17" s="7"/>
      <c r="BE17" s="7"/>
      <c r="BF17" s="7"/>
      <c r="BG17" s="7"/>
      <c r="BH17" s="38"/>
      <c r="BI17" s="7"/>
      <c r="BJ17" s="7">
        <f>SUM(BK4:BK15)/BG16</f>
        <v>1.4085901985384466</v>
      </c>
      <c r="BK17" s="7"/>
      <c r="BL17" s="7"/>
      <c r="BM17" s="7">
        <f>SUM(BM4:BM15)/SUM(BJ4:BJ15)</f>
        <v>1.3364088033691519</v>
      </c>
      <c r="BS17" s="129" t="s">
        <v>65</v>
      </c>
      <c r="BT17" s="60">
        <v>221.21922917933134</v>
      </c>
      <c r="BU17" s="150">
        <v>125</v>
      </c>
      <c r="BV17" s="150">
        <v>96.219229179999999</v>
      </c>
      <c r="BW17" s="104"/>
    </row>
    <row r="18" spans="1:75" ht="15.6">
      <c r="A18" s="133" t="s">
        <v>141</v>
      </c>
      <c r="B18" s="7">
        <v>488000000</v>
      </c>
      <c r="C18" s="7">
        <v>250000000</v>
      </c>
      <c r="D18" s="7"/>
      <c r="E18" s="7">
        <v>730000000</v>
      </c>
      <c r="F18" s="7"/>
      <c r="G18" s="7">
        <v>613200000</v>
      </c>
      <c r="H18" s="7">
        <v>574000000</v>
      </c>
      <c r="I18" s="7">
        <v>495000000</v>
      </c>
      <c r="J18" s="7">
        <v>825000000</v>
      </c>
      <c r="K18" s="7">
        <v>3975200000</v>
      </c>
      <c r="L18" s="134">
        <f t="shared" si="9"/>
        <v>0.39028800556940141</v>
      </c>
      <c r="M18" s="7" t="str">
        <f t="shared" si="5"/>
        <v>A</v>
      </c>
      <c r="N18" s="7">
        <f t="shared" si="6"/>
        <v>0.30297797356523104</v>
      </c>
      <c r="O18" s="7" t="str">
        <f t="shared" si="7"/>
        <v>Y</v>
      </c>
      <c r="P18" s="7" t="str">
        <f t="shared" si="8"/>
        <v>AY</v>
      </c>
      <c r="S18" s="6" t="s">
        <v>142</v>
      </c>
      <c r="T18" s="25">
        <v>1</v>
      </c>
      <c r="U18" s="7" t="str">
        <v>BY</v>
      </c>
      <c r="W18" s="135" t="s">
        <v>86</v>
      </c>
      <c r="X18" s="135">
        <v>1</v>
      </c>
      <c r="Y18" s="7" t="str">
        <v>CZ</v>
      </c>
      <c r="Z18" s="104"/>
      <c r="AB18" s="7">
        <v>15</v>
      </c>
      <c r="AC18" s="7" t="s">
        <v>143</v>
      </c>
      <c r="AD18" s="7">
        <v>2</v>
      </c>
      <c r="AE18" s="7">
        <v>1</v>
      </c>
      <c r="AF18" s="7">
        <v>1</v>
      </c>
      <c r="AG18" s="106">
        <v>40600000</v>
      </c>
      <c r="AH18" s="106">
        <v>49300000</v>
      </c>
      <c r="AI18" s="11">
        <v>0.82352941176470584</v>
      </c>
      <c r="AJ18" s="107">
        <v>2.6184841726095741E-4</v>
      </c>
      <c r="AK18" s="7">
        <v>2</v>
      </c>
      <c r="AM18" s="110" t="s">
        <v>144</v>
      </c>
      <c r="AN18" s="7">
        <v>1</v>
      </c>
      <c r="AO18" s="11">
        <v>0.51622418879056042</v>
      </c>
      <c r="AP18" s="106">
        <v>87500000</v>
      </c>
      <c r="AQ18" s="11">
        <v>9.0026991330085756E-4</v>
      </c>
      <c r="AR18" s="7">
        <v>1</v>
      </c>
      <c r="AS18" s="7">
        <v>2</v>
      </c>
      <c r="AU18" s="116" t="s">
        <v>145</v>
      </c>
      <c r="AV18" s="76">
        <v>4</v>
      </c>
      <c r="AW18" s="76">
        <v>5</v>
      </c>
      <c r="AX18" s="76">
        <v>0</v>
      </c>
      <c r="AY18" s="76">
        <v>10</v>
      </c>
      <c r="AZ18" s="76">
        <v>0</v>
      </c>
      <c r="BA18" s="76">
        <f t="shared" si="11"/>
        <v>4.4000000000000004</v>
      </c>
      <c r="BB18" s="104"/>
      <c r="BS18" s="129" t="s">
        <v>71</v>
      </c>
      <c r="BT18" s="60">
        <v>447.60439148936166</v>
      </c>
      <c r="BU18" s="150">
        <v>284</v>
      </c>
      <c r="BV18" s="150">
        <v>163.60439149999999</v>
      </c>
      <c r="BW18" s="104"/>
    </row>
    <row r="19" spans="1:75" ht="15.6">
      <c r="A19" s="133" t="s">
        <v>146</v>
      </c>
      <c r="B19" s="7">
        <v>285000000</v>
      </c>
      <c r="C19" s="7"/>
      <c r="D19" s="7"/>
      <c r="E19" s="7"/>
      <c r="F19" s="7">
        <v>908000000</v>
      </c>
      <c r="G19" s="7"/>
      <c r="H19" s="7">
        <v>340500000</v>
      </c>
      <c r="I19" s="7">
        <v>1702500000</v>
      </c>
      <c r="J19" s="7">
        <v>227000000</v>
      </c>
      <c r="K19" s="7">
        <v>3463000000</v>
      </c>
      <c r="L19" s="134">
        <f t="shared" si="9"/>
        <v>0.40180143213143688</v>
      </c>
      <c r="M19" s="7" t="str">
        <f t="shared" si="5"/>
        <v>A</v>
      </c>
      <c r="N19" s="7">
        <f t="shared" si="6"/>
        <v>0.80988470238397448</v>
      </c>
      <c r="O19" s="7" t="str">
        <f t="shared" si="7"/>
        <v>Z</v>
      </c>
      <c r="P19" s="7" t="str">
        <f t="shared" si="8"/>
        <v>AZ</v>
      </c>
      <c r="S19" s="6" t="s">
        <v>147</v>
      </c>
      <c r="T19" s="25">
        <v>1</v>
      </c>
      <c r="U19" s="7" t="str">
        <v>AZ</v>
      </c>
      <c r="W19" s="135" t="s">
        <v>148</v>
      </c>
      <c r="X19" s="135">
        <v>1</v>
      </c>
      <c r="Y19" s="7" t="str">
        <v>CZ</v>
      </c>
      <c r="Z19" s="104"/>
      <c r="AB19" s="7">
        <v>16</v>
      </c>
      <c r="AC19" s="7" t="s">
        <v>149</v>
      </c>
      <c r="AD19" s="7">
        <v>4</v>
      </c>
      <c r="AE19" s="7">
        <v>3</v>
      </c>
      <c r="AF19" s="7">
        <v>1</v>
      </c>
      <c r="AG19" s="106">
        <v>70700000</v>
      </c>
      <c r="AH19" s="106">
        <v>87800000</v>
      </c>
      <c r="AI19" s="11">
        <v>0.80523917995444194</v>
      </c>
      <c r="AJ19" s="107">
        <v>4.6633450376292211E-4</v>
      </c>
      <c r="AK19" s="7">
        <v>3</v>
      </c>
      <c r="AM19" s="110" t="s">
        <v>150</v>
      </c>
      <c r="AN19" s="7">
        <v>1</v>
      </c>
      <c r="AO19" s="11">
        <v>0.82352941176470584</v>
      </c>
      <c r="AP19" s="106">
        <v>40600000</v>
      </c>
      <c r="AQ19" s="11">
        <v>2.6184841726095741E-4</v>
      </c>
      <c r="AR19" s="7">
        <v>1</v>
      </c>
      <c r="AS19" s="7">
        <v>1</v>
      </c>
      <c r="AU19" s="118" t="s">
        <v>151</v>
      </c>
      <c r="AV19" s="76">
        <v>6</v>
      </c>
      <c r="AW19" s="76">
        <v>2</v>
      </c>
      <c r="AX19" s="76">
        <v>10</v>
      </c>
      <c r="AY19" s="76">
        <v>4</v>
      </c>
      <c r="AZ19" s="76">
        <v>1</v>
      </c>
      <c r="BA19" s="76">
        <f t="shared" si="11"/>
        <v>5.7999999999999989</v>
      </c>
      <c r="BB19" s="104"/>
      <c r="BU19" s="150">
        <v>4174</v>
      </c>
      <c r="BV19" s="150"/>
      <c r="BW19" s="104"/>
    </row>
    <row r="20" spans="1:75" ht="15.6">
      <c r="A20" s="133" t="s">
        <v>152</v>
      </c>
      <c r="B20" s="7"/>
      <c r="C20" s="7"/>
      <c r="D20" s="7"/>
      <c r="E20" s="7"/>
      <c r="F20" s="7"/>
      <c r="G20" s="7">
        <v>1050000000</v>
      </c>
      <c r="H20" s="7"/>
      <c r="I20" s="7"/>
      <c r="J20" s="7">
        <v>2400000000</v>
      </c>
      <c r="K20" s="7">
        <v>3450000000</v>
      </c>
      <c r="L20" s="134">
        <f t="shared" si="9"/>
        <v>0.4132716376292776</v>
      </c>
      <c r="M20" s="7" t="str">
        <f t="shared" si="5"/>
        <v>A</v>
      </c>
      <c r="N20" s="7">
        <f t="shared" si="6"/>
        <v>0.39130434782608697</v>
      </c>
      <c r="O20" s="7" t="str">
        <f t="shared" si="7"/>
        <v>Y</v>
      </c>
      <c r="P20" s="7" t="str">
        <f t="shared" si="8"/>
        <v>AY</v>
      </c>
      <c r="S20" s="6" t="s">
        <v>147</v>
      </c>
      <c r="T20" s="25">
        <v>2</v>
      </c>
      <c r="U20" s="7" t="str">
        <v>AZ</v>
      </c>
      <c r="W20" s="135" t="s">
        <v>153</v>
      </c>
      <c r="X20" s="135">
        <v>2</v>
      </c>
      <c r="Y20" s="7" t="str">
        <v>BZ</v>
      </c>
      <c r="Z20" s="104"/>
      <c r="AB20" s="7">
        <v>17</v>
      </c>
      <c r="AC20" s="7" t="s">
        <v>154</v>
      </c>
      <c r="AD20" s="7">
        <v>12</v>
      </c>
      <c r="AE20" s="7">
        <v>7</v>
      </c>
      <c r="AF20" s="7">
        <v>2</v>
      </c>
      <c r="AG20" s="106">
        <v>477069000</v>
      </c>
      <c r="AH20" s="106">
        <v>628691310</v>
      </c>
      <c r="AI20" s="11">
        <v>0.75882868493919531</v>
      </c>
      <c r="AJ20" s="107">
        <v>3.3391850805115195E-3</v>
      </c>
      <c r="AK20" s="7">
        <v>5</v>
      </c>
      <c r="AM20" s="110" t="s">
        <v>155</v>
      </c>
      <c r="AN20" s="7">
        <v>2</v>
      </c>
      <c r="AO20" s="11">
        <v>0.54673577383874039</v>
      </c>
      <c r="AP20" s="106">
        <v>9900000</v>
      </c>
      <c r="AQ20" s="11">
        <v>9.6174677138624053E-5</v>
      </c>
      <c r="AR20" s="7">
        <v>2</v>
      </c>
      <c r="AS20" s="7">
        <v>2</v>
      </c>
      <c r="AU20" s="118" t="s">
        <v>156</v>
      </c>
      <c r="AV20" s="76">
        <v>7</v>
      </c>
      <c r="AW20" s="76">
        <v>5</v>
      </c>
      <c r="AX20" s="76">
        <v>5</v>
      </c>
      <c r="AY20" s="76">
        <v>10</v>
      </c>
      <c r="AZ20" s="76">
        <v>0</v>
      </c>
      <c r="BA20" s="76">
        <f t="shared" si="11"/>
        <v>6.4499999999999993</v>
      </c>
      <c r="BB20" s="104"/>
      <c r="BU20" s="150">
        <v>0.66586473300000004</v>
      </c>
      <c r="BV20" s="150"/>
      <c r="BW20" s="104"/>
    </row>
    <row r="21" spans="1:75" ht="31.15">
      <c r="A21" s="133" t="s">
        <v>157</v>
      </c>
      <c r="B21" s="7">
        <v>500000000</v>
      </c>
      <c r="C21" s="7">
        <v>387500000</v>
      </c>
      <c r="D21" s="7">
        <v>129750000</v>
      </c>
      <c r="E21" s="7">
        <v>437750000</v>
      </c>
      <c r="F21" s="7">
        <v>367500000</v>
      </c>
      <c r="G21" s="7"/>
      <c r="H21" s="7">
        <v>512820000</v>
      </c>
      <c r="I21" s="7">
        <v>569835000</v>
      </c>
      <c r="J21" s="7">
        <v>525735000</v>
      </c>
      <c r="K21" s="7">
        <v>3430890000</v>
      </c>
      <c r="L21" s="134">
        <f t="shared" si="9"/>
        <v>0.42467830816275204</v>
      </c>
      <c r="M21" s="7" t="str">
        <f t="shared" si="5"/>
        <v>A</v>
      </c>
      <c r="N21" s="7">
        <f t="shared" si="6"/>
        <v>0.30445992364169083</v>
      </c>
      <c r="O21" s="7" t="str">
        <f t="shared" si="7"/>
        <v>Y</v>
      </c>
      <c r="P21" s="7" t="str">
        <f t="shared" si="8"/>
        <v>AY</v>
      </c>
      <c r="S21" s="6" t="s">
        <v>158</v>
      </c>
      <c r="T21" s="25">
        <v>1</v>
      </c>
      <c r="U21" s="7" t="str">
        <v>CZ</v>
      </c>
      <c r="W21" s="135" t="s">
        <v>159</v>
      </c>
      <c r="X21" s="135">
        <v>1</v>
      </c>
      <c r="Y21" s="7" t="str">
        <v>BZ</v>
      </c>
      <c r="Z21" s="104"/>
      <c r="AB21" s="7">
        <v>18</v>
      </c>
      <c r="AC21" s="7" t="s">
        <v>160</v>
      </c>
      <c r="AD21" s="7">
        <v>4</v>
      </c>
      <c r="AE21" s="7">
        <v>3</v>
      </c>
      <c r="AF21" s="7">
        <v>1</v>
      </c>
      <c r="AG21" s="106">
        <v>182798086.08000001</v>
      </c>
      <c r="AH21" s="106">
        <v>252398086.08000001</v>
      </c>
      <c r="AI21" s="11">
        <v>0.72424513560717096</v>
      </c>
      <c r="AJ21" s="107">
        <v>1.340568749690525E-3</v>
      </c>
      <c r="AK21" s="7">
        <v>3</v>
      </c>
      <c r="AO21" s="74"/>
      <c r="AP21" s="105"/>
      <c r="AQ21" s="74"/>
      <c r="AU21" s="118" t="s">
        <v>161</v>
      </c>
      <c r="AV21" s="76">
        <v>10</v>
      </c>
      <c r="AW21" s="76">
        <v>4</v>
      </c>
      <c r="AX21" s="76">
        <v>5</v>
      </c>
      <c r="AY21" s="76">
        <v>7</v>
      </c>
      <c r="AZ21" s="76">
        <v>0</v>
      </c>
      <c r="BA21" s="76">
        <f t="shared" si="11"/>
        <v>6.75</v>
      </c>
      <c r="BB21" s="104"/>
      <c r="BU21" s="150">
        <v>4628.6871979999996</v>
      </c>
      <c r="BV21" s="150"/>
      <c r="BW21" s="104"/>
    </row>
    <row r="22" spans="1:75">
      <c r="A22" s="133" t="s">
        <v>162</v>
      </c>
      <c r="B22" s="7"/>
      <c r="C22" s="7"/>
      <c r="D22" s="7"/>
      <c r="E22" s="7"/>
      <c r="F22" s="7">
        <v>480000000</v>
      </c>
      <c r="G22" s="7">
        <v>416000000</v>
      </c>
      <c r="H22" s="7">
        <v>495000000</v>
      </c>
      <c r="I22" s="7">
        <v>1320000000</v>
      </c>
      <c r="J22" s="7">
        <v>660000000</v>
      </c>
      <c r="K22" s="7">
        <v>3371000000</v>
      </c>
      <c r="L22" s="134">
        <f t="shared" si="9"/>
        <v>0.43588586257817846</v>
      </c>
      <c r="M22" s="7" t="str">
        <f t="shared" si="5"/>
        <v>A</v>
      </c>
      <c r="N22" s="7">
        <f t="shared" si="6"/>
        <v>0.49361030438022457</v>
      </c>
      <c r="O22" s="7" t="str">
        <f t="shared" si="7"/>
        <v>Y</v>
      </c>
      <c r="P22" s="7" t="str">
        <f t="shared" si="8"/>
        <v>AY</v>
      </c>
      <c r="S22" s="6" t="s">
        <v>163</v>
      </c>
      <c r="T22" s="25">
        <v>1</v>
      </c>
      <c r="U22" s="7" t="str">
        <v>CZ</v>
      </c>
      <c r="W22" s="135" t="s">
        <v>164</v>
      </c>
      <c r="X22" s="135">
        <v>2</v>
      </c>
      <c r="Y22" s="7" t="str">
        <v>BZ</v>
      </c>
      <c r="Z22" s="104"/>
      <c r="AB22" s="7">
        <v>19</v>
      </c>
      <c r="AC22" s="7" t="s">
        <v>165</v>
      </c>
      <c r="AD22" s="7">
        <v>3</v>
      </c>
      <c r="AE22" s="7">
        <v>2</v>
      </c>
      <c r="AF22" s="7">
        <v>1</v>
      </c>
      <c r="AG22" s="106">
        <v>100000000</v>
      </c>
      <c r="AH22" s="106">
        <v>147000000</v>
      </c>
      <c r="AI22" s="11">
        <v>0.68027210884353739</v>
      </c>
      <c r="AJ22" s="107">
        <v>7.807650575529561E-4</v>
      </c>
      <c r="AK22" s="7">
        <v>2</v>
      </c>
      <c r="AO22" s="74"/>
      <c r="AP22" s="105"/>
      <c r="AQ22" s="74"/>
      <c r="BB22" s="104"/>
      <c r="BU22" s="150">
        <v>6951.3926300000003</v>
      </c>
      <c r="BV22" s="150">
        <v>2322.7054309999999</v>
      </c>
      <c r="BW22" s="104"/>
    </row>
    <row r="23" spans="1:75">
      <c r="A23" s="133" t="s">
        <v>166</v>
      </c>
      <c r="B23" s="7">
        <v>540000000</v>
      </c>
      <c r="C23" s="7"/>
      <c r="D23" s="7"/>
      <c r="E23" s="7"/>
      <c r="F23" s="7"/>
      <c r="G23" s="7">
        <v>216000000</v>
      </c>
      <c r="H23" s="7">
        <v>430500000</v>
      </c>
      <c r="I23" s="7">
        <v>2009000000</v>
      </c>
      <c r="J23" s="7"/>
      <c r="K23" s="7">
        <v>3195500000</v>
      </c>
      <c r="L23" s="134">
        <f t="shared" si="9"/>
        <v>0.44650993262697558</v>
      </c>
      <c r="M23" s="7" t="str">
        <f t="shared" si="5"/>
        <v>A</v>
      </c>
      <c r="N23" s="7">
        <f t="shared" si="6"/>
        <v>0.8866453666133246</v>
      </c>
      <c r="O23" s="7" t="str">
        <f t="shared" si="7"/>
        <v>Z</v>
      </c>
      <c r="P23" s="7" t="str">
        <f t="shared" si="8"/>
        <v>AZ</v>
      </c>
      <c r="S23" s="6" t="s">
        <v>167</v>
      </c>
      <c r="T23" s="25">
        <v>2</v>
      </c>
      <c r="U23" s="7" t="str">
        <v>CZ</v>
      </c>
      <c r="W23" s="135" t="s">
        <v>92</v>
      </c>
      <c r="X23" s="135">
        <v>1</v>
      </c>
      <c r="Y23" s="7" t="str">
        <v>AY</v>
      </c>
      <c r="Z23" s="104"/>
      <c r="AB23" s="7">
        <v>20</v>
      </c>
      <c r="AC23" s="7" t="s">
        <v>168</v>
      </c>
      <c r="AD23" s="7">
        <v>18</v>
      </c>
      <c r="AE23" s="7">
        <v>12</v>
      </c>
      <c r="AF23" s="7">
        <v>0</v>
      </c>
      <c r="AG23" s="106">
        <v>11081389740</v>
      </c>
      <c r="AH23" s="106">
        <v>17708989740</v>
      </c>
      <c r="AI23" s="11">
        <v>0.62574940200964846</v>
      </c>
      <c r="AJ23" s="107">
        <v>9.405823396976741E-2</v>
      </c>
      <c r="AK23" s="7">
        <v>5</v>
      </c>
      <c r="AO23" s="74"/>
      <c r="AP23" s="105"/>
      <c r="AQ23" s="74"/>
      <c r="BB23" s="104"/>
      <c r="BW23" s="104"/>
    </row>
    <row r="24" spans="1:75">
      <c r="A24" s="133" t="s">
        <v>169</v>
      </c>
      <c r="B24" s="7"/>
      <c r="C24" s="7"/>
      <c r="D24" s="7"/>
      <c r="E24" s="7">
        <v>171610950</v>
      </c>
      <c r="F24" s="7">
        <v>686443800</v>
      </c>
      <c r="G24" s="7">
        <v>858054750</v>
      </c>
      <c r="H24" s="7">
        <v>524972700</v>
      </c>
      <c r="I24" s="7">
        <v>350132880</v>
      </c>
      <c r="J24" s="7">
        <v>525199320</v>
      </c>
      <c r="K24" s="7">
        <v>3116414400</v>
      </c>
      <c r="L24" s="134">
        <f t="shared" si="9"/>
        <v>0.45687106699927416</v>
      </c>
      <c r="M24" s="7" t="str">
        <f t="shared" si="5"/>
        <v>A</v>
      </c>
      <c r="N24" s="7">
        <f t="shared" si="6"/>
        <v>0.42492084793355012</v>
      </c>
      <c r="O24" s="7" t="str">
        <f t="shared" si="7"/>
        <v>Y</v>
      </c>
      <c r="P24" s="7" t="str">
        <f t="shared" si="8"/>
        <v>AY</v>
      </c>
      <c r="S24" s="6" t="s">
        <v>170</v>
      </c>
      <c r="T24" s="25">
        <v>1</v>
      </c>
      <c r="U24" s="7" t="str">
        <v>BZ</v>
      </c>
      <c r="W24" s="135" t="s">
        <v>171</v>
      </c>
      <c r="X24" s="135">
        <v>2</v>
      </c>
      <c r="Y24" s="7" t="str">
        <v>CZ</v>
      </c>
      <c r="Z24" s="104"/>
      <c r="AB24" s="7">
        <v>21</v>
      </c>
      <c r="AC24" s="7" t="s">
        <v>172</v>
      </c>
      <c r="AD24" s="7">
        <v>4</v>
      </c>
      <c r="AE24" s="7">
        <v>3</v>
      </c>
      <c r="AF24" s="7">
        <v>0</v>
      </c>
      <c r="AG24" s="106">
        <v>23604000</v>
      </c>
      <c r="AH24" s="106">
        <v>39081000</v>
      </c>
      <c r="AI24" s="11">
        <v>0.60397635679742079</v>
      </c>
      <c r="AJ24" s="107">
        <v>2.075719674437216E-4</v>
      </c>
      <c r="AK24" s="7">
        <v>3</v>
      </c>
      <c r="AO24" s="74"/>
      <c r="AP24" s="105"/>
      <c r="AQ24" s="74"/>
      <c r="BB24" s="104"/>
      <c r="BW24" s="104"/>
    </row>
    <row r="25" spans="1:75">
      <c r="A25" s="133" t="s">
        <v>173</v>
      </c>
      <c r="B25" s="7"/>
      <c r="C25" s="7"/>
      <c r="D25" s="7"/>
      <c r="E25" s="7"/>
      <c r="F25" s="7"/>
      <c r="G25" s="7"/>
      <c r="H25" s="7"/>
      <c r="I25" s="7"/>
      <c r="J25" s="7">
        <v>3073298400</v>
      </c>
      <c r="K25" s="7">
        <v>3073298400</v>
      </c>
      <c r="L25" s="134">
        <f t="shared" si="9"/>
        <v>0.46708885372512493</v>
      </c>
      <c r="M25" s="7" t="str">
        <f t="shared" si="5"/>
        <v>A</v>
      </c>
      <c r="N25" s="7">
        <f t="shared" si="6"/>
        <v>0</v>
      </c>
      <c r="O25" s="7" t="str">
        <f t="shared" si="7"/>
        <v>Z</v>
      </c>
      <c r="P25" s="7" t="str">
        <f t="shared" si="8"/>
        <v>AZ</v>
      </c>
      <c r="S25" s="6" t="s">
        <v>152</v>
      </c>
      <c r="T25" s="25">
        <v>1</v>
      </c>
      <c r="U25" s="7" t="str">
        <v>AY</v>
      </c>
      <c r="W25" s="135" t="s">
        <v>174</v>
      </c>
      <c r="X25" s="135">
        <v>1</v>
      </c>
      <c r="Y25" s="7" t="str">
        <v>BY</v>
      </c>
      <c r="Z25" s="104"/>
      <c r="AB25" s="7">
        <v>22</v>
      </c>
      <c r="AC25" s="7" t="s">
        <v>175</v>
      </c>
      <c r="AD25" s="7">
        <v>9</v>
      </c>
      <c r="AE25" s="7">
        <v>2</v>
      </c>
      <c r="AF25" s="7">
        <v>0</v>
      </c>
      <c r="AG25" s="106">
        <v>380000000</v>
      </c>
      <c r="AH25" s="106">
        <v>691500000</v>
      </c>
      <c r="AI25" s="11">
        <v>0.54953000723065804</v>
      </c>
      <c r="AJ25" s="107">
        <v>3.6727825666521712E-3</v>
      </c>
      <c r="AK25" s="7">
        <v>4</v>
      </c>
      <c r="AO25" s="74"/>
      <c r="AP25" s="105"/>
      <c r="AQ25" s="74"/>
      <c r="BB25" s="104"/>
      <c r="BW25" s="104"/>
    </row>
    <row r="26" spans="1:75">
      <c r="A26" s="133" t="s">
        <v>176</v>
      </c>
      <c r="B26" s="7"/>
      <c r="C26" s="7"/>
      <c r="D26" s="7"/>
      <c r="E26" s="7"/>
      <c r="F26" s="7"/>
      <c r="G26" s="7"/>
      <c r="H26" s="7"/>
      <c r="I26" s="7"/>
      <c r="J26" s="7">
        <v>2902648500.0000005</v>
      </c>
      <c r="K26" s="7">
        <v>2902648500.0000005</v>
      </c>
      <c r="L26" s="134">
        <f t="shared" si="9"/>
        <v>0.47673928119845804</v>
      </c>
      <c r="M26" s="7" t="str">
        <f t="shared" si="5"/>
        <v>A</v>
      </c>
      <c r="N26" s="7">
        <f t="shared" si="6"/>
        <v>0</v>
      </c>
      <c r="O26" s="7" t="str">
        <f t="shared" si="7"/>
        <v>Z</v>
      </c>
      <c r="P26" s="7" t="str">
        <f t="shared" si="8"/>
        <v>AZ</v>
      </c>
      <c r="S26" s="6" t="s">
        <v>152</v>
      </c>
      <c r="T26" s="25">
        <v>2</v>
      </c>
      <c r="U26" s="7" t="str">
        <v>AY</v>
      </c>
      <c r="W26" s="135" t="s">
        <v>177</v>
      </c>
      <c r="X26" s="135">
        <v>1</v>
      </c>
      <c r="Y26" s="7" t="str">
        <v>BY</v>
      </c>
      <c r="Z26" s="104"/>
      <c r="AB26" s="7">
        <v>23</v>
      </c>
      <c r="AC26" s="7" t="s">
        <v>178</v>
      </c>
      <c r="AD26" s="7">
        <v>5</v>
      </c>
      <c r="AE26" s="7">
        <v>2</v>
      </c>
      <c r="AF26" s="7">
        <v>2</v>
      </c>
      <c r="AG26" s="106">
        <v>9900000</v>
      </c>
      <c r="AH26" s="106">
        <v>18107467.032000002</v>
      </c>
      <c r="AI26" s="11">
        <v>0.54673577383874039</v>
      </c>
      <c r="AJ26" s="107">
        <v>9.6174677138624053E-5</v>
      </c>
      <c r="AK26" s="7">
        <v>2</v>
      </c>
      <c r="AO26" s="74"/>
      <c r="AP26" s="105"/>
      <c r="AQ26" s="74"/>
      <c r="BB26" s="104"/>
      <c r="BW26" s="104"/>
    </row>
    <row r="27" spans="1:75">
      <c r="A27" s="133" t="s">
        <v>179</v>
      </c>
      <c r="B27" s="7"/>
      <c r="C27" s="7"/>
      <c r="D27" s="7"/>
      <c r="E27" s="7"/>
      <c r="F27" s="7">
        <v>471000000</v>
      </c>
      <c r="G27" s="7"/>
      <c r="H27" s="7">
        <v>517700000</v>
      </c>
      <c r="I27" s="7">
        <v>1169000000</v>
      </c>
      <c r="J27" s="7">
        <v>668000000</v>
      </c>
      <c r="K27" s="7">
        <v>2825700000</v>
      </c>
      <c r="L27" s="134">
        <f t="shared" si="9"/>
        <v>0.48613387820577647</v>
      </c>
      <c r="M27" s="7" t="str">
        <f t="shared" si="5"/>
        <v>A</v>
      </c>
      <c r="N27" s="7">
        <f t="shared" si="6"/>
        <v>0.39184566927935655</v>
      </c>
      <c r="O27" s="7" t="str">
        <f t="shared" si="7"/>
        <v>Y</v>
      </c>
      <c r="P27" s="7" t="str">
        <f t="shared" si="8"/>
        <v>AY</v>
      </c>
      <c r="S27" s="6" t="s">
        <v>180</v>
      </c>
      <c r="T27" s="25">
        <v>2</v>
      </c>
      <c r="U27" s="7" t="str">
        <v>AZ</v>
      </c>
      <c r="W27" s="135" t="s">
        <v>181</v>
      </c>
      <c r="X27" s="135">
        <v>2</v>
      </c>
      <c r="Y27" s="7" t="str">
        <v>CX</v>
      </c>
      <c r="Z27" s="104"/>
      <c r="AB27" s="7">
        <v>24</v>
      </c>
      <c r="AC27" s="7" t="s">
        <v>182</v>
      </c>
      <c r="AD27" s="7">
        <v>9</v>
      </c>
      <c r="AE27" s="7">
        <v>4</v>
      </c>
      <c r="AF27" s="7">
        <v>3</v>
      </c>
      <c r="AG27" s="106">
        <v>2058486617.5</v>
      </c>
      <c r="AH27" s="106">
        <v>3865802107.5</v>
      </c>
      <c r="AI27" s="11">
        <v>0.53248628881089199</v>
      </c>
      <c r="AJ27" s="107">
        <v>2.0532538809187595E-2</v>
      </c>
      <c r="AK27" s="7">
        <v>4</v>
      </c>
      <c r="AO27" s="74"/>
      <c r="AP27" s="105"/>
      <c r="AQ27" s="74"/>
      <c r="BB27" s="104"/>
      <c r="BW27" s="104"/>
    </row>
    <row r="28" spans="1:75">
      <c r="A28" s="133" t="s">
        <v>183</v>
      </c>
      <c r="B28" s="7"/>
      <c r="C28" s="7">
        <v>201000000</v>
      </c>
      <c r="D28" s="7"/>
      <c r="E28" s="7"/>
      <c r="F28" s="7"/>
      <c r="G28" s="7">
        <v>335000000</v>
      </c>
      <c r="H28" s="7">
        <v>680000000</v>
      </c>
      <c r="I28" s="7">
        <v>1258000000</v>
      </c>
      <c r="J28" s="7">
        <v>340000000</v>
      </c>
      <c r="K28" s="7">
        <v>2814000000</v>
      </c>
      <c r="L28" s="134">
        <f t="shared" si="9"/>
        <v>0.49548957625531959</v>
      </c>
      <c r="M28" s="7" t="str">
        <f t="shared" si="5"/>
        <v>A</v>
      </c>
      <c r="N28" s="7">
        <f t="shared" si="6"/>
        <v>0.67867970933093635</v>
      </c>
      <c r="O28" s="7" t="str">
        <f t="shared" si="7"/>
        <v>Z</v>
      </c>
      <c r="P28" s="7" t="str">
        <f t="shared" si="8"/>
        <v>AZ</v>
      </c>
      <c r="S28" s="6" t="s">
        <v>184</v>
      </c>
      <c r="T28" s="25">
        <v>1</v>
      </c>
      <c r="U28" s="7" t="str">
        <v>BY</v>
      </c>
      <c r="W28" s="135" t="s">
        <v>97</v>
      </c>
      <c r="X28" s="135">
        <v>3</v>
      </c>
      <c r="Y28" s="7" t="str">
        <v>AZ</v>
      </c>
      <c r="Z28" s="104"/>
      <c r="AB28" s="7">
        <v>25</v>
      </c>
      <c r="AC28" s="7" t="s">
        <v>185</v>
      </c>
      <c r="AD28" s="7">
        <v>2</v>
      </c>
      <c r="AE28" s="7">
        <v>1</v>
      </c>
      <c r="AF28" s="7">
        <v>1</v>
      </c>
      <c r="AG28" s="106">
        <v>87500000</v>
      </c>
      <c r="AH28" s="106">
        <v>169500000</v>
      </c>
      <c r="AI28" s="11">
        <v>0.51622418879056042</v>
      </c>
      <c r="AJ28" s="107">
        <v>9.0026991330085756E-4</v>
      </c>
      <c r="AK28" s="7">
        <v>1</v>
      </c>
      <c r="AO28" s="74"/>
      <c r="AP28" s="105"/>
      <c r="AQ28" s="74"/>
      <c r="BB28" s="104"/>
    </row>
    <row r="29" spans="1:75">
      <c r="A29" s="133" t="s">
        <v>186</v>
      </c>
      <c r="B29" s="7"/>
      <c r="C29" s="7"/>
      <c r="D29" s="7">
        <v>264000000</v>
      </c>
      <c r="E29" s="7"/>
      <c r="F29" s="7">
        <v>370000000</v>
      </c>
      <c r="G29" s="7"/>
      <c r="H29" s="7">
        <v>592000000</v>
      </c>
      <c r="I29" s="7">
        <v>888000000</v>
      </c>
      <c r="J29" s="7">
        <v>666000000</v>
      </c>
      <c r="K29" s="7">
        <v>2780000000</v>
      </c>
      <c r="L29" s="134">
        <f t="shared" si="9"/>
        <v>0.50473223459850713</v>
      </c>
      <c r="M29" s="7" t="str">
        <f t="shared" si="5"/>
        <v>A</v>
      </c>
      <c r="N29" s="7">
        <f t="shared" si="6"/>
        <v>0.39689155010062421</v>
      </c>
      <c r="O29" s="7" t="str">
        <f t="shared" si="7"/>
        <v>Y</v>
      </c>
      <c r="P29" s="7" t="str">
        <f t="shared" si="8"/>
        <v>AY</v>
      </c>
      <c r="S29" s="6" t="s">
        <v>184</v>
      </c>
      <c r="T29" s="25">
        <v>1</v>
      </c>
      <c r="U29" s="7" t="str">
        <v>BY</v>
      </c>
      <c r="W29" s="135" t="s">
        <v>187</v>
      </c>
      <c r="X29" s="135">
        <v>1</v>
      </c>
      <c r="Y29" s="7" t="str">
        <v>BZ</v>
      </c>
      <c r="Z29" s="104"/>
      <c r="AB29" s="7">
        <v>26</v>
      </c>
      <c r="AC29" s="7" t="s">
        <v>188</v>
      </c>
      <c r="AD29" s="7">
        <v>2</v>
      </c>
      <c r="AE29" s="7">
        <v>1</v>
      </c>
      <c r="AF29" s="7">
        <v>1</v>
      </c>
      <c r="AG29" s="106">
        <v>66000000</v>
      </c>
      <c r="AH29" s="106">
        <v>132000000</v>
      </c>
      <c r="AI29" s="11">
        <v>0.5</v>
      </c>
      <c r="AJ29" s="107">
        <v>7.010951537210218E-4</v>
      </c>
      <c r="AK29" s="7">
        <v>1</v>
      </c>
      <c r="AO29" s="74"/>
      <c r="AP29" s="105"/>
      <c r="AQ29" s="74"/>
      <c r="BB29" s="104"/>
    </row>
    <row r="30" spans="1:75">
      <c r="A30" s="133" t="s">
        <v>189</v>
      </c>
      <c r="B30" s="7"/>
      <c r="C30" s="7">
        <v>62500000</v>
      </c>
      <c r="D30" s="7"/>
      <c r="E30" s="7">
        <v>125000000</v>
      </c>
      <c r="F30" s="7">
        <v>187500000</v>
      </c>
      <c r="G30" s="7">
        <v>500000000</v>
      </c>
      <c r="H30" s="7">
        <v>125000000</v>
      </c>
      <c r="I30" s="7">
        <v>1750000000</v>
      </c>
      <c r="J30" s="7"/>
      <c r="K30" s="7">
        <v>2750000000</v>
      </c>
      <c r="L30" s="134">
        <f t="shared" si="9"/>
        <v>0.51387515202432221</v>
      </c>
      <c r="M30" s="7" t="str">
        <f t="shared" si="5"/>
        <v>A</v>
      </c>
      <c r="N30" s="7">
        <f t="shared" si="6"/>
        <v>1.2976456748745635</v>
      </c>
      <c r="O30" s="7" t="str">
        <f t="shared" si="7"/>
        <v>Z</v>
      </c>
      <c r="P30" s="7" t="str">
        <f t="shared" si="8"/>
        <v>AZ</v>
      </c>
      <c r="S30" s="6" t="s">
        <v>190</v>
      </c>
      <c r="T30" s="25">
        <v>2</v>
      </c>
      <c r="U30" s="7" t="str">
        <v>AZ</v>
      </c>
      <c r="W30" s="135" t="s">
        <v>191</v>
      </c>
      <c r="X30" s="135">
        <v>2</v>
      </c>
      <c r="Y30" s="7" t="str">
        <v>CZ</v>
      </c>
      <c r="Z30" s="104"/>
    </row>
    <row r="31" spans="1:75">
      <c r="A31" s="133" t="s">
        <v>97</v>
      </c>
      <c r="B31" s="7"/>
      <c r="C31" s="7"/>
      <c r="D31" s="7"/>
      <c r="E31" s="7"/>
      <c r="F31" s="7">
        <v>84000000</v>
      </c>
      <c r="G31" s="7">
        <v>504000000</v>
      </c>
      <c r="H31" s="7">
        <v>546000000</v>
      </c>
      <c r="I31" s="7">
        <v>336000000</v>
      </c>
      <c r="J31" s="7">
        <v>1260000000</v>
      </c>
      <c r="K31" s="7">
        <v>2730000000</v>
      </c>
      <c r="L31" s="134">
        <f t="shared" si="9"/>
        <v>0.52295157550522231</v>
      </c>
      <c r="M31" s="7" t="str">
        <f t="shared" si="5"/>
        <v>A</v>
      </c>
      <c r="N31" s="7">
        <f t="shared" si="6"/>
        <v>0.71831492491869242</v>
      </c>
      <c r="O31" s="7" t="str">
        <f t="shared" si="7"/>
        <v>Z</v>
      </c>
      <c r="P31" s="7" t="str">
        <f t="shared" si="8"/>
        <v>AZ</v>
      </c>
      <c r="S31" s="6" t="s">
        <v>192</v>
      </c>
      <c r="T31" s="25">
        <v>1</v>
      </c>
      <c r="U31" s="7" t="str">
        <v>CY</v>
      </c>
      <c r="W31" s="135" t="s">
        <v>193</v>
      </c>
      <c r="X31" s="135">
        <v>1</v>
      </c>
      <c r="Y31" s="7" t="str">
        <v>CZ</v>
      </c>
      <c r="Z31" s="104"/>
    </row>
    <row r="32" spans="1:75">
      <c r="A32" s="133" t="s">
        <v>194</v>
      </c>
      <c r="B32" s="7"/>
      <c r="C32" s="7"/>
      <c r="D32" s="7"/>
      <c r="E32" s="7">
        <v>210000000</v>
      </c>
      <c r="F32" s="7">
        <v>315000000</v>
      </c>
      <c r="G32" s="7">
        <v>700000000</v>
      </c>
      <c r="H32" s="7">
        <v>280000000</v>
      </c>
      <c r="I32" s="7">
        <v>385000000</v>
      </c>
      <c r="J32" s="7">
        <v>700000000</v>
      </c>
      <c r="K32" s="7">
        <v>2590000000</v>
      </c>
      <c r="L32" s="134">
        <f t="shared" si="9"/>
        <v>0.53156254137171721</v>
      </c>
      <c r="M32" s="7" t="str">
        <f t="shared" si="5"/>
        <v>A</v>
      </c>
      <c r="N32" s="7">
        <f t="shared" si="6"/>
        <v>0.45546755530683014</v>
      </c>
      <c r="O32" s="7" t="str">
        <f t="shared" si="7"/>
        <v>Y</v>
      </c>
      <c r="P32" s="7" t="str">
        <f t="shared" si="8"/>
        <v>AY</v>
      </c>
      <c r="S32" s="6" t="s">
        <v>195</v>
      </c>
      <c r="T32" s="25">
        <v>3</v>
      </c>
      <c r="U32" s="7" t="str">
        <v>AX</v>
      </c>
      <c r="W32" s="135" t="s">
        <v>196</v>
      </c>
      <c r="X32" s="135">
        <v>2</v>
      </c>
      <c r="Y32" s="7" t="str">
        <v>CZ</v>
      </c>
      <c r="Z32" s="104"/>
    </row>
    <row r="33" spans="1:26">
      <c r="A33" s="133" t="s">
        <v>197</v>
      </c>
      <c r="B33" s="7"/>
      <c r="C33" s="7">
        <v>362500000</v>
      </c>
      <c r="D33" s="7"/>
      <c r="E33" s="7">
        <v>1160000000</v>
      </c>
      <c r="F33" s="7"/>
      <c r="G33" s="7"/>
      <c r="H33" s="7">
        <v>435000000</v>
      </c>
      <c r="I33" s="7">
        <v>507500000</v>
      </c>
      <c r="J33" s="7"/>
      <c r="K33" s="7">
        <v>2465000000</v>
      </c>
      <c r="L33" s="134">
        <f t="shared" si="9"/>
        <v>0.53975792008249324</v>
      </c>
      <c r="M33" s="7" t="str">
        <f t="shared" si="5"/>
        <v>A</v>
      </c>
      <c r="N33" s="7">
        <f t="shared" si="6"/>
        <v>0.51617437572894831</v>
      </c>
      <c r="O33" s="7" t="str">
        <f t="shared" si="7"/>
        <v>Y</v>
      </c>
      <c r="P33" s="7" t="str">
        <f t="shared" si="8"/>
        <v>AY</v>
      </c>
      <c r="S33" s="6" t="s">
        <v>198</v>
      </c>
      <c r="T33" s="25">
        <v>1</v>
      </c>
      <c r="U33" s="7" t="str">
        <v>BY</v>
      </c>
      <c r="W33" s="135" t="s">
        <v>199</v>
      </c>
      <c r="X33" s="135">
        <v>2</v>
      </c>
      <c r="Y33" s="7" t="str">
        <v>BY</v>
      </c>
      <c r="Z33" s="104"/>
    </row>
    <row r="34" spans="1:26">
      <c r="A34" s="133" t="s">
        <v>200</v>
      </c>
      <c r="B34" s="7"/>
      <c r="C34" s="7"/>
      <c r="D34" s="7"/>
      <c r="E34" s="7">
        <v>225000000</v>
      </c>
      <c r="F34" s="7">
        <v>232578453</v>
      </c>
      <c r="G34" s="7">
        <v>461568840</v>
      </c>
      <c r="H34" s="7">
        <v>385000000</v>
      </c>
      <c r="I34" s="7">
        <v>385000000</v>
      </c>
      <c r="J34" s="7">
        <v>770000000</v>
      </c>
      <c r="K34" s="7">
        <v>2459147293</v>
      </c>
      <c r="L34" s="134">
        <f t="shared" si="9"/>
        <v>0.54793384031442616</v>
      </c>
      <c r="M34" s="7" t="str">
        <f t="shared" si="5"/>
        <v>A</v>
      </c>
      <c r="N34" s="7">
        <f t="shared" si="6"/>
        <v>0.44457958598778569</v>
      </c>
      <c r="O34" s="7" t="str">
        <f t="shared" si="7"/>
        <v>Y</v>
      </c>
      <c r="P34" s="7" t="str">
        <f t="shared" si="8"/>
        <v>AY</v>
      </c>
      <c r="S34" s="6" t="s">
        <v>201</v>
      </c>
      <c r="T34" s="25">
        <v>1</v>
      </c>
      <c r="U34" s="7" t="str">
        <v>BZ</v>
      </c>
      <c r="W34" s="135" t="s">
        <v>202</v>
      </c>
      <c r="X34" s="135">
        <v>2</v>
      </c>
      <c r="Y34" s="7" t="str">
        <v>CZ</v>
      </c>
      <c r="Z34" s="104"/>
    </row>
    <row r="35" spans="1:26">
      <c r="A35" s="133" t="s">
        <v>203</v>
      </c>
      <c r="B35" s="7">
        <v>143100000</v>
      </c>
      <c r="C35" s="7">
        <v>143100000</v>
      </c>
      <c r="D35" s="7"/>
      <c r="E35" s="7">
        <v>285233400</v>
      </c>
      <c r="F35" s="7"/>
      <c r="G35" s="7">
        <v>380739123.36000001</v>
      </c>
      <c r="H35" s="7">
        <v>686464200.43200004</v>
      </c>
      <c r="I35" s="7">
        <v>686683439.56799996</v>
      </c>
      <c r="J35" s="7"/>
      <c r="K35" s="7">
        <v>2325320163.3600001</v>
      </c>
      <c r="L35" s="134">
        <f t="shared" si="9"/>
        <v>0.55566482585703825</v>
      </c>
      <c r="M35" s="7" t="str">
        <f t="shared" si="5"/>
        <v>A</v>
      </c>
      <c r="N35" s="7">
        <f t="shared" si="6"/>
        <v>0.58542562478755811</v>
      </c>
      <c r="O35" s="7" t="str">
        <f t="shared" si="7"/>
        <v>Y</v>
      </c>
      <c r="P35" s="7" t="str">
        <f t="shared" si="8"/>
        <v>AY</v>
      </c>
      <c r="S35" s="6" t="s">
        <v>204</v>
      </c>
      <c r="T35" s="25">
        <v>1</v>
      </c>
      <c r="U35" s="7" t="str">
        <v>BY</v>
      </c>
      <c r="W35" s="135" t="s">
        <v>205</v>
      </c>
      <c r="X35" s="135">
        <v>2</v>
      </c>
      <c r="Y35" s="7" t="str">
        <v>CZ</v>
      </c>
      <c r="Z35" s="104"/>
    </row>
    <row r="36" spans="1:26">
      <c r="A36" s="133" t="s">
        <v>206</v>
      </c>
      <c r="B36" s="7"/>
      <c r="C36" s="7"/>
      <c r="D36" s="7"/>
      <c r="E36" s="7"/>
      <c r="F36" s="7"/>
      <c r="G36" s="7"/>
      <c r="H36" s="7">
        <v>660000000</v>
      </c>
      <c r="I36" s="7">
        <v>1650000000</v>
      </c>
      <c r="J36" s="7"/>
      <c r="K36" s="7">
        <v>2310000000</v>
      </c>
      <c r="L36" s="134">
        <f t="shared" si="9"/>
        <v>0.56334487649472287</v>
      </c>
      <c r="M36" s="7" t="str">
        <f t="shared" si="5"/>
        <v>A</v>
      </c>
      <c r="N36" s="7">
        <f t="shared" si="6"/>
        <v>0.42857142857142855</v>
      </c>
      <c r="O36" s="7" t="str">
        <f t="shared" si="7"/>
        <v>Y</v>
      </c>
      <c r="P36" s="7" t="str">
        <f t="shared" si="8"/>
        <v>AY</v>
      </c>
      <c r="S36" s="6" t="s">
        <v>204</v>
      </c>
      <c r="T36" s="25">
        <v>4</v>
      </c>
      <c r="U36" s="7" t="str">
        <v>BY</v>
      </c>
      <c r="W36" s="135" t="s">
        <v>207</v>
      </c>
      <c r="X36" s="135">
        <v>2</v>
      </c>
      <c r="Y36" s="7" t="str">
        <v>CZ</v>
      </c>
      <c r="Z36" s="104"/>
    </row>
    <row r="37" spans="1:26">
      <c r="A37" s="133" t="s">
        <v>208</v>
      </c>
      <c r="B37" s="7">
        <v>142320000</v>
      </c>
      <c r="C37" s="7">
        <v>207303321.59999999</v>
      </c>
      <c r="D37" s="7">
        <v>848123208</v>
      </c>
      <c r="E37" s="7">
        <v>418320000</v>
      </c>
      <c r="F37" s="7">
        <v>425135304</v>
      </c>
      <c r="G37" s="7"/>
      <c r="H37" s="7">
        <v>139479000</v>
      </c>
      <c r="I37" s="7"/>
      <c r="J37" s="7"/>
      <c r="K37" s="7">
        <v>2180680833.5999999</v>
      </c>
      <c r="L37" s="134">
        <f t="shared" si="9"/>
        <v>0.57059498005605469</v>
      </c>
      <c r="M37" s="7" t="str">
        <f t="shared" si="5"/>
        <v>A</v>
      </c>
      <c r="N37" s="7">
        <f t="shared" si="6"/>
        <v>0.67878054989557945</v>
      </c>
      <c r="O37" s="7" t="str">
        <f t="shared" si="7"/>
        <v>Z</v>
      </c>
      <c r="P37" s="7" t="str">
        <f t="shared" si="8"/>
        <v>AZ</v>
      </c>
      <c r="S37" s="6" t="s">
        <v>204</v>
      </c>
      <c r="T37" s="25">
        <v>4</v>
      </c>
      <c r="U37" s="7" t="str">
        <v>BY</v>
      </c>
      <c r="W37" s="135" t="s">
        <v>209</v>
      </c>
      <c r="X37" s="135">
        <v>1</v>
      </c>
      <c r="Y37" s="7" t="str">
        <v>CX</v>
      </c>
      <c r="Z37" s="104"/>
    </row>
    <row r="38" spans="1:26">
      <c r="A38" s="133" t="s">
        <v>210</v>
      </c>
      <c r="B38" s="7"/>
      <c r="C38" s="7"/>
      <c r="D38" s="7">
        <v>87000000</v>
      </c>
      <c r="E38" s="7">
        <v>130500000</v>
      </c>
      <c r="F38" s="7"/>
      <c r="G38" s="7">
        <v>498000000</v>
      </c>
      <c r="H38" s="7">
        <v>622400000</v>
      </c>
      <c r="I38" s="7">
        <v>415000000</v>
      </c>
      <c r="J38" s="7">
        <v>426400000</v>
      </c>
      <c r="K38" s="7">
        <v>2179300000</v>
      </c>
      <c r="L38" s="134">
        <f t="shared" si="9"/>
        <v>0.57784049276371974</v>
      </c>
      <c r="M38" s="7" t="str">
        <f t="shared" si="5"/>
        <v>A</v>
      </c>
      <c r="N38" s="7">
        <f t="shared" si="6"/>
        <v>0.53014326526673328</v>
      </c>
      <c r="O38" s="7" t="str">
        <f t="shared" si="7"/>
        <v>Y</v>
      </c>
      <c r="P38" s="7" t="str">
        <f t="shared" si="8"/>
        <v>AY</v>
      </c>
      <c r="S38" s="6" t="s">
        <v>204</v>
      </c>
      <c r="T38" s="25">
        <v>2</v>
      </c>
      <c r="U38" s="7" t="str">
        <v>BY</v>
      </c>
      <c r="W38" s="135" t="s">
        <v>211</v>
      </c>
      <c r="X38" s="135">
        <v>1</v>
      </c>
      <c r="Y38" s="7" t="str">
        <v>CY</v>
      </c>
      <c r="Z38" s="104"/>
    </row>
    <row r="39" spans="1:26">
      <c r="A39" s="133" t="s">
        <v>212</v>
      </c>
      <c r="B39" s="7"/>
      <c r="C39" s="7"/>
      <c r="D39" s="7"/>
      <c r="E39" s="7"/>
      <c r="F39" s="7"/>
      <c r="G39" s="7"/>
      <c r="H39" s="7">
        <v>825000000</v>
      </c>
      <c r="I39" s="7">
        <v>1320000000</v>
      </c>
      <c r="J39" s="7"/>
      <c r="K39" s="7">
        <v>2145000000</v>
      </c>
      <c r="L39" s="134">
        <f t="shared" si="9"/>
        <v>0.58497196835585552</v>
      </c>
      <c r="M39" s="7" t="str">
        <f t="shared" si="5"/>
        <v>A</v>
      </c>
      <c r="N39" s="7">
        <f t="shared" si="6"/>
        <v>0.23076923076923078</v>
      </c>
      <c r="O39" s="7" t="str">
        <f t="shared" si="7"/>
        <v>X</v>
      </c>
      <c r="P39" s="7" t="str">
        <f t="shared" si="8"/>
        <v>AX</v>
      </c>
      <c r="S39" s="6" t="s">
        <v>213</v>
      </c>
      <c r="T39" s="25">
        <v>1</v>
      </c>
      <c r="U39" s="7" t="str">
        <v>CZ</v>
      </c>
      <c r="W39" s="135" t="s">
        <v>214</v>
      </c>
      <c r="X39" s="135">
        <v>2</v>
      </c>
      <c r="Y39" s="7" t="str">
        <v>CZ</v>
      </c>
      <c r="Z39" s="104"/>
    </row>
    <row r="40" spans="1:26">
      <c r="A40" s="133" t="s">
        <v>215</v>
      </c>
      <c r="B40" s="7"/>
      <c r="C40" s="7"/>
      <c r="D40" s="7"/>
      <c r="E40" s="7"/>
      <c r="F40" s="7"/>
      <c r="G40" s="7">
        <v>360000000</v>
      </c>
      <c r="H40" s="7">
        <v>180000000</v>
      </c>
      <c r="I40" s="7">
        <v>360000000</v>
      </c>
      <c r="J40" s="7">
        <v>1200000000</v>
      </c>
      <c r="K40" s="7">
        <v>2100000000</v>
      </c>
      <c r="L40" s="134">
        <f t="shared" si="9"/>
        <v>0.59195383257193246</v>
      </c>
      <c r="M40" s="7" t="str">
        <f t="shared" si="5"/>
        <v>A</v>
      </c>
      <c r="N40" s="7">
        <f t="shared" si="6"/>
        <v>0.75538880379441631</v>
      </c>
      <c r="O40" s="7" t="str">
        <f t="shared" si="7"/>
        <v>Z</v>
      </c>
      <c r="P40" s="7" t="str">
        <f t="shared" si="8"/>
        <v>AZ</v>
      </c>
      <c r="S40" s="6" t="s">
        <v>216</v>
      </c>
      <c r="T40" s="25">
        <v>1</v>
      </c>
      <c r="U40" s="7" t="str">
        <v>CY</v>
      </c>
      <c r="W40" s="135" t="s">
        <v>217</v>
      </c>
      <c r="X40" s="135">
        <v>2</v>
      </c>
      <c r="Y40" s="7" t="str">
        <v>CY</v>
      </c>
      <c r="Z40" s="104"/>
    </row>
    <row r="41" spans="1:26">
      <c r="A41" s="133" t="s">
        <v>218</v>
      </c>
      <c r="B41" s="7"/>
      <c r="C41" s="7"/>
      <c r="D41" s="7">
        <v>107000000</v>
      </c>
      <c r="E41" s="7"/>
      <c r="F41" s="7"/>
      <c r="G41" s="7">
        <v>505000000</v>
      </c>
      <c r="H41" s="7">
        <v>732000000</v>
      </c>
      <c r="I41" s="7">
        <v>306000000</v>
      </c>
      <c r="J41" s="7">
        <v>408000000</v>
      </c>
      <c r="K41" s="7">
        <v>2058000000</v>
      </c>
      <c r="L41" s="134">
        <f t="shared" si="9"/>
        <v>0.59879605950368786</v>
      </c>
      <c r="M41" s="7" t="str">
        <f t="shared" si="5"/>
        <v>A</v>
      </c>
      <c r="N41" s="7">
        <f t="shared" si="6"/>
        <v>0.50418168037410727</v>
      </c>
      <c r="O41" s="7" t="str">
        <f t="shared" si="7"/>
        <v>Y</v>
      </c>
      <c r="P41" s="7" t="str">
        <f t="shared" si="8"/>
        <v>AY</v>
      </c>
      <c r="S41" s="6" t="s">
        <v>216</v>
      </c>
      <c r="T41" s="25">
        <v>1</v>
      </c>
      <c r="U41" s="7" t="str">
        <v>CY</v>
      </c>
      <c r="W41" s="135" t="s">
        <v>219</v>
      </c>
      <c r="X41" s="135">
        <v>1</v>
      </c>
      <c r="Y41" s="7" t="str">
        <v>CX</v>
      </c>
      <c r="Z41" s="104"/>
    </row>
    <row r="42" spans="1:26">
      <c r="A42" s="133" t="s">
        <v>220</v>
      </c>
      <c r="B42" s="7">
        <v>175263000</v>
      </c>
      <c r="C42" s="7">
        <v>171180000</v>
      </c>
      <c r="D42" s="7">
        <v>209220000</v>
      </c>
      <c r="E42" s="7">
        <v>364350000</v>
      </c>
      <c r="F42" s="7">
        <v>346515000</v>
      </c>
      <c r="G42" s="7">
        <v>313632000</v>
      </c>
      <c r="H42" s="7">
        <v>121095000</v>
      </c>
      <c r="I42" s="7">
        <v>257215231.19999999</v>
      </c>
      <c r="J42" s="7">
        <v>64350000</v>
      </c>
      <c r="K42" s="7">
        <v>2022820231.2</v>
      </c>
      <c r="L42" s="134">
        <f t="shared" si="9"/>
        <v>0.60552132435500772</v>
      </c>
      <c r="M42" s="7" t="str">
        <f t="shared" si="5"/>
        <v>A</v>
      </c>
      <c r="N42" s="7">
        <f t="shared" si="6"/>
        <v>0.43315342218061431</v>
      </c>
      <c r="O42" s="7" t="str">
        <f t="shared" si="7"/>
        <v>Y</v>
      </c>
      <c r="P42" s="7" t="str">
        <f t="shared" si="8"/>
        <v>AY</v>
      </c>
      <c r="S42" s="6" t="s">
        <v>221</v>
      </c>
      <c r="T42" s="25">
        <v>1</v>
      </c>
      <c r="U42" s="7" t="str">
        <v>CZ</v>
      </c>
      <c r="W42" s="135" t="s">
        <v>222</v>
      </c>
      <c r="X42" s="135">
        <v>2</v>
      </c>
      <c r="Y42" s="7" t="str">
        <v>CZ</v>
      </c>
      <c r="Z42" s="104"/>
    </row>
    <row r="43" spans="1:26">
      <c r="A43" s="133" t="s">
        <v>223</v>
      </c>
      <c r="B43" s="7"/>
      <c r="C43" s="7"/>
      <c r="D43" s="7"/>
      <c r="E43" s="7">
        <v>1972200000</v>
      </c>
      <c r="F43" s="7"/>
      <c r="G43" s="7"/>
      <c r="H43" s="7"/>
      <c r="I43" s="7">
        <v>17300000</v>
      </c>
      <c r="J43" s="7"/>
      <c r="K43" s="7">
        <v>1989500000</v>
      </c>
      <c r="L43" s="134">
        <f t="shared" si="9"/>
        <v>0.61213580952542923</v>
      </c>
      <c r="M43" s="7" t="str">
        <f t="shared" si="5"/>
        <v>A</v>
      </c>
      <c r="N43" s="7">
        <f t="shared" si="6"/>
        <v>0.9826086956521739</v>
      </c>
      <c r="O43" s="7" t="str">
        <f t="shared" si="7"/>
        <v>Z</v>
      </c>
      <c r="P43" s="7" t="str">
        <f t="shared" si="8"/>
        <v>AZ</v>
      </c>
      <c r="S43" s="6" t="s">
        <v>224</v>
      </c>
      <c r="T43" s="25">
        <v>3</v>
      </c>
      <c r="U43" s="7" t="str">
        <v>BY</v>
      </c>
      <c r="W43" s="135" t="s">
        <v>225</v>
      </c>
      <c r="X43" s="135">
        <v>3</v>
      </c>
      <c r="Y43" s="7" t="str">
        <v>BZ</v>
      </c>
      <c r="Z43" s="104"/>
    </row>
    <row r="44" spans="1:26">
      <c r="A44" s="133" t="s">
        <v>129</v>
      </c>
      <c r="B44" s="7">
        <v>95000000</v>
      </c>
      <c r="C44" s="7"/>
      <c r="D44" s="7">
        <v>28500022.5</v>
      </c>
      <c r="E44" s="7">
        <v>142500000</v>
      </c>
      <c r="F44" s="7">
        <v>114000000</v>
      </c>
      <c r="G44" s="7">
        <v>361000000</v>
      </c>
      <c r="H44" s="7">
        <v>152000000</v>
      </c>
      <c r="I44" s="7">
        <v>494000000</v>
      </c>
      <c r="J44" s="7">
        <v>570000000</v>
      </c>
      <c r="K44" s="7">
        <v>1957000022.5</v>
      </c>
      <c r="L44" s="134">
        <f t="shared" si="9"/>
        <v>0.61864224211016949</v>
      </c>
      <c r="M44" s="7" t="str">
        <f t="shared" si="5"/>
        <v>A</v>
      </c>
      <c r="N44" s="7">
        <f t="shared" si="6"/>
        <v>0.77396360777816542</v>
      </c>
      <c r="O44" s="7" t="str">
        <f t="shared" si="7"/>
        <v>Z</v>
      </c>
      <c r="P44" s="7" t="str">
        <f t="shared" si="8"/>
        <v>AZ</v>
      </c>
      <c r="S44" s="6" t="s">
        <v>224</v>
      </c>
      <c r="T44" s="25">
        <v>5</v>
      </c>
      <c r="U44" s="7" t="str">
        <v>BY</v>
      </c>
      <c r="W44" s="135" t="s">
        <v>226</v>
      </c>
      <c r="X44" s="135">
        <v>1</v>
      </c>
      <c r="Y44" s="7" t="str">
        <v>BY</v>
      </c>
      <c r="Z44" s="104"/>
    </row>
    <row r="45" spans="1:26">
      <c r="A45" s="133" t="s">
        <v>190</v>
      </c>
      <c r="B45" s="7">
        <v>197000000</v>
      </c>
      <c r="C45" s="7">
        <v>140000000</v>
      </c>
      <c r="D45" s="7">
        <v>134000000</v>
      </c>
      <c r="E45" s="7">
        <v>134000000</v>
      </c>
      <c r="F45" s="7"/>
      <c r="G45" s="7">
        <v>482400000</v>
      </c>
      <c r="H45" s="7">
        <v>855000000</v>
      </c>
      <c r="I45" s="7"/>
      <c r="J45" s="7"/>
      <c r="K45" s="7">
        <v>1942400000</v>
      </c>
      <c r="L45" s="134">
        <f t="shared" si="9"/>
        <v>0.62510013404031606</v>
      </c>
      <c r="M45" s="7" t="str">
        <f t="shared" si="5"/>
        <v>A</v>
      </c>
      <c r="N45" s="7">
        <f t="shared" si="6"/>
        <v>0.82619981384379915</v>
      </c>
      <c r="O45" s="7" t="str">
        <f t="shared" si="7"/>
        <v>Z</v>
      </c>
      <c r="P45" s="7" t="str">
        <f t="shared" si="8"/>
        <v>AZ</v>
      </c>
      <c r="S45" s="6" t="s">
        <v>224</v>
      </c>
      <c r="T45" s="25">
        <v>2</v>
      </c>
      <c r="U45" s="7" t="str">
        <v>BY</v>
      </c>
      <c r="W45" s="135" t="s">
        <v>227</v>
      </c>
      <c r="X45" s="135">
        <v>1</v>
      </c>
      <c r="Y45" s="7" t="str">
        <v>CZ</v>
      </c>
      <c r="Z45" s="104"/>
    </row>
    <row r="46" spans="1:26">
      <c r="A46" s="133" t="s">
        <v>50</v>
      </c>
      <c r="B46" s="7">
        <v>53332000</v>
      </c>
      <c r="C46" s="7"/>
      <c r="D46" s="7"/>
      <c r="E46" s="7">
        <v>53208552</v>
      </c>
      <c r="F46" s="7">
        <v>106417104</v>
      </c>
      <c r="G46" s="7">
        <v>193140000</v>
      </c>
      <c r="H46" s="7">
        <v>563325000</v>
      </c>
      <c r="I46" s="7">
        <v>354000000</v>
      </c>
      <c r="J46" s="7">
        <v>531000000</v>
      </c>
      <c r="K46" s="7">
        <v>1854422656</v>
      </c>
      <c r="L46" s="134">
        <f t="shared" si="9"/>
        <v>0.63126552793717738</v>
      </c>
      <c r="M46" s="7" t="str">
        <f t="shared" si="5"/>
        <v>A</v>
      </c>
      <c r="N46" s="7">
        <f t="shared" si="6"/>
        <v>0.7651904650590815</v>
      </c>
      <c r="O46" s="7" t="str">
        <f t="shared" si="7"/>
        <v>Z</v>
      </c>
      <c r="P46" s="7" t="str">
        <f t="shared" si="8"/>
        <v>AZ</v>
      </c>
      <c r="S46" s="6" t="s">
        <v>228</v>
      </c>
      <c r="T46" s="25">
        <v>1</v>
      </c>
      <c r="U46" s="7" t="str">
        <v>CZ</v>
      </c>
      <c r="W46" s="135" t="s">
        <v>229</v>
      </c>
      <c r="X46" s="135">
        <v>1</v>
      </c>
      <c r="Y46" s="7" t="str">
        <v>BZ</v>
      </c>
      <c r="Z46" s="104"/>
    </row>
    <row r="47" spans="1:26">
      <c r="A47" s="133" t="s">
        <v>195</v>
      </c>
      <c r="B47" s="7"/>
      <c r="C47" s="7"/>
      <c r="D47" s="7"/>
      <c r="E47" s="7">
        <v>840000000</v>
      </c>
      <c r="F47" s="7">
        <v>1000000000</v>
      </c>
      <c r="G47" s="7"/>
      <c r="H47" s="7"/>
      <c r="I47" s="7"/>
      <c r="J47" s="7"/>
      <c r="K47" s="7">
        <v>1840000000</v>
      </c>
      <c r="L47" s="134">
        <f t="shared" si="9"/>
        <v>0.63738297086935913</v>
      </c>
      <c r="M47" s="7" t="str">
        <f t="shared" si="5"/>
        <v>A</v>
      </c>
      <c r="N47" s="7">
        <f t="shared" si="6"/>
        <v>8.6956521739130432E-2</v>
      </c>
      <c r="O47" s="7" t="str">
        <f t="shared" si="7"/>
        <v>X</v>
      </c>
      <c r="P47" s="7" t="str">
        <f t="shared" si="8"/>
        <v>AX</v>
      </c>
      <c r="S47" s="6" t="s">
        <v>230</v>
      </c>
      <c r="T47" s="25">
        <v>3</v>
      </c>
      <c r="U47" s="7" t="str">
        <v>BY</v>
      </c>
      <c r="W47" s="135" t="s">
        <v>115</v>
      </c>
      <c r="X47" s="135">
        <v>1</v>
      </c>
      <c r="Y47" s="7" t="str">
        <v>CZ</v>
      </c>
      <c r="Z47" s="104"/>
    </row>
    <row r="48" spans="1:26">
      <c r="A48" s="133" t="s">
        <v>231</v>
      </c>
      <c r="B48" s="7"/>
      <c r="C48" s="7"/>
      <c r="D48" s="7"/>
      <c r="E48" s="7"/>
      <c r="F48" s="7"/>
      <c r="G48" s="7"/>
      <c r="H48" s="7"/>
      <c r="I48" s="7"/>
      <c r="J48" s="7">
        <v>1827000000</v>
      </c>
      <c r="K48" s="7">
        <v>1827000000</v>
      </c>
      <c r="L48" s="134">
        <f t="shared" si="9"/>
        <v>0.64345719273734614</v>
      </c>
      <c r="M48" s="7" t="str">
        <f t="shared" si="5"/>
        <v>A</v>
      </c>
      <c r="N48" s="7">
        <f t="shared" si="6"/>
        <v>0</v>
      </c>
      <c r="O48" s="7" t="str">
        <f t="shared" si="7"/>
        <v>Z</v>
      </c>
      <c r="P48" s="7" t="str">
        <f t="shared" si="8"/>
        <v>AZ</v>
      </c>
      <c r="S48" s="6" t="s">
        <v>230</v>
      </c>
      <c r="T48" s="25">
        <v>2</v>
      </c>
      <c r="U48" s="7" t="str">
        <v>BY</v>
      </c>
      <c r="W48" s="135" t="s">
        <v>232</v>
      </c>
      <c r="X48" s="135">
        <v>2</v>
      </c>
      <c r="Y48" s="7" t="str">
        <v>CZ</v>
      </c>
      <c r="Z48" s="104"/>
    </row>
    <row r="49" spans="1:26">
      <c r="A49" s="133" t="s">
        <v>233</v>
      </c>
      <c r="B49" s="7">
        <v>103896000</v>
      </c>
      <c r="C49" s="7">
        <v>91464000</v>
      </c>
      <c r="D49" s="7">
        <v>76752000</v>
      </c>
      <c r="E49" s="7">
        <v>68256000</v>
      </c>
      <c r="F49" s="7">
        <v>107136000</v>
      </c>
      <c r="G49" s="7">
        <v>203808000</v>
      </c>
      <c r="H49" s="7">
        <v>303552000</v>
      </c>
      <c r="I49" s="7">
        <v>722880000</v>
      </c>
      <c r="J49" s="7">
        <v>138000000</v>
      </c>
      <c r="K49" s="7">
        <v>1815744000</v>
      </c>
      <c r="L49" s="134">
        <f t="shared" si="9"/>
        <v>0.64949399181313494</v>
      </c>
      <c r="M49" s="7" t="str">
        <f t="shared" si="5"/>
        <v>A</v>
      </c>
      <c r="N49" s="7">
        <f t="shared" si="6"/>
        <v>0.97766450657593151</v>
      </c>
      <c r="O49" s="7" t="str">
        <f t="shared" si="7"/>
        <v>Z</v>
      </c>
      <c r="P49" s="7" t="str">
        <f t="shared" si="8"/>
        <v>AZ</v>
      </c>
      <c r="S49" s="6" t="s">
        <v>234</v>
      </c>
      <c r="T49" s="25">
        <v>1</v>
      </c>
      <c r="U49" s="7" t="str">
        <v>CZ</v>
      </c>
      <c r="W49" s="135" t="s">
        <v>122</v>
      </c>
      <c r="X49" s="135">
        <v>2</v>
      </c>
      <c r="Y49" s="7" t="str">
        <v>AZ</v>
      </c>
      <c r="Z49" s="104"/>
    </row>
    <row r="50" spans="1:26">
      <c r="A50" s="133" t="s">
        <v>235</v>
      </c>
      <c r="B50" s="7"/>
      <c r="C50" s="7"/>
      <c r="D50" s="7"/>
      <c r="E50" s="7"/>
      <c r="F50" s="7"/>
      <c r="G50" s="7">
        <v>750000000</v>
      </c>
      <c r="H50" s="7">
        <v>1000000000</v>
      </c>
      <c r="I50" s="7"/>
      <c r="J50" s="7"/>
      <c r="K50" s="7">
        <v>1750000000</v>
      </c>
      <c r="L50" s="134">
        <f t="shared" si="9"/>
        <v>0.65531221199319911</v>
      </c>
      <c r="M50" s="7" t="str">
        <f t="shared" si="5"/>
        <v>A</v>
      </c>
      <c r="N50" s="7">
        <f t="shared" si="6"/>
        <v>0.14285714285714285</v>
      </c>
      <c r="O50" s="7" t="str">
        <f t="shared" si="7"/>
        <v>X</v>
      </c>
      <c r="P50" s="7" t="str">
        <f t="shared" si="8"/>
        <v>AX</v>
      </c>
      <c r="S50" s="6" t="s">
        <v>236</v>
      </c>
      <c r="T50" s="25">
        <v>1</v>
      </c>
      <c r="U50" s="7" t="str">
        <v>BY</v>
      </c>
      <c r="W50" s="135" t="s">
        <v>237</v>
      </c>
      <c r="X50" s="135">
        <v>3</v>
      </c>
      <c r="Y50" s="7" t="str">
        <v>AY</v>
      </c>
      <c r="Z50" s="104"/>
    </row>
    <row r="51" spans="1:26">
      <c r="A51" s="133" t="s">
        <v>74</v>
      </c>
      <c r="B51" s="7"/>
      <c r="C51" s="7"/>
      <c r="D51" s="7"/>
      <c r="E51" s="7">
        <v>513595862.64000005</v>
      </c>
      <c r="F51" s="7"/>
      <c r="G51" s="7"/>
      <c r="H51" s="7"/>
      <c r="I51" s="7">
        <v>1190700000</v>
      </c>
      <c r="J51" s="7"/>
      <c r="K51" s="7">
        <v>1704295862.6400001</v>
      </c>
      <c r="L51" s="134">
        <f t="shared" si="9"/>
        <v>0.66097847975366308</v>
      </c>
      <c r="M51" s="7" t="str">
        <f t="shared" si="5"/>
        <v>A</v>
      </c>
      <c r="N51" s="7">
        <f t="shared" si="6"/>
        <v>0.39729260171479097</v>
      </c>
      <c r="O51" s="7" t="str">
        <f t="shared" si="7"/>
        <v>Y</v>
      </c>
      <c r="P51" s="7" t="str">
        <f t="shared" si="8"/>
        <v>AY</v>
      </c>
      <c r="S51" s="6" t="s">
        <v>236</v>
      </c>
      <c r="T51" s="25">
        <v>1</v>
      </c>
      <c r="U51" s="7" t="str">
        <v>BY</v>
      </c>
      <c r="W51" s="135" t="s">
        <v>238</v>
      </c>
      <c r="X51" s="135">
        <v>2</v>
      </c>
      <c r="Y51" s="7" t="str">
        <v>BZ</v>
      </c>
      <c r="Z51" s="104"/>
    </row>
    <row r="52" spans="1:26">
      <c r="A52" s="133" t="s">
        <v>239</v>
      </c>
      <c r="B52" s="7">
        <v>84000000</v>
      </c>
      <c r="C52" s="7"/>
      <c r="D52" s="7">
        <v>168000000</v>
      </c>
      <c r="E52" s="7">
        <v>89000000</v>
      </c>
      <c r="F52" s="7">
        <v>31360000</v>
      </c>
      <c r="G52" s="7">
        <v>457500000</v>
      </c>
      <c r="H52" s="7">
        <v>335500000</v>
      </c>
      <c r="I52" s="7">
        <v>274500000</v>
      </c>
      <c r="J52" s="7">
        <v>236000000</v>
      </c>
      <c r="K52" s="7">
        <v>1675860000</v>
      </c>
      <c r="L52" s="134">
        <f t="shared" si="9"/>
        <v>0.66655020687992728</v>
      </c>
      <c r="M52" s="7" t="str">
        <f t="shared" si="5"/>
        <v>A</v>
      </c>
      <c r="N52" s="7">
        <f t="shared" si="6"/>
        <v>0.64496186468956918</v>
      </c>
      <c r="O52" s="7" t="str">
        <f t="shared" si="7"/>
        <v>Z</v>
      </c>
      <c r="P52" s="7" t="str">
        <f t="shared" si="8"/>
        <v>AZ</v>
      </c>
      <c r="S52" s="6" t="s">
        <v>240</v>
      </c>
      <c r="T52" s="25">
        <v>1</v>
      </c>
      <c r="U52" s="7" t="str">
        <v>BZ</v>
      </c>
      <c r="W52" s="135" t="s">
        <v>189</v>
      </c>
      <c r="X52" s="135">
        <v>2</v>
      </c>
      <c r="Y52" s="7" t="str">
        <v>AZ</v>
      </c>
      <c r="Z52" s="104"/>
    </row>
    <row r="53" spans="1:26">
      <c r="A53" s="133" t="s">
        <v>241</v>
      </c>
      <c r="B53" s="7"/>
      <c r="C53" s="7"/>
      <c r="D53" s="7"/>
      <c r="E53" s="7"/>
      <c r="F53" s="7"/>
      <c r="G53" s="7"/>
      <c r="H53" s="7">
        <v>660000000</v>
      </c>
      <c r="I53" s="7">
        <v>330000000</v>
      </c>
      <c r="J53" s="7">
        <v>660000000</v>
      </c>
      <c r="K53" s="7">
        <v>1650000000</v>
      </c>
      <c r="L53" s="134">
        <f t="shared" si="9"/>
        <v>0.67203595733541632</v>
      </c>
      <c r="M53" s="7" t="str">
        <f t="shared" si="5"/>
        <v>A</v>
      </c>
      <c r="N53" s="7">
        <f t="shared" si="6"/>
        <v>0.28284271247461901</v>
      </c>
      <c r="O53" s="7" t="str">
        <f t="shared" si="7"/>
        <v>X</v>
      </c>
      <c r="P53" s="7" t="str">
        <f t="shared" si="8"/>
        <v>AX</v>
      </c>
      <c r="S53" s="6" t="s">
        <v>240</v>
      </c>
      <c r="T53" s="25">
        <v>1</v>
      </c>
      <c r="U53" s="7" t="str">
        <v>BZ</v>
      </c>
      <c r="W53" s="135" t="s">
        <v>242</v>
      </c>
      <c r="X53" s="135">
        <v>2</v>
      </c>
      <c r="Y53" s="7" t="str">
        <v>BZ</v>
      </c>
      <c r="Z53" s="104"/>
    </row>
    <row r="54" spans="1:26">
      <c r="A54" s="133" t="s">
        <v>243</v>
      </c>
      <c r="B54" s="7"/>
      <c r="C54" s="7"/>
      <c r="D54" s="7">
        <v>1647000000</v>
      </c>
      <c r="E54" s="7"/>
      <c r="F54" s="7"/>
      <c r="G54" s="7"/>
      <c r="H54" s="7"/>
      <c r="I54" s="7"/>
      <c r="J54" s="7"/>
      <c r="K54" s="7">
        <v>1647000000</v>
      </c>
      <c r="L54" s="134">
        <f t="shared" si="9"/>
        <v>0.67751173369916806</v>
      </c>
      <c r="M54" s="7" t="str">
        <f t="shared" si="5"/>
        <v>A</v>
      </c>
      <c r="N54" s="7">
        <f t="shared" si="6"/>
        <v>0</v>
      </c>
      <c r="O54" s="7" t="str">
        <f t="shared" si="7"/>
        <v>Z</v>
      </c>
      <c r="P54" s="7" t="str">
        <f t="shared" si="8"/>
        <v>AZ</v>
      </c>
      <c r="S54" s="6" t="s">
        <v>240</v>
      </c>
      <c r="T54" s="25">
        <v>4</v>
      </c>
      <c r="U54" s="7" t="str">
        <v>BZ</v>
      </c>
      <c r="W54" s="135" t="s">
        <v>244</v>
      </c>
      <c r="X54" s="135">
        <v>1</v>
      </c>
      <c r="Y54" s="7" t="str">
        <v>BY</v>
      </c>
      <c r="Z54" s="104"/>
    </row>
    <row r="55" spans="1:26">
      <c r="A55" s="133" t="s">
        <v>245</v>
      </c>
      <c r="B55" s="7"/>
      <c r="C55" s="7">
        <v>17000000</v>
      </c>
      <c r="D55" s="7"/>
      <c r="E55" s="7">
        <v>127500000</v>
      </c>
      <c r="F55" s="7">
        <v>59500000</v>
      </c>
      <c r="G55" s="7">
        <v>340000000</v>
      </c>
      <c r="H55" s="7">
        <v>85000000</v>
      </c>
      <c r="I55" s="7">
        <v>340000000</v>
      </c>
      <c r="J55" s="7">
        <v>595000000</v>
      </c>
      <c r="K55" s="7">
        <v>1564000000</v>
      </c>
      <c r="L55" s="134">
        <f t="shared" si="9"/>
        <v>0.68271156019152257</v>
      </c>
      <c r="M55" s="7" t="str">
        <f t="shared" si="5"/>
        <v>A</v>
      </c>
      <c r="N55" s="7">
        <f t="shared" si="6"/>
        <v>0.8676949996838581</v>
      </c>
      <c r="O55" s="7" t="str">
        <f t="shared" si="7"/>
        <v>Z</v>
      </c>
      <c r="P55" s="7" t="str">
        <f t="shared" si="8"/>
        <v>AZ</v>
      </c>
      <c r="S55" s="6" t="s">
        <v>240</v>
      </c>
      <c r="T55" s="25">
        <v>3</v>
      </c>
      <c r="U55" s="7" t="str">
        <v>BZ</v>
      </c>
      <c r="W55" s="135" t="s">
        <v>246</v>
      </c>
      <c r="X55" s="135">
        <v>1</v>
      </c>
      <c r="Y55" s="7" t="str">
        <v>AY</v>
      </c>
      <c r="Z55" s="104"/>
    </row>
    <row r="56" spans="1:26">
      <c r="A56" s="133" t="s">
        <v>247</v>
      </c>
      <c r="B56" s="7"/>
      <c r="C56" s="7"/>
      <c r="D56" s="7"/>
      <c r="E56" s="7"/>
      <c r="F56" s="7"/>
      <c r="G56" s="7"/>
      <c r="H56" s="7"/>
      <c r="I56" s="7"/>
      <c r="J56" s="7">
        <v>1548079200.0000002</v>
      </c>
      <c r="K56" s="7">
        <v>1548079200.0000002</v>
      </c>
      <c r="L56" s="134">
        <f t="shared" si="9"/>
        <v>0.6878584548439669</v>
      </c>
      <c r="M56" s="7" t="str">
        <f t="shared" si="5"/>
        <v>A</v>
      </c>
      <c r="N56" s="7">
        <f t="shared" si="6"/>
        <v>0</v>
      </c>
      <c r="O56" s="7" t="str">
        <f t="shared" si="7"/>
        <v>Z</v>
      </c>
      <c r="P56" s="7" t="str">
        <f t="shared" si="8"/>
        <v>AZ</v>
      </c>
      <c r="S56" s="6" t="s">
        <v>240</v>
      </c>
      <c r="T56" s="25">
        <v>1</v>
      </c>
      <c r="U56" s="7" t="str">
        <v>BZ</v>
      </c>
      <c r="W56" s="135" t="s">
        <v>129</v>
      </c>
      <c r="X56" s="135">
        <v>4</v>
      </c>
      <c r="Y56" s="7" t="str">
        <v>AZ</v>
      </c>
      <c r="Z56" s="104"/>
    </row>
    <row r="57" spans="1:26">
      <c r="A57" s="133" t="s">
        <v>248</v>
      </c>
      <c r="B57" s="7"/>
      <c r="C57" s="7"/>
      <c r="D57" s="7"/>
      <c r="E57" s="7">
        <v>164000000</v>
      </c>
      <c r="F57" s="7">
        <v>82000000</v>
      </c>
      <c r="G57" s="7">
        <v>328000000</v>
      </c>
      <c r="H57" s="7">
        <v>246000000</v>
      </c>
      <c r="I57" s="7">
        <v>246000000</v>
      </c>
      <c r="J57" s="7">
        <v>410000000</v>
      </c>
      <c r="K57" s="7">
        <v>1476000000</v>
      </c>
      <c r="L57" s="134">
        <f t="shared" si="9"/>
        <v>0.6927657079786953</v>
      </c>
      <c r="M57" s="7" t="str">
        <f t="shared" si="5"/>
        <v>A</v>
      </c>
      <c r="N57" s="7">
        <f t="shared" si="6"/>
        <v>0.43033148291193518</v>
      </c>
      <c r="O57" s="7" t="str">
        <f t="shared" si="7"/>
        <v>Y</v>
      </c>
      <c r="P57" s="7" t="str">
        <f t="shared" si="8"/>
        <v>AY</v>
      </c>
      <c r="S57" s="6" t="s">
        <v>249</v>
      </c>
      <c r="T57" s="25">
        <v>1</v>
      </c>
      <c r="U57" s="7" t="str">
        <v>AY</v>
      </c>
      <c r="W57" s="135" t="s">
        <v>250</v>
      </c>
      <c r="X57" s="135">
        <v>1</v>
      </c>
      <c r="Y57" s="7" t="str">
        <v>BY</v>
      </c>
      <c r="Z57" s="104"/>
    </row>
    <row r="58" spans="1:26">
      <c r="A58" s="133" t="s">
        <v>116</v>
      </c>
      <c r="B58" s="7">
        <v>554275000</v>
      </c>
      <c r="C58" s="7">
        <v>148859920.36000001</v>
      </c>
      <c r="D58" s="7">
        <v>19550000</v>
      </c>
      <c r="E58" s="7">
        <v>55193000</v>
      </c>
      <c r="F58" s="7">
        <v>61663200</v>
      </c>
      <c r="G58" s="7">
        <v>61122000</v>
      </c>
      <c r="H58" s="7">
        <v>146340000</v>
      </c>
      <c r="I58" s="7">
        <v>310006000</v>
      </c>
      <c r="J58" s="7">
        <v>25620000</v>
      </c>
      <c r="K58" s="7">
        <v>1382629120.3600001</v>
      </c>
      <c r="L58" s="134">
        <f t="shared" si="9"/>
        <v>0.69736253120705127</v>
      </c>
      <c r="M58" s="7" t="str">
        <f t="shared" si="5"/>
        <v>A</v>
      </c>
      <c r="N58" s="7">
        <f t="shared" si="6"/>
        <v>1.0764275576106284</v>
      </c>
      <c r="O58" s="7" t="str">
        <f t="shared" si="7"/>
        <v>Z</v>
      </c>
      <c r="P58" s="7" t="str">
        <f t="shared" si="8"/>
        <v>AZ</v>
      </c>
      <c r="S58" s="6" t="s">
        <v>249</v>
      </c>
      <c r="T58" s="25">
        <v>3</v>
      </c>
      <c r="U58" s="7" t="str">
        <v>AY</v>
      </c>
      <c r="W58" s="135" t="s">
        <v>251</v>
      </c>
      <c r="X58" s="135">
        <v>2</v>
      </c>
      <c r="Y58" s="7" t="str">
        <v>AZ</v>
      </c>
      <c r="Z58" s="104"/>
    </row>
    <row r="59" spans="1:26">
      <c r="A59" s="133" t="s">
        <v>147</v>
      </c>
      <c r="B59" s="7"/>
      <c r="C59" s="7"/>
      <c r="D59" s="7"/>
      <c r="E59" s="7">
        <v>81000000</v>
      </c>
      <c r="F59" s="7">
        <v>81000000</v>
      </c>
      <c r="G59" s="7">
        <v>378000000</v>
      </c>
      <c r="H59" s="7">
        <v>189000000</v>
      </c>
      <c r="I59" s="7">
        <v>54000000</v>
      </c>
      <c r="J59" s="7">
        <v>540000000</v>
      </c>
      <c r="K59" s="7">
        <v>1323000000</v>
      </c>
      <c r="L59" s="134">
        <f t="shared" si="9"/>
        <v>0.70176110566317973</v>
      </c>
      <c r="M59" s="7" t="str">
        <f t="shared" si="5"/>
        <v>A</v>
      </c>
      <c r="N59" s="7">
        <f t="shared" si="6"/>
        <v>0.81658159280581866</v>
      </c>
      <c r="O59" s="7" t="str">
        <f t="shared" si="7"/>
        <v>Z</v>
      </c>
      <c r="P59" s="7" t="str">
        <f t="shared" si="8"/>
        <v>AZ</v>
      </c>
      <c r="S59" s="6" t="s">
        <v>249</v>
      </c>
      <c r="T59" s="25">
        <v>1</v>
      </c>
      <c r="U59" s="7" t="str">
        <v>AY</v>
      </c>
      <c r="W59" s="135" t="s">
        <v>252</v>
      </c>
      <c r="X59" s="135">
        <v>1</v>
      </c>
      <c r="Y59" s="7" t="str">
        <v>BZ</v>
      </c>
      <c r="Z59" s="104"/>
    </row>
    <row r="60" spans="1:26">
      <c r="A60" s="133" t="s">
        <v>180</v>
      </c>
      <c r="B60" s="7">
        <v>44250000</v>
      </c>
      <c r="C60" s="7">
        <v>44250000</v>
      </c>
      <c r="D60" s="7">
        <v>29500000</v>
      </c>
      <c r="E60" s="7">
        <v>73750000</v>
      </c>
      <c r="F60" s="7">
        <v>125375000</v>
      </c>
      <c r="G60" s="7">
        <v>132750000</v>
      </c>
      <c r="H60" s="7">
        <v>511250000</v>
      </c>
      <c r="I60" s="7"/>
      <c r="J60" s="7">
        <v>350000000</v>
      </c>
      <c r="K60" s="7">
        <v>1311125000</v>
      </c>
      <c r="L60" s="134">
        <f t="shared" si="9"/>
        <v>0.70612019933951498</v>
      </c>
      <c r="M60" s="7" t="str">
        <f t="shared" si="5"/>
        <v>A</v>
      </c>
      <c r="N60" s="7">
        <f t="shared" si="6"/>
        <v>0.99458996727673621</v>
      </c>
      <c r="O60" s="7" t="str">
        <f t="shared" si="7"/>
        <v>Z</v>
      </c>
      <c r="P60" s="7" t="str">
        <f t="shared" si="8"/>
        <v>AZ</v>
      </c>
      <c r="S60" s="6" t="s">
        <v>249</v>
      </c>
      <c r="T60" s="25">
        <v>2</v>
      </c>
      <c r="U60" s="7" t="str">
        <v>AY</v>
      </c>
      <c r="W60" s="135" t="s">
        <v>253</v>
      </c>
      <c r="X60" s="135">
        <v>2</v>
      </c>
      <c r="Y60" s="7" t="str">
        <v>BZ</v>
      </c>
      <c r="Z60" s="104"/>
    </row>
    <row r="61" spans="1:26">
      <c r="A61" s="133" t="s">
        <v>254</v>
      </c>
      <c r="B61" s="7"/>
      <c r="C61" s="7"/>
      <c r="D61" s="7"/>
      <c r="E61" s="7"/>
      <c r="F61" s="7">
        <v>624170000</v>
      </c>
      <c r="G61" s="7">
        <v>56824035</v>
      </c>
      <c r="H61" s="7"/>
      <c r="I61" s="7">
        <v>120882330</v>
      </c>
      <c r="J61" s="7">
        <v>500500000</v>
      </c>
      <c r="K61" s="7">
        <v>1302376365</v>
      </c>
      <c r="L61" s="134">
        <f t="shared" si="9"/>
        <v>0.71045020645316159</v>
      </c>
      <c r="M61" s="7" t="str">
        <f t="shared" si="5"/>
        <v>A</v>
      </c>
      <c r="N61" s="7">
        <f t="shared" si="6"/>
        <v>0.74266618756702052</v>
      </c>
      <c r="O61" s="7" t="str">
        <f t="shared" si="7"/>
        <v>Z</v>
      </c>
      <c r="P61" s="7" t="str">
        <f t="shared" si="8"/>
        <v>AZ</v>
      </c>
      <c r="S61" s="6" t="s">
        <v>249</v>
      </c>
      <c r="T61" s="25">
        <v>1</v>
      </c>
      <c r="U61" s="7" t="str">
        <v>AY</v>
      </c>
      <c r="W61" s="135" t="s">
        <v>248</v>
      </c>
      <c r="X61" s="135">
        <v>3</v>
      </c>
      <c r="Y61" s="7" t="str">
        <v>AY</v>
      </c>
      <c r="Z61" s="104"/>
    </row>
    <row r="62" spans="1:26">
      <c r="A62" s="133" t="s">
        <v>255</v>
      </c>
      <c r="B62" s="7"/>
      <c r="C62" s="7"/>
      <c r="D62" s="7"/>
      <c r="E62" s="7">
        <v>118000000</v>
      </c>
      <c r="F62" s="7">
        <v>130000000</v>
      </c>
      <c r="G62" s="7">
        <v>520000000</v>
      </c>
      <c r="H62" s="7">
        <v>260000000</v>
      </c>
      <c r="I62" s="7"/>
      <c r="J62" s="7">
        <v>260000000</v>
      </c>
      <c r="K62" s="7">
        <v>1288000000</v>
      </c>
      <c r="L62" s="134">
        <f t="shared" si="9"/>
        <v>0.71473241650568875</v>
      </c>
      <c r="M62" s="7" t="str">
        <f t="shared" si="5"/>
        <v>A</v>
      </c>
      <c r="N62" s="7">
        <f t="shared" si="6"/>
        <v>0.56157535914040335</v>
      </c>
      <c r="O62" s="7" t="str">
        <f t="shared" si="7"/>
        <v>Y</v>
      </c>
      <c r="P62" s="7" t="str">
        <f t="shared" si="8"/>
        <v>AY</v>
      </c>
      <c r="S62" s="6" t="s">
        <v>249</v>
      </c>
      <c r="T62" s="25">
        <v>2</v>
      </c>
      <c r="U62" s="7" t="str">
        <v>AY</v>
      </c>
      <c r="W62" s="135" t="s">
        <v>136</v>
      </c>
      <c r="X62" s="135">
        <v>1</v>
      </c>
      <c r="Y62" s="7" t="str">
        <v>BY</v>
      </c>
      <c r="Z62" s="104"/>
    </row>
    <row r="63" spans="1:26">
      <c r="A63" s="133" t="s">
        <v>256</v>
      </c>
      <c r="B63" s="7">
        <v>341250000</v>
      </c>
      <c r="C63" s="7"/>
      <c r="D63" s="7">
        <v>243750000</v>
      </c>
      <c r="E63" s="7">
        <v>276250000</v>
      </c>
      <c r="F63" s="7">
        <v>402500000</v>
      </c>
      <c r="G63" s="7"/>
      <c r="H63" s="7"/>
      <c r="I63" s="7"/>
      <c r="J63" s="7"/>
      <c r="K63" s="7">
        <v>1263750000</v>
      </c>
      <c r="L63" s="134">
        <f t="shared" si="9"/>
        <v>0.71893400265000651</v>
      </c>
      <c r="M63" s="7" t="str">
        <f t="shared" si="5"/>
        <v>A</v>
      </c>
      <c r="N63" s="7">
        <f t="shared" si="6"/>
        <v>0.19330901219147723</v>
      </c>
      <c r="O63" s="7" t="str">
        <f t="shared" si="7"/>
        <v>X</v>
      </c>
      <c r="P63" s="7" t="str">
        <f t="shared" si="8"/>
        <v>AX</v>
      </c>
      <c r="S63" s="6" t="s">
        <v>257</v>
      </c>
      <c r="T63" s="25">
        <v>3</v>
      </c>
      <c r="U63" s="7" t="str">
        <v>CZ</v>
      </c>
      <c r="W63" s="135" t="s">
        <v>194</v>
      </c>
      <c r="X63" s="135">
        <v>3</v>
      </c>
      <c r="Y63" s="7" t="str">
        <v>AY</v>
      </c>
      <c r="Z63" s="104"/>
    </row>
    <row r="64" spans="1:26">
      <c r="A64" s="133" t="s">
        <v>258</v>
      </c>
      <c r="B64" s="7"/>
      <c r="C64" s="7"/>
      <c r="D64" s="7"/>
      <c r="E64" s="7"/>
      <c r="F64" s="7"/>
      <c r="G64" s="7"/>
      <c r="H64" s="7">
        <v>740352000</v>
      </c>
      <c r="I64" s="7">
        <v>522240000</v>
      </c>
      <c r="J64" s="7"/>
      <c r="K64" s="7">
        <v>1262592000</v>
      </c>
      <c r="L64" s="134">
        <f t="shared" si="9"/>
        <v>0.72313173879491366</v>
      </c>
      <c r="M64" s="7" t="str">
        <f t="shared" si="5"/>
        <v>A</v>
      </c>
      <c r="N64" s="7">
        <f t="shared" si="6"/>
        <v>0.17274939172749393</v>
      </c>
      <c r="O64" s="7" t="str">
        <f t="shared" si="7"/>
        <v>X</v>
      </c>
      <c r="P64" s="7" t="str">
        <f t="shared" si="8"/>
        <v>AX</v>
      </c>
      <c r="S64" s="6" t="s">
        <v>259</v>
      </c>
      <c r="T64" s="25">
        <v>1</v>
      </c>
      <c r="U64" s="7" t="str">
        <v>CZ</v>
      </c>
      <c r="W64" s="135" t="s">
        <v>245</v>
      </c>
      <c r="X64" s="135">
        <v>3</v>
      </c>
      <c r="Y64" s="7" t="str">
        <v>AZ</v>
      </c>
      <c r="Z64" s="104"/>
    </row>
    <row r="65" spans="1:26">
      <c r="A65" s="133" t="s">
        <v>260</v>
      </c>
      <c r="B65" s="7"/>
      <c r="C65" s="7"/>
      <c r="D65" s="7"/>
      <c r="E65" s="7">
        <v>57000000</v>
      </c>
      <c r="F65" s="7">
        <v>410000000</v>
      </c>
      <c r="G65" s="7">
        <v>777000000</v>
      </c>
      <c r="H65" s="7"/>
      <c r="I65" s="7"/>
      <c r="J65" s="7"/>
      <c r="K65" s="7">
        <v>1244000000</v>
      </c>
      <c r="L65" s="134">
        <f t="shared" si="9"/>
        <v>0.72726766216862782</v>
      </c>
      <c r="M65" s="7" t="str">
        <f t="shared" si="5"/>
        <v>A</v>
      </c>
      <c r="N65" s="7">
        <f t="shared" si="6"/>
        <v>0.70890021927629732</v>
      </c>
      <c r="O65" s="7" t="str">
        <f t="shared" si="7"/>
        <v>Z</v>
      </c>
      <c r="P65" s="7" t="str">
        <f t="shared" si="8"/>
        <v>AZ</v>
      </c>
      <c r="S65" s="6" t="s">
        <v>261</v>
      </c>
      <c r="T65" s="25">
        <v>2</v>
      </c>
      <c r="U65" s="7" t="str">
        <v>BZ</v>
      </c>
      <c r="W65" s="135" t="s">
        <v>262</v>
      </c>
      <c r="X65" s="135">
        <v>1</v>
      </c>
      <c r="Y65" s="7" t="str">
        <v>BZ</v>
      </c>
      <c r="Z65" s="104"/>
    </row>
    <row r="66" spans="1:26">
      <c r="A66" s="133" t="s">
        <v>263</v>
      </c>
      <c r="B66" s="7"/>
      <c r="C66" s="7"/>
      <c r="D66" s="7">
        <v>1241660000</v>
      </c>
      <c r="E66" s="7"/>
      <c r="F66" s="7"/>
      <c r="G66" s="7"/>
      <c r="H66" s="7"/>
      <c r="I66" s="7"/>
      <c r="J66" s="7"/>
      <c r="K66" s="7">
        <v>1241660000</v>
      </c>
      <c r="L66" s="134">
        <f t="shared" si="9"/>
        <v>0.73139580575078689</v>
      </c>
      <c r="M66" s="7" t="str">
        <f t="shared" si="5"/>
        <v>A</v>
      </c>
      <c r="N66" s="7">
        <f t="shared" si="6"/>
        <v>0</v>
      </c>
      <c r="O66" s="7" t="str">
        <f t="shared" si="7"/>
        <v>Z</v>
      </c>
      <c r="P66" s="7" t="str">
        <f t="shared" si="8"/>
        <v>AZ</v>
      </c>
      <c r="S66" s="6" t="s">
        <v>261</v>
      </c>
      <c r="T66" s="25">
        <v>7</v>
      </c>
      <c r="U66" s="7" t="str">
        <v>BZ</v>
      </c>
      <c r="W66" s="135" t="s">
        <v>142</v>
      </c>
      <c r="X66" s="135">
        <v>3</v>
      </c>
      <c r="Y66" s="7" t="str">
        <v>BY</v>
      </c>
      <c r="Z66" s="104"/>
    </row>
    <row r="67" spans="1:26">
      <c r="A67" s="133" t="s">
        <v>264</v>
      </c>
      <c r="B67" s="7">
        <v>310000000</v>
      </c>
      <c r="C67" s="7">
        <v>248000000</v>
      </c>
      <c r="D67" s="7">
        <v>155000000</v>
      </c>
      <c r="E67" s="7">
        <v>155000000</v>
      </c>
      <c r="F67" s="7">
        <v>155000000</v>
      </c>
      <c r="G67" s="7"/>
      <c r="H67" s="7">
        <v>46500000</v>
      </c>
      <c r="I67" s="7">
        <v>162750000</v>
      </c>
      <c r="J67" s="7"/>
      <c r="K67" s="7">
        <v>1232250000</v>
      </c>
      <c r="L67" s="134">
        <f t="shared" si="9"/>
        <v>0.73549266393186352</v>
      </c>
      <c r="M67" s="7" t="str">
        <f t="shared" si="5"/>
        <v>A</v>
      </c>
      <c r="N67" s="7">
        <f t="shared" si="6"/>
        <v>0.43691457692977126</v>
      </c>
      <c r="O67" s="7" t="str">
        <f t="shared" si="7"/>
        <v>Y</v>
      </c>
      <c r="P67" s="7" t="str">
        <f t="shared" si="8"/>
        <v>AY</v>
      </c>
      <c r="S67" s="6" t="s">
        <v>261</v>
      </c>
      <c r="T67" s="25">
        <v>1</v>
      </c>
      <c r="U67" s="7" t="str">
        <v>BZ</v>
      </c>
      <c r="W67" s="135" t="s">
        <v>265</v>
      </c>
      <c r="X67" s="135">
        <v>2</v>
      </c>
      <c r="Y67" s="7" t="str">
        <v>BY</v>
      </c>
      <c r="Z67" s="104"/>
    </row>
    <row r="68" spans="1:26">
      <c r="A68" s="133" t="s">
        <v>266</v>
      </c>
      <c r="B68" s="7">
        <v>56000000</v>
      </c>
      <c r="C68" s="7"/>
      <c r="D68" s="7">
        <v>84000000</v>
      </c>
      <c r="E68" s="7"/>
      <c r="F68" s="7">
        <v>30500000</v>
      </c>
      <c r="G68" s="7">
        <v>183000000</v>
      </c>
      <c r="H68" s="7">
        <v>335500000</v>
      </c>
      <c r="I68" s="7">
        <v>238000000</v>
      </c>
      <c r="J68" s="7">
        <v>236000000</v>
      </c>
      <c r="K68" s="7">
        <v>1163000000</v>
      </c>
      <c r="L68" s="134">
        <f t="shared" si="9"/>
        <v>0.73935928682867191</v>
      </c>
      <c r="M68" s="7" t="str">
        <f t="shared" si="5"/>
        <v>A</v>
      </c>
      <c r="N68" s="7">
        <f t="shared" si="6"/>
        <v>0.62834127670754003</v>
      </c>
      <c r="O68" s="7" t="str">
        <f t="shared" si="7"/>
        <v>Z</v>
      </c>
      <c r="P68" s="7" t="str">
        <f t="shared" si="8"/>
        <v>AZ</v>
      </c>
      <c r="S68" s="6" t="s">
        <v>267</v>
      </c>
      <c r="T68" s="25">
        <v>1</v>
      </c>
      <c r="U68" s="7" t="str">
        <v>BZ</v>
      </c>
      <c r="W68" s="135" t="s">
        <v>268</v>
      </c>
      <c r="X68" s="135">
        <v>1</v>
      </c>
      <c r="Y68" s="7" t="str">
        <v>BY</v>
      </c>
      <c r="Z68" s="104"/>
    </row>
    <row r="69" spans="1:26">
      <c r="A69" s="133" t="s">
        <v>237</v>
      </c>
      <c r="B69" s="7"/>
      <c r="C69" s="7">
        <v>34090998.75</v>
      </c>
      <c r="D69" s="7"/>
      <c r="E69" s="7">
        <v>102273000</v>
      </c>
      <c r="F69" s="7"/>
      <c r="G69" s="7">
        <v>204546000</v>
      </c>
      <c r="H69" s="7">
        <v>136364000</v>
      </c>
      <c r="I69" s="7">
        <v>340909999</v>
      </c>
      <c r="J69" s="7">
        <v>340910000</v>
      </c>
      <c r="K69" s="7">
        <v>1159093997.75</v>
      </c>
      <c r="L69" s="134">
        <f t="shared" si="9"/>
        <v>0.74321292345055778</v>
      </c>
      <c r="M69" s="7" t="str">
        <f t="shared" ref="M69:M132" si="12">IF(L69&lt;=0.8,"A",IF(L69&lt;=0.95,"B","C"))</f>
        <v>A</v>
      </c>
      <c r="N69" s="7">
        <f t="shared" ref="N69:N132" si="13">STDEVP(B69:J69)/AVERAGE(B69:J69)</f>
        <v>0.59988465020314863</v>
      </c>
      <c r="O69" s="7" t="str">
        <f t="shared" ref="O69:O132" si="14">IF(N69=0,"Z",IF(N69&lt;=30%,"X",IF(N69&lt;=60%,"Y","Z")))</f>
        <v>Y</v>
      </c>
      <c r="P69" s="7" t="str">
        <f t="shared" ref="P69:P132" si="15">M69&amp;O69</f>
        <v>AY</v>
      </c>
      <c r="S69" s="6" t="s">
        <v>267</v>
      </c>
      <c r="T69" s="25">
        <v>1</v>
      </c>
      <c r="U69" s="7" t="str">
        <v>BZ</v>
      </c>
      <c r="W69" s="135" t="s">
        <v>79</v>
      </c>
      <c r="X69" s="135">
        <v>4</v>
      </c>
      <c r="Y69" s="7" t="str">
        <v>AY</v>
      </c>
      <c r="Z69" s="104"/>
    </row>
    <row r="70" spans="1:26">
      <c r="A70" s="133" t="s">
        <v>269</v>
      </c>
      <c r="B70" s="7">
        <v>9051000</v>
      </c>
      <c r="C70" s="7">
        <v>10668000</v>
      </c>
      <c r="D70" s="7">
        <v>47376000</v>
      </c>
      <c r="E70" s="7">
        <v>41721000</v>
      </c>
      <c r="F70" s="7">
        <v>71235000</v>
      </c>
      <c r="G70" s="7">
        <v>188511000</v>
      </c>
      <c r="H70" s="7">
        <v>97557000</v>
      </c>
      <c r="I70" s="7">
        <v>514482507</v>
      </c>
      <c r="J70" s="7">
        <v>129870000</v>
      </c>
      <c r="K70" s="7">
        <v>1110471507</v>
      </c>
      <c r="L70" s="134">
        <f t="shared" ref="L70:L133" si="16">K70/$K$932+L69</f>
        <v>0.74690490501136553</v>
      </c>
      <c r="M70" s="7" t="str">
        <f t="shared" si="12"/>
        <v>A</v>
      </c>
      <c r="N70" s="7">
        <f t="shared" si="13"/>
        <v>1.2046972617672076</v>
      </c>
      <c r="O70" s="7" t="str">
        <f t="shared" si="14"/>
        <v>Z</v>
      </c>
      <c r="P70" s="7" t="str">
        <f t="shared" si="15"/>
        <v>AZ</v>
      </c>
      <c r="S70" s="6" t="s">
        <v>267</v>
      </c>
      <c r="T70" s="25">
        <v>2</v>
      </c>
      <c r="U70" s="7" t="str">
        <v>BZ</v>
      </c>
      <c r="W70" s="135" t="s">
        <v>270</v>
      </c>
      <c r="X70" s="135">
        <v>1</v>
      </c>
      <c r="Y70" s="7" t="str">
        <v>CZ</v>
      </c>
      <c r="Z70" s="104"/>
    </row>
    <row r="71" spans="1:26">
      <c r="A71" s="133" t="s">
        <v>246</v>
      </c>
      <c r="B71" s="7"/>
      <c r="C71" s="7"/>
      <c r="D71" s="7"/>
      <c r="E71" s="7">
        <v>76337398.400000006</v>
      </c>
      <c r="F71" s="7">
        <v>114000000</v>
      </c>
      <c r="G71" s="7">
        <v>114000000</v>
      </c>
      <c r="H71" s="7">
        <v>152000000</v>
      </c>
      <c r="I71" s="7">
        <v>228000387</v>
      </c>
      <c r="J71" s="7">
        <v>380000000</v>
      </c>
      <c r="K71" s="7">
        <v>1064337785.4</v>
      </c>
      <c r="L71" s="134">
        <f t="shared" si="16"/>
        <v>0.7504435059150335</v>
      </c>
      <c r="M71" s="7" t="str">
        <f t="shared" si="12"/>
        <v>A</v>
      </c>
      <c r="N71" s="7">
        <f t="shared" si="13"/>
        <v>0.57537876547141675</v>
      </c>
      <c r="O71" s="7" t="str">
        <f t="shared" si="14"/>
        <v>Y</v>
      </c>
      <c r="P71" s="7" t="str">
        <f t="shared" si="15"/>
        <v>AY</v>
      </c>
      <c r="S71" s="6" t="s">
        <v>271</v>
      </c>
      <c r="T71" s="25">
        <v>1</v>
      </c>
      <c r="U71" s="7" t="str">
        <v>CX</v>
      </c>
      <c r="W71" s="135" t="s">
        <v>272</v>
      </c>
      <c r="X71" s="135">
        <v>2</v>
      </c>
      <c r="Y71" s="7" t="str">
        <v>CY</v>
      </c>
      <c r="Z71" s="104"/>
    </row>
    <row r="72" spans="1:26">
      <c r="A72" s="133" t="s">
        <v>122</v>
      </c>
      <c r="B72" s="7"/>
      <c r="C72" s="7">
        <v>23970000</v>
      </c>
      <c r="D72" s="7"/>
      <c r="E72" s="7">
        <v>37050000</v>
      </c>
      <c r="F72" s="7">
        <v>37050000</v>
      </c>
      <c r="G72" s="7">
        <v>135850000</v>
      </c>
      <c r="H72" s="7">
        <v>199500000</v>
      </c>
      <c r="I72" s="7">
        <v>598500000</v>
      </c>
      <c r="J72" s="7"/>
      <c r="K72" s="7">
        <v>1031920000</v>
      </c>
      <c r="L72" s="134">
        <f t="shared" si="16"/>
        <v>0.75387432749686878</v>
      </c>
      <c r="M72" s="7" t="str">
        <f t="shared" si="12"/>
        <v>A</v>
      </c>
      <c r="N72" s="7">
        <f t="shared" si="13"/>
        <v>1.1684426055756894</v>
      </c>
      <c r="O72" s="7" t="str">
        <f t="shared" si="14"/>
        <v>Z</v>
      </c>
      <c r="P72" s="7" t="str">
        <f t="shared" si="15"/>
        <v>AZ</v>
      </c>
      <c r="S72" s="6" t="s">
        <v>271</v>
      </c>
      <c r="T72" s="25">
        <v>1</v>
      </c>
      <c r="U72" s="7" t="str">
        <v>CX</v>
      </c>
      <c r="W72" s="135" t="s">
        <v>273</v>
      </c>
      <c r="X72" s="135">
        <v>1</v>
      </c>
      <c r="Y72" s="7" t="str">
        <v>BZ</v>
      </c>
      <c r="Z72" s="104"/>
    </row>
    <row r="73" spans="1:26">
      <c r="A73" s="133" t="s">
        <v>274</v>
      </c>
      <c r="B73" s="7">
        <v>24684905.759999998</v>
      </c>
      <c r="C73" s="7">
        <v>85399200</v>
      </c>
      <c r="D73" s="7">
        <v>420661383.83999997</v>
      </c>
      <c r="E73" s="7">
        <v>139766004</v>
      </c>
      <c r="F73" s="7"/>
      <c r="G73" s="7">
        <v>139530000</v>
      </c>
      <c r="H73" s="7">
        <v>70210998</v>
      </c>
      <c r="I73" s="7">
        <v>140211996</v>
      </c>
      <c r="J73" s="7"/>
      <c r="K73" s="7">
        <v>1020464487.5999999</v>
      </c>
      <c r="L73" s="134">
        <f t="shared" si="16"/>
        <v>0.75726706296817914</v>
      </c>
      <c r="M73" s="7" t="str">
        <f t="shared" si="12"/>
        <v>A</v>
      </c>
      <c r="N73" s="7">
        <f t="shared" si="13"/>
        <v>0.81859558358638829</v>
      </c>
      <c r="O73" s="7" t="str">
        <f t="shared" si="14"/>
        <v>Z</v>
      </c>
      <c r="P73" s="7" t="str">
        <f t="shared" si="15"/>
        <v>AZ</v>
      </c>
      <c r="S73" s="6" t="s">
        <v>271</v>
      </c>
      <c r="T73" s="25">
        <v>1</v>
      </c>
      <c r="U73" s="7" t="str">
        <v>CX</v>
      </c>
      <c r="W73" s="135" t="s">
        <v>275</v>
      </c>
      <c r="X73" s="135">
        <v>3</v>
      </c>
      <c r="Y73" s="7" t="str">
        <v>BY</v>
      </c>
      <c r="Z73" s="104"/>
    </row>
    <row r="74" spans="1:26">
      <c r="A74" s="133" t="s">
        <v>92</v>
      </c>
      <c r="B74" s="7">
        <v>78000000</v>
      </c>
      <c r="C74" s="7">
        <v>58500000</v>
      </c>
      <c r="D74" s="7"/>
      <c r="E74" s="7">
        <v>195000000</v>
      </c>
      <c r="F74" s="7">
        <v>175500000</v>
      </c>
      <c r="G74" s="7">
        <v>273000000</v>
      </c>
      <c r="H74" s="7">
        <v>234000000</v>
      </c>
      <c r="I74" s="7"/>
      <c r="J74" s="7"/>
      <c r="K74" s="7">
        <v>1014000000</v>
      </c>
      <c r="L74" s="134">
        <f t="shared" si="16"/>
        <v>0.76063830597537063</v>
      </c>
      <c r="M74" s="7" t="str">
        <f t="shared" si="12"/>
        <v>A</v>
      </c>
      <c r="N74" s="7">
        <f t="shared" si="13"/>
        <v>0.45993310550389988</v>
      </c>
      <c r="O74" s="7" t="str">
        <f t="shared" si="14"/>
        <v>Y</v>
      </c>
      <c r="P74" s="7" t="str">
        <f t="shared" si="15"/>
        <v>AY</v>
      </c>
      <c r="S74" s="6" t="s">
        <v>271</v>
      </c>
      <c r="T74" s="25">
        <v>1</v>
      </c>
      <c r="U74" s="7" t="str">
        <v>CX</v>
      </c>
      <c r="W74" s="135" t="s">
        <v>147</v>
      </c>
      <c r="X74" s="135">
        <v>3</v>
      </c>
      <c r="Y74" s="7" t="str">
        <v>AZ</v>
      </c>
      <c r="Z74" s="104"/>
    </row>
    <row r="75" spans="1:26">
      <c r="A75" s="133" t="s">
        <v>276</v>
      </c>
      <c r="B75" s="7"/>
      <c r="C75" s="7"/>
      <c r="D75" s="7">
        <v>18255000</v>
      </c>
      <c r="E75" s="7"/>
      <c r="F75" s="7">
        <v>57345000</v>
      </c>
      <c r="G75" s="7">
        <v>131952000</v>
      </c>
      <c r="H75" s="7">
        <v>110460000</v>
      </c>
      <c r="I75" s="7">
        <v>550962540</v>
      </c>
      <c r="J75" s="7">
        <v>122850000</v>
      </c>
      <c r="K75" s="7">
        <v>991824540</v>
      </c>
      <c r="L75" s="134">
        <f t="shared" si="16"/>
        <v>0.76393582229177681</v>
      </c>
      <c r="M75" s="7" t="str">
        <f t="shared" si="12"/>
        <v>A</v>
      </c>
      <c r="N75" s="7">
        <f t="shared" si="13"/>
        <v>1.0706389083513315</v>
      </c>
      <c r="O75" s="7" t="str">
        <f t="shared" si="14"/>
        <v>Z</v>
      </c>
      <c r="P75" s="7" t="str">
        <f t="shared" si="15"/>
        <v>AZ</v>
      </c>
      <c r="S75" s="6" t="s">
        <v>277</v>
      </c>
      <c r="T75" s="25">
        <v>2</v>
      </c>
      <c r="U75" s="7" t="str">
        <v>BZ</v>
      </c>
      <c r="W75" s="135" t="s">
        <v>255</v>
      </c>
      <c r="X75" s="135">
        <v>2</v>
      </c>
      <c r="Y75" s="7" t="str">
        <v>AY</v>
      </c>
      <c r="Z75" s="104"/>
    </row>
    <row r="76" spans="1:26">
      <c r="A76" s="133" t="s">
        <v>278</v>
      </c>
      <c r="B76" s="7">
        <v>65000000</v>
      </c>
      <c r="C76" s="7">
        <v>35000000</v>
      </c>
      <c r="D76" s="7">
        <v>35000000</v>
      </c>
      <c r="E76" s="7"/>
      <c r="F76" s="7">
        <v>140000000</v>
      </c>
      <c r="G76" s="7">
        <v>175000000</v>
      </c>
      <c r="H76" s="7">
        <v>140000000</v>
      </c>
      <c r="I76" s="7">
        <v>210000000</v>
      </c>
      <c r="J76" s="7">
        <v>175000000</v>
      </c>
      <c r="K76" s="7">
        <v>975000000</v>
      </c>
      <c r="L76" s="134">
        <f t="shared" si="16"/>
        <v>0.76717740210638397</v>
      </c>
      <c r="M76" s="7" t="str">
        <f t="shared" si="12"/>
        <v>A</v>
      </c>
      <c r="N76" s="7">
        <f t="shared" si="13"/>
        <v>0.52214597901894655</v>
      </c>
      <c r="O76" s="7" t="str">
        <f t="shared" si="14"/>
        <v>Y</v>
      </c>
      <c r="P76" s="7" t="str">
        <f t="shared" si="15"/>
        <v>AY</v>
      </c>
      <c r="S76" s="6" t="s">
        <v>279</v>
      </c>
      <c r="T76" s="25">
        <v>2</v>
      </c>
      <c r="U76" s="7" t="str">
        <v>CX</v>
      </c>
      <c r="W76" s="135" t="s">
        <v>280</v>
      </c>
      <c r="X76" s="135">
        <v>1</v>
      </c>
      <c r="Y76" s="7" t="str">
        <v>BY</v>
      </c>
      <c r="Z76" s="104"/>
    </row>
    <row r="77" spans="1:26">
      <c r="A77" s="133" t="s">
        <v>249</v>
      </c>
      <c r="B77" s="7"/>
      <c r="C77" s="7"/>
      <c r="D77" s="7">
        <v>82000000</v>
      </c>
      <c r="E77" s="7"/>
      <c r="F77" s="7">
        <v>98000000</v>
      </c>
      <c r="G77" s="7">
        <v>282500000</v>
      </c>
      <c r="H77" s="7">
        <v>175000000</v>
      </c>
      <c r="I77" s="7">
        <v>65000000</v>
      </c>
      <c r="J77" s="7">
        <v>260000000</v>
      </c>
      <c r="K77" s="7">
        <v>962500000</v>
      </c>
      <c r="L77" s="134">
        <f t="shared" si="16"/>
        <v>0.77037742320541924</v>
      </c>
      <c r="M77" s="7" t="str">
        <f t="shared" si="12"/>
        <v>A</v>
      </c>
      <c r="N77" s="7">
        <f t="shared" si="13"/>
        <v>0.53493807599660814</v>
      </c>
      <c r="O77" s="7" t="str">
        <f t="shared" si="14"/>
        <v>Y</v>
      </c>
      <c r="P77" s="7" t="str">
        <f t="shared" si="15"/>
        <v>AY</v>
      </c>
      <c r="S77" s="6" t="s">
        <v>281</v>
      </c>
      <c r="T77" s="25">
        <v>1</v>
      </c>
      <c r="U77" s="7" t="str">
        <v>CX</v>
      </c>
      <c r="W77" s="135" t="s">
        <v>163</v>
      </c>
      <c r="X77" s="135">
        <v>1</v>
      </c>
      <c r="Y77" s="7" t="str">
        <v>CZ</v>
      </c>
      <c r="Z77" s="104"/>
    </row>
    <row r="78" spans="1:26">
      <c r="A78" s="133" t="s">
        <v>87</v>
      </c>
      <c r="B78" s="7">
        <v>72000000</v>
      </c>
      <c r="C78" s="7"/>
      <c r="D78" s="7">
        <v>26400000</v>
      </c>
      <c r="E78" s="7">
        <v>44000000</v>
      </c>
      <c r="F78" s="7">
        <v>50000000</v>
      </c>
      <c r="G78" s="7">
        <v>100000000</v>
      </c>
      <c r="H78" s="7">
        <v>250000000</v>
      </c>
      <c r="I78" s="7">
        <v>210000000</v>
      </c>
      <c r="J78" s="7">
        <v>210000000</v>
      </c>
      <c r="K78" s="7">
        <v>962400000</v>
      </c>
      <c r="L78" s="134">
        <f t="shared" si="16"/>
        <v>0.77357711183472999</v>
      </c>
      <c r="M78" s="7" t="str">
        <f t="shared" si="12"/>
        <v>A</v>
      </c>
      <c r="N78" s="7">
        <f t="shared" si="13"/>
        <v>0.69074405781679904</v>
      </c>
      <c r="O78" s="7" t="str">
        <f t="shared" si="14"/>
        <v>Z</v>
      </c>
      <c r="P78" s="7" t="str">
        <f t="shared" si="15"/>
        <v>AZ</v>
      </c>
      <c r="S78" s="6" t="s">
        <v>281</v>
      </c>
      <c r="T78" s="25">
        <v>1</v>
      </c>
      <c r="U78" s="7" t="str">
        <v>CX</v>
      </c>
      <c r="W78" s="135" t="s">
        <v>212</v>
      </c>
      <c r="X78" s="135">
        <v>3</v>
      </c>
      <c r="Y78" s="7" t="str">
        <v>AX</v>
      </c>
      <c r="Z78" s="104"/>
    </row>
    <row r="79" spans="1:26">
      <c r="A79" s="133" t="s">
        <v>282</v>
      </c>
      <c r="B79" s="7"/>
      <c r="C79" s="7">
        <v>512236200</v>
      </c>
      <c r="D79" s="7">
        <v>449300000</v>
      </c>
      <c r="E79" s="7"/>
      <c r="F79" s="7"/>
      <c r="G79" s="7"/>
      <c r="H79" s="7"/>
      <c r="I79" s="7"/>
      <c r="J79" s="7"/>
      <c r="K79" s="7">
        <v>961536200</v>
      </c>
      <c r="L79" s="134">
        <f t="shared" si="16"/>
        <v>0.77677392859055983</v>
      </c>
      <c r="M79" s="7" t="str">
        <f t="shared" si="12"/>
        <v>A</v>
      </c>
      <c r="N79" s="7">
        <f t="shared" si="13"/>
        <v>6.5453801947342183E-2</v>
      </c>
      <c r="O79" s="7" t="str">
        <f t="shared" si="14"/>
        <v>X</v>
      </c>
      <c r="P79" s="7" t="str">
        <f t="shared" si="15"/>
        <v>AX</v>
      </c>
      <c r="S79" s="6" t="s">
        <v>283</v>
      </c>
      <c r="T79" s="25">
        <v>1</v>
      </c>
      <c r="U79" s="7" t="str">
        <v>CZ</v>
      </c>
      <c r="W79" s="135" t="s">
        <v>152</v>
      </c>
      <c r="X79" s="135">
        <v>1</v>
      </c>
      <c r="Y79" s="7" t="str">
        <v>AY</v>
      </c>
      <c r="Z79" s="104"/>
    </row>
    <row r="80" spans="1:26">
      <c r="A80" s="133" t="s">
        <v>284</v>
      </c>
      <c r="B80" s="7">
        <v>185850000</v>
      </c>
      <c r="C80" s="7">
        <v>185850000</v>
      </c>
      <c r="D80" s="7"/>
      <c r="E80" s="7">
        <v>148680000</v>
      </c>
      <c r="F80" s="7"/>
      <c r="G80" s="7">
        <v>427455000</v>
      </c>
      <c r="H80" s="7"/>
      <c r="I80" s="7"/>
      <c r="J80" s="7"/>
      <c r="K80" s="7">
        <v>947835000</v>
      </c>
      <c r="L80" s="134">
        <f t="shared" si="16"/>
        <v>0.77992519300448615</v>
      </c>
      <c r="M80" s="7" t="str">
        <f t="shared" si="12"/>
        <v>A</v>
      </c>
      <c r="N80" s="7">
        <f t="shared" si="13"/>
        <v>0.46854129981758913</v>
      </c>
      <c r="O80" s="7" t="str">
        <f t="shared" si="14"/>
        <v>Y</v>
      </c>
      <c r="P80" s="7" t="str">
        <f t="shared" si="15"/>
        <v>AY</v>
      </c>
      <c r="S80" s="6" t="s">
        <v>283</v>
      </c>
      <c r="T80" s="25">
        <v>2</v>
      </c>
      <c r="U80" s="7" t="str">
        <v>CZ</v>
      </c>
      <c r="W80" s="135" t="s">
        <v>180</v>
      </c>
      <c r="X80" s="135">
        <v>3</v>
      </c>
      <c r="Y80" s="7" t="str">
        <v>AZ</v>
      </c>
      <c r="Z80" s="104"/>
    </row>
    <row r="81" spans="1:26">
      <c r="A81" s="133" t="s">
        <v>285</v>
      </c>
      <c r="B81" s="7"/>
      <c r="C81" s="7"/>
      <c r="D81" s="7">
        <v>852727260</v>
      </c>
      <c r="E81" s="7"/>
      <c r="F81" s="7"/>
      <c r="G81" s="7"/>
      <c r="H81" s="7"/>
      <c r="I81" s="7"/>
      <c r="J81" s="7"/>
      <c r="K81" s="7">
        <v>852727260</v>
      </c>
      <c r="L81" s="134">
        <f t="shared" si="16"/>
        <v>0.78276025297718488</v>
      </c>
      <c r="M81" s="7" t="str">
        <f t="shared" si="12"/>
        <v>A</v>
      </c>
      <c r="N81" s="7">
        <f t="shared" si="13"/>
        <v>0</v>
      </c>
      <c r="O81" s="7" t="str">
        <f t="shared" si="14"/>
        <v>Z</v>
      </c>
      <c r="P81" s="7" t="str">
        <f t="shared" si="15"/>
        <v>AZ</v>
      </c>
      <c r="S81" s="6" t="s">
        <v>283</v>
      </c>
      <c r="T81" s="25">
        <v>1</v>
      </c>
      <c r="U81" s="7" t="str">
        <v>CZ</v>
      </c>
      <c r="W81" s="135" t="s">
        <v>286</v>
      </c>
      <c r="X81" s="135">
        <v>3</v>
      </c>
      <c r="Y81" s="7" t="str">
        <v>BY</v>
      </c>
      <c r="Z81" s="104"/>
    </row>
    <row r="82" spans="1:26">
      <c r="A82" s="133" t="s">
        <v>287</v>
      </c>
      <c r="B82" s="7">
        <v>60480000</v>
      </c>
      <c r="C82" s="7"/>
      <c r="D82" s="7">
        <v>282239759.15999997</v>
      </c>
      <c r="E82" s="7">
        <v>40320000</v>
      </c>
      <c r="F82" s="7">
        <v>120959521.56000002</v>
      </c>
      <c r="G82" s="7">
        <v>262080000</v>
      </c>
      <c r="H82" s="7">
        <v>80639562.960000008</v>
      </c>
      <c r="I82" s="7"/>
      <c r="J82" s="7"/>
      <c r="K82" s="7">
        <v>846718843.68000007</v>
      </c>
      <c r="L82" s="134">
        <f t="shared" si="16"/>
        <v>0.78557533678469316</v>
      </c>
      <c r="M82" s="7" t="str">
        <f t="shared" si="12"/>
        <v>A</v>
      </c>
      <c r="N82" s="7">
        <f t="shared" si="13"/>
        <v>0.68013699536114647</v>
      </c>
      <c r="O82" s="7" t="str">
        <f t="shared" si="14"/>
        <v>Z</v>
      </c>
      <c r="P82" s="7" t="str">
        <f t="shared" si="15"/>
        <v>AZ</v>
      </c>
      <c r="S82" s="6" t="s">
        <v>283</v>
      </c>
      <c r="T82" s="25">
        <v>2</v>
      </c>
      <c r="U82" s="7" t="str">
        <v>CZ</v>
      </c>
      <c r="W82" s="135" t="s">
        <v>288</v>
      </c>
      <c r="X82" s="135">
        <v>1</v>
      </c>
      <c r="Y82" s="7" t="str">
        <v>BX</v>
      </c>
      <c r="Z82" s="104"/>
    </row>
    <row r="83" spans="1:26">
      <c r="A83" s="133" t="s">
        <v>289</v>
      </c>
      <c r="B83" s="7">
        <v>63164625.480000004</v>
      </c>
      <c r="C83" s="7"/>
      <c r="D83" s="7">
        <v>157917915.36000001</v>
      </c>
      <c r="E83" s="7">
        <v>84238074.719999999</v>
      </c>
      <c r="F83" s="7">
        <v>42112096.920000002</v>
      </c>
      <c r="G83" s="7">
        <v>294840000</v>
      </c>
      <c r="H83" s="7">
        <v>147420000</v>
      </c>
      <c r="I83" s="7"/>
      <c r="J83" s="7"/>
      <c r="K83" s="7">
        <v>789692712.48000002</v>
      </c>
      <c r="L83" s="134">
        <f t="shared" si="16"/>
        <v>0.78820082597086505</v>
      </c>
      <c r="M83" s="7" t="str">
        <f t="shared" si="12"/>
        <v>A</v>
      </c>
      <c r="N83" s="7">
        <f t="shared" si="13"/>
        <v>0.63964473772645325</v>
      </c>
      <c r="O83" s="7" t="str">
        <f t="shared" si="14"/>
        <v>Z</v>
      </c>
      <c r="P83" s="7" t="str">
        <f t="shared" si="15"/>
        <v>AZ</v>
      </c>
      <c r="S83" s="6" t="s">
        <v>290</v>
      </c>
      <c r="T83" s="25">
        <v>3</v>
      </c>
      <c r="U83" s="7" t="str">
        <v>CX</v>
      </c>
      <c r="W83" s="135" t="s">
        <v>184</v>
      </c>
      <c r="X83" s="135">
        <v>3</v>
      </c>
      <c r="Y83" s="7" t="str">
        <v>BY</v>
      </c>
      <c r="Z83" s="104"/>
    </row>
    <row r="84" spans="1:26">
      <c r="A84" s="133" t="s">
        <v>251</v>
      </c>
      <c r="B84" s="7">
        <v>33000000</v>
      </c>
      <c r="C84" s="7"/>
      <c r="D84" s="7">
        <v>33000000</v>
      </c>
      <c r="E84" s="7"/>
      <c r="F84" s="7">
        <v>33000000</v>
      </c>
      <c r="G84" s="7">
        <v>82500000</v>
      </c>
      <c r="H84" s="7">
        <v>110000000</v>
      </c>
      <c r="I84" s="7">
        <v>462000000</v>
      </c>
      <c r="J84" s="7"/>
      <c r="K84" s="7">
        <v>753500000</v>
      </c>
      <c r="L84" s="134">
        <f t="shared" si="16"/>
        <v>0.79070598534553838</v>
      </c>
      <c r="M84" s="7" t="str">
        <f t="shared" si="12"/>
        <v>A</v>
      </c>
      <c r="N84" s="7">
        <f t="shared" si="13"/>
        <v>1.220637883949079</v>
      </c>
      <c r="O84" s="7" t="str">
        <f t="shared" si="14"/>
        <v>Z</v>
      </c>
      <c r="P84" s="7" t="str">
        <f t="shared" si="15"/>
        <v>AZ</v>
      </c>
      <c r="S84" s="6" t="s">
        <v>290</v>
      </c>
      <c r="T84" s="25">
        <v>2</v>
      </c>
      <c r="U84" s="7" t="str">
        <v>CX</v>
      </c>
      <c r="W84" s="135" t="s">
        <v>291</v>
      </c>
      <c r="X84" s="135">
        <v>1</v>
      </c>
      <c r="Y84" s="7" t="str">
        <v>CZ</v>
      </c>
      <c r="Z84" s="104"/>
    </row>
    <row r="85" spans="1:26">
      <c r="A85" s="133" t="s">
        <v>123</v>
      </c>
      <c r="B85" s="7">
        <v>61600000</v>
      </c>
      <c r="C85" s="7">
        <v>13200000</v>
      </c>
      <c r="D85" s="7"/>
      <c r="E85" s="7">
        <v>30800000</v>
      </c>
      <c r="F85" s="7">
        <v>52800000</v>
      </c>
      <c r="G85" s="7">
        <v>105600000</v>
      </c>
      <c r="H85" s="7">
        <v>211200000</v>
      </c>
      <c r="I85" s="7">
        <v>211200000</v>
      </c>
      <c r="J85" s="7">
        <v>52800000</v>
      </c>
      <c r="K85" s="7">
        <v>739200000</v>
      </c>
      <c r="L85" s="134">
        <f t="shared" si="16"/>
        <v>0.79316360154959742</v>
      </c>
      <c r="M85" s="7" t="str">
        <f t="shared" si="12"/>
        <v>A</v>
      </c>
      <c r="N85" s="7">
        <f t="shared" si="13"/>
        <v>0.78931354544051313</v>
      </c>
      <c r="O85" s="7" t="str">
        <f t="shared" si="14"/>
        <v>Z</v>
      </c>
      <c r="P85" s="7" t="str">
        <f t="shared" si="15"/>
        <v>AZ</v>
      </c>
      <c r="S85" s="6" t="s">
        <v>292</v>
      </c>
      <c r="T85" s="25">
        <v>2</v>
      </c>
      <c r="U85" s="7" t="str">
        <v>BX</v>
      </c>
      <c r="W85" s="135" t="s">
        <v>241</v>
      </c>
      <c r="X85" s="135">
        <v>3</v>
      </c>
      <c r="Y85" s="7" t="str">
        <v>AX</v>
      </c>
      <c r="Z85" s="104"/>
    </row>
    <row r="86" spans="1:26">
      <c r="A86" s="133" t="s">
        <v>293</v>
      </c>
      <c r="B86" s="7">
        <v>172800000</v>
      </c>
      <c r="C86" s="7"/>
      <c r="D86" s="7"/>
      <c r="E86" s="7">
        <v>69119460.480000004</v>
      </c>
      <c r="F86" s="7">
        <v>138240000</v>
      </c>
      <c r="G86" s="7"/>
      <c r="H86" s="7">
        <v>345275767.19999999</v>
      </c>
      <c r="I86" s="7"/>
      <c r="J86" s="7"/>
      <c r="K86" s="7">
        <v>725435227.68000007</v>
      </c>
      <c r="L86" s="134">
        <f t="shared" si="16"/>
        <v>0.79557545405303587</v>
      </c>
      <c r="M86" s="7" t="str">
        <f t="shared" si="12"/>
        <v>A</v>
      </c>
      <c r="N86" s="7">
        <f t="shared" si="13"/>
        <v>0.5609522425512663</v>
      </c>
      <c r="O86" s="7" t="str">
        <f t="shared" si="14"/>
        <v>Y</v>
      </c>
      <c r="P86" s="7" t="str">
        <f t="shared" si="15"/>
        <v>AY</v>
      </c>
      <c r="S86" s="6" t="s">
        <v>292</v>
      </c>
      <c r="T86" s="25">
        <v>1</v>
      </c>
      <c r="U86" s="7" t="str">
        <v>BX</v>
      </c>
      <c r="W86" s="135" t="s">
        <v>294</v>
      </c>
      <c r="X86" s="135">
        <v>1</v>
      </c>
      <c r="Y86" s="7" t="str">
        <v>BZ</v>
      </c>
      <c r="Z86" s="104"/>
    </row>
    <row r="87" spans="1:26">
      <c r="A87" s="133" t="s">
        <v>295</v>
      </c>
      <c r="B87" s="7"/>
      <c r="C87" s="7"/>
      <c r="D87" s="7"/>
      <c r="E87" s="7"/>
      <c r="F87" s="7">
        <v>16000000</v>
      </c>
      <c r="G87" s="7"/>
      <c r="H87" s="7">
        <v>578250000</v>
      </c>
      <c r="I87" s="7">
        <v>112700000</v>
      </c>
      <c r="J87" s="7"/>
      <c r="K87" s="7">
        <v>706950000</v>
      </c>
      <c r="L87" s="134">
        <f t="shared" si="16"/>
        <v>0.79792584877091954</v>
      </c>
      <c r="M87" s="7" t="str">
        <f t="shared" si="12"/>
        <v>A</v>
      </c>
      <c r="N87" s="7">
        <f t="shared" si="13"/>
        <v>1.0415884754262053</v>
      </c>
      <c r="O87" s="7" t="str">
        <f t="shared" si="14"/>
        <v>Z</v>
      </c>
      <c r="P87" s="7" t="str">
        <f t="shared" si="15"/>
        <v>AZ</v>
      </c>
      <c r="S87" s="6" t="s">
        <v>296</v>
      </c>
      <c r="T87" s="25">
        <v>3</v>
      </c>
      <c r="U87" s="7" t="str">
        <v>CY</v>
      </c>
      <c r="W87" s="135" t="s">
        <v>195</v>
      </c>
      <c r="X87" s="135">
        <v>1</v>
      </c>
      <c r="Y87" s="7" t="str">
        <v>AX</v>
      </c>
      <c r="Z87" s="104"/>
    </row>
    <row r="88" spans="1:26">
      <c r="A88" s="133" t="s">
        <v>297</v>
      </c>
      <c r="B88" s="7"/>
      <c r="C88" s="7"/>
      <c r="D88" s="7">
        <v>8800000</v>
      </c>
      <c r="E88" s="7"/>
      <c r="F88" s="7">
        <v>8800000</v>
      </c>
      <c r="G88" s="7">
        <v>18040000</v>
      </c>
      <c r="H88" s="7">
        <v>432040000</v>
      </c>
      <c r="I88" s="7">
        <v>237300000</v>
      </c>
      <c r="J88" s="7"/>
      <c r="K88" s="7">
        <v>704980000</v>
      </c>
      <c r="L88" s="134">
        <f t="shared" si="16"/>
        <v>0.80026969383522906</v>
      </c>
      <c r="M88" s="7" t="str">
        <f t="shared" si="12"/>
        <v>B</v>
      </c>
      <c r="N88" s="7">
        <f t="shared" si="13"/>
        <v>1.2038324971059382</v>
      </c>
      <c r="O88" s="7" t="str">
        <f t="shared" si="14"/>
        <v>Z</v>
      </c>
      <c r="P88" s="7" t="str">
        <f t="shared" si="15"/>
        <v>BZ</v>
      </c>
      <c r="S88" s="6" t="s">
        <v>296</v>
      </c>
      <c r="T88" s="25">
        <v>1</v>
      </c>
      <c r="U88" s="7" t="str">
        <v>CY</v>
      </c>
      <c r="W88" s="135" t="s">
        <v>298</v>
      </c>
      <c r="X88" s="135">
        <v>1</v>
      </c>
      <c r="Y88" s="7" t="str">
        <v>BY</v>
      </c>
      <c r="Z88" s="104"/>
    </row>
    <row r="89" spans="1:26">
      <c r="A89" s="133" t="s">
        <v>261</v>
      </c>
      <c r="B89" s="7"/>
      <c r="C89" s="7"/>
      <c r="D89" s="7">
        <v>31500000</v>
      </c>
      <c r="E89" s="7">
        <v>71100000</v>
      </c>
      <c r="F89" s="7">
        <v>82950000</v>
      </c>
      <c r="G89" s="7">
        <v>71100000</v>
      </c>
      <c r="H89" s="7">
        <v>367350000</v>
      </c>
      <c r="I89" s="7">
        <v>71100000</v>
      </c>
      <c r="J89" s="7"/>
      <c r="K89" s="7">
        <v>695100000</v>
      </c>
      <c r="L89" s="134">
        <f t="shared" si="16"/>
        <v>0.80258069089075057</v>
      </c>
      <c r="M89" s="7" t="str">
        <f t="shared" si="12"/>
        <v>B</v>
      </c>
      <c r="N89" s="7">
        <f t="shared" si="13"/>
        <v>0.98075251329812163</v>
      </c>
      <c r="O89" s="7" t="str">
        <f t="shared" si="14"/>
        <v>Z</v>
      </c>
      <c r="P89" s="7" t="str">
        <f t="shared" si="15"/>
        <v>BZ</v>
      </c>
      <c r="S89" s="6" t="s">
        <v>299</v>
      </c>
      <c r="T89" s="25">
        <v>1</v>
      </c>
      <c r="U89" s="7" t="str">
        <v>CZ</v>
      </c>
      <c r="W89" s="135" t="s">
        <v>198</v>
      </c>
      <c r="X89" s="135">
        <v>2</v>
      </c>
      <c r="Y89" s="7" t="str">
        <v>BY</v>
      </c>
      <c r="Z89" s="104"/>
    </row>
    <row r="90" spans="1:26">
      <c r="A90" s="133" t="s">
        <v>280</v>
      </c>
      <c r="B90" s="7"/>
      <c r="C90" s="7"/>
      <c r="D90" s="7"/>
      <c r="E90" s="7">
        <v>62400000</v>
      </c>
      <c r="F90" s="7">
        <v>46800000</v>
      </c>
      <c r="G90" s="7">
        <v>156000000</v>
      </c>
      <c r="H90" s="7"/>
      <c r="I90" s="7">
        <v>192500000</v>
      </c>
      <c r="J90" s="7">
        <v>231000000</v>
      </c>
      <c r="K90" s="7">
        <v>688700000</v>
      </c>
      <c r="L90" s="134">
        <f t="shared" si="16"/>
        <v>0.80487040988389924</v>
      </c>
      <c r="M90" s="7" t="str">
        <f t="shared" si="12"/>
        <v>B</v>
      </c>
      <c r="N90" s="7">
        <f t="shared" si="13"/>
        <v>0.52328543809922667</v>
      </c>
      <c r="O90" s="7" t="str">
        <f t="shared" si="14"/>
        <v>Y</v>
      </c>
      <c r="P90" s="7" t="str">
        <f t="shared" si="15"/>
        <v>BY</v>
      </c>
      <c r="S90" s="6" t="s">
        <v>300</v>
      </c>
      <c r="T90" s="25">
        <v>2</v>
      </c>
      <c r="U90" s="7" t="str">
        <v>BZ</v>
      </c>
      <c r="W90" s="135" t="s">
        <v>301</v>
      </c>
      <c r="X90" s="135">
        <v>1</v>
      </c>
      <c r="Y90" s="7" t="str">
        <v>BZ</v>
      </c>
      <c r="Z90" s="104"/>
    </row>
    <row r="91" spans="1:26">
      <c r="A91" s="133" t="s">
        <v>298</v>
      </c>
      <c r="B91" s="7"/>
      <c r="C91" s="7"/>
      <c r="D91" s="7"/>
      <c r="E91" s="7">
        <v>100000000</v>
      </c>
      <c r="F91" s="7">
        <v>150000000</v>
      </c>
      <c r="G91" s="7">
        <v>312500000</v>
      </c>
      <c r="H91" s="7"/>
      <c r="I91" s="7"/>
      <c r="J91" s="7">
        <v>125000000</v>
      </c>
      <c r="K91" s="7">
        <v>687500000</v>
      </c>
      <c r="L91" s="134">
        <f t="shared" si="16"/>
        <v>0.80715613924035301</v>
      </c>
      <c r="M91" s="7" t="str">
        <f t="shared" si="12"/>
        <v>B</v>
      </c>
      <c r="N91" s="7">
        <f t="shared" si="13"/>
        <v>0.48344493819303019</v>
      </c>
      <c r="O91" s="7" t="str">
        <f t="shared" si="14"/>
        <v>Y</v>
      </c>
      <c r="P91" s="7" t="str">
        <f t="shared" si="15"/>
        <v>BY</v>
      </c>
      <c r="S91" s="6" t="s">
        <v>300</v>
      </c>
      <c r="T91" s="25">
        <v>3</v>
      </c>
      <c r="U91" s="7" t="str">
        <v>BZ</v>
      </c>
      <c r="W91" s="135" t="s">
        <v>302</v>
      </c>
      <c r="X91" s="135">
        <v>1</v>
      </c>
      <c r="Y91" s="7" t="str">
        <v>CY</v>
      </c>
      <c r="Z91" s="104"/>
    </row>
    <row r="92" spans="1:26">
      <c r="A92" s="133" t="s">
        <v>303</v>
      </c>
      <c r="B92" s="7"/>
      <c r="C92" s="7"/>
      <c r="D92" s="7"/>
      <c r="E92" s="7"/>
      <c r="F92" s="7"/>
      <c r="G92" s="7">
        <v>87200000</v>
      </c>
      <c r="H92" s="7">
        <v>54500100</v>
      </c>
      <c r="I92" s="7">
        <v>381500000</v>
      </c>
      <c r="J92" s="7">
        <v>163500000</v>
      </c>
      <c r="K92" s="7">
        <v>686700100</v>
      </c>
      <c r="L92" s="134">
        <f t="shared" si="16"/>
        <v>0.80943920917147993</v>
      </c>
      <c r="M92" s="7" t="str">
        <f t="shared" si="12"/>
        <v>B</v>
      </c>
      <c r="N92" s="7">
        <f t="shared" si="13"/>
        <v>0.74230724696146899</v>
      </c>
      <c r="O92" s="7" t="str">
        <f t="shared" si="14"/>
        <v>Z</v>
      </c>
      <c r="P92" s="7" t="str">
        <f t="shared" si="15"/>
        <v>BZ</v>
      </c>
      <c r="S92" s="6" t="s">
        <v>300</v>
      </c>
      <c r="T92" s="25">
        <v>2</v>
      </c>
      <c r="U92" s="7" t="str">
        <v>BZ</v>
      </c>
      <c r="W92" s="135" t="s">
        <v>204</v>
      </c>
      <c r="X92" s="135">
        <v>1</v>
      </c>
      <c r="Y92" s="7" t="str">
        <v>BY</v>
      </c>
      <c r="Z92" s="104"/>
    </row>
    <row r="93" spans="1:26">
      <c r="A93" s="133" t="s">
        <v>304</v>
      </c>
      <c r="B93" s="7"/>
      <c r="C93" s="7"/>
      <c r="D93" s="7"/>
      <c r="E93" s="7"/>
      <c r="F93" s="7"/>
      <c r="G93" s="7"/>
      <c r="H93" s="7"/>
      <c r="I93" s="7"/>
      <c r="J93" s="7">
        <v>678000000</v>
      </c>
      <c r="K93" s="7">
        <v>678000000</v>
      </c>
      <c r="L93" s="134">
        <f t="shared" si="16"/>
        <v>0.81169335390409902</v>
      </c>
      <c r="M93" s="7" t="str">
        <f t="shared" si="12"/>
        <v>B</v>
      </c>
      <c r="N93" s="7">
        <f t="shared" si="13"/>
        <v>0</v>
      </c>
      <c r="O93" s="7" t="str">
        <f t="shared" si="14"/>
        <v>Z</v>
      </c>
      <c r="P93" s="7" t="str">
        <f t="shared" si="15"/>
        <v>BZ</v>
      </c>
      <c r="S93" s="6" t="s">
        <v>305</v>
      </c>
      <c r="T93" s="25">
        <v>2</v>
      </c>
      <c r="U93" s="7" t="str">
        <v>CY</v>
      </c>
      <c r="W93" s="135" t="s">
        <v>306</v>
      </c>
      <c r="X93" s="135">
        <v>1</v>
      </c>
      <c r="Y93" s="7" t="str">
        <v>CZ</v>
      </c>
      <c r="Z93" s="104"/>
    </row>
    <row r="94" spans="1:26">
      <c r="A94" s="133" t="s">
        <v>294</v>
      </c>
      <c r="B94" s="7"/>
      <c r="C94" s="7"/>
      <c r="D94" s="7"/>
      <c r="E94" s="7">
        <v>83000000</v>
      </c>
      <c r="F94" s="7">
        <v>83000000</v>
      </c>
      <c r="G94" s="7">
        <v>332000000</v>
      </c>
      <c r="H94" s="7"/>
      <c r="I94" s="7"/>
      <c r="J94" s="7">
        <v>170000000</v>
      </c>
      <c r="K94" s="7">
        <v>668000000</v>
      </c>
      <c r="L94" s="134">
        <f t="shared" si="16"/>
        <v>0.81391425166426068</v>
      </c>
      <c r="M94" s="7" t="str">
        <f t="shared" si="12"/>
        <v>B</v>
      </c>
      <c r="N94" s="7">
        <f t="shared" si="13"/>
        <v>0.60879388752684582</v>
      </c>
      <c r="O94" s="7" t="str">
        <f t="shared" si="14"/>
        <v>Z</v>
      </c>
      <c r="P94" s="7" t="str">
        <f t="shared" si="15"/>
        <v>BZ</v>
      </c>
      <c r="S94" s="6" t="s">
        <v>307</v>
      </c>
      <c r="T94" s="25">
        <v>1</v>
      </c>
      <c r="U94" s="7" t="str">
        <v>CY</v>
      </c>
      <c r="W94" s="135" t="s">
        <v>308</v>
      </c>
      <c r="X94" s="135">
        <v>1</v>
      </c>
      <c r="Y94" s="7" t="str">
        <v>CZ</v>
      </c>
      <c r="Z94" s="104"/>
    </row>
    <row r="95" spans="1:26">
      <c r="A95" s="133" t="s">
        <v>309</v>
      </c>
      <c r="B95" s="7">
        <v>172472400</v>
      </c>
      <c r="C95" s="7">
        <v>29890800</v>
      </c>
      <c r="D95" s="7">
        <v>31370800</v>
      </c>
      <c r="E95" s="7">
        <v>70300000</v>
      </c>
      <c r="F95" s="7">
        <v>83620000</v>
      </c>
      <c r="G95" s="7">
        <v>42180000</v>
      </c>
      <c r="H95" s="7">
        <v>70300000</v>
      </c>
      <c r="I95" s="7">
        <v>68400000</v>
      </c>
      <c r="J95" s="7">
        <v>81880000</v>
      </c>
      <c r="K95" s="7">
        <v>650414000</v>
      </c>
      <c r="L95" s="134">
        <f t="shared" si="16"/>
        <v>0.81607668129865851</v>
      </c>
      <c r="M95" s="7" t="str">
        <f t="shared" si="12"/>
        <v>B</v>
      </c>
      <c r="N95" s="7">
        <f t="shared" si="13"/>
        <v>0.5584411032804899</v>
      </c>
      <c r="O95" s="7" t="str">
        <f t="shared" si="14"/>
        <v>Y</v>
      </c>
      <c r="P95" s="7" t="str">
        <f t="shared" si="15"/>
        <v>BY</v>
      </c>
      <c r="S95" s="6" t="s">
        <v>307</v>
      </c>
      <c r="T95" s="25">
        <v>1</v>
      </c>
      <c r="U95" s="7" t="str">
        <v>CY</v>
      </c>
      <c r="W95" s="135" t="s">
        <v>300</v>
      </c>
      <c r="X95" s="135">
        <v>1</v>
      </c>
      <c r="Y95" s="7" t="str">
        <v>BZ</v>
      </c>
      <c r="Z95" s="104"/>
    </row>
    <row r="96" spans="1:26">
      <c r="A96" s="133" t="s">
        <v>310</v>
      </c>
      <c r="B96" s="7"/>
      <c r="C96" s="7"/>
      <c r="D96" s="7"/>
      <c r="E96" s="7"/>
      <c r="F96" s="7"/>
      <c r="G96" s="7"/>
      <c r="H96" s="7">
        <v>16720000</v>
      </c>
      <c r="I96" s="7">
        <v>608000000</v>
      </c>
      <c r="J96" s="7"/>
      <c r="K96" s="7">
        <v>624720000</v>
      </c>
      <c r="L96" s="134">
        <f t="shared" si="16"/>
        <v>0.818153686162024</v>
      </c>
      <c r="M96" s="7" t="str">
        <f t="shared" si="12"/>
        <v>B</v>
      </c>
      <c r="N96" s="7">
        <f t="shared" si="13"/>
        <v>0.94647201946472015</v>
      </c>
      <c r="O96" s="7" t="str">
        <f t="shared" si="14"/>
        <v>Z</v>
      </c>
      <c r="P96" s="7" t="str">
        <f t="shared" si="15"/>
        <v>BZ</v>
      </c>
      <c r="S96" s="6" t="s">
        <v>307</v>
      </c>
      <c r="T96" s="25">
        <v>1</v>
      </c>
      <c r="U96" s="7" t="str">
        <v>CY</v>
      </c>
      <c r="W96" s="135" t="s">
        <v>278</v>
      </c>
      <c r="X96" s="135">
        <v>2</v>
      </c>
      <c r="Y96" s="7" t="str">
        <v>AY</v>
      </c>
      <c r="Z96" s="104"/>
    </row>
    <row r="97" spans="1:26">
      <c r="A97" s="133" t="s">
        <v>311</v>
      </c>
      <c r="B97" s="7">
        <v>142000000</v>
      </c>
      <c r="C97" s="7"/>
      <c r="D97" s="7"/>
      <c r="E97" s="7">
        <v>228000000</v>
      </c>
      <c r="F97" s="7"/>
      <c r="G97" s="7"/>
      <c r="H97" s="7">
        <v>228000000</v>
      </c>
      <c r="I97" s="7"/>
      <c r="J97" s="7"/>
      <c r="K97" s="7">
        <v>598000000</v>
      </c>
      <c r="L97" s="134">
        <f t="shared" si="16"/>
        <v>0.82014185511498305</v>
      </c>
      <c r="M97" s="7" t="str">
        <f t="shared" si="12"/>
        <v>B</v>
      </c>
      <c r="N97" s="7">
        <f t="shared" si="13"/>
        <v>0.20338188355198356</v>
      </c>
      <c r="O97" s="7" t="str">
        <f t="shared" si="14"/>
        <v>X</v>
      </c>
      <c r="P97" s="7" t="str">
        <f t="shared" si="15"/>
        <v>BX</v>
      </c>
      <c r="S97" s="6" t="s">
        <v>312</v>
      </c>
      <c r="T97" s="25">
        <v>1</v>
      </c>
      <c r="U97" s="7" t="str">
        <v>CX</v>
      </c>
      <c r="W97" s="135" t="s">
        <v>313</v>
      </c>
      <c r="X97" s="135">
        <v>1</v>
      </c>
      <c r="Y97" s="7" t="str">
        <v>BY</v>
      </c>
      <c r="Z97" s="104"/>
    </row>
    <row r="98" spans="1:26">
      <c r="A98" s="133" t="s">
        <v>286</v>
      </c>
      <c r="B98" s="7"/>
      <c r="C98" s="7"/>
      <c r="D98" s="7">
        <v>76500000</v>
      </c>
      <c r="E98" s="7"/>
      <c r="F98" s="7">
        <v>69951600</v>
      </c>
      <c r="G98" s="7">
        <v>139903200</v>
      </c>
      <c r="H98" s="7">
        <v>76500000</v>
      </c>
      <c r="I98" s="7">
        <v>76500000</v>
      </c>
      <c r="J98" s="7">
        <v>153000000</v>
      </c>
      <c r="K98" s="7">
        <v>592354800</v>
      </c>
      <c r="L98" s="134">
        <f t="shared" si="16"/>
        <v>0.82211125548705044</v>
      </c>
      <c r="M98" s="7" t="str">
        <f t="shared" si="12"/>
        <v>B</v>
      </c>
      <c r="N98" s="7">
        <f t="shared" si="13"/>
        <v>0.34476485411805824</v>
      </c>
      <c r="O98" s="7" t="str">
        <f t="shared" si="14"/>
        <v>Y</v>
      </c>
      <c r="P98" s="7" t="str">
        <f t="shared" si="15"/>
        <v>BY</v>
      </c>
      <c r="S98" s="6" t="s">
        <v>312</v>
      </c>
      <c r="T98" s="25">
        <v>1</v>
      </c>
      <c r="U98" s="7" t="str">
        <v>CX</v>
      </c>
      <c r="W98" s="135" t="s">
        <v>314</v>
      </c>
      <c r="X98" s="135">
        <v>1</v>
      </c>
      <c r="Y98" s="7" t="str">
        <v>BY</v>
      </c>
      <c r="Z98" s="104"/>
    </row>
    <row r="99" spans="1:26">
      <c r="A99" s="133" t="s">
        <v>315</v>
      </c>
      <c r="B99" s="7"/>
      <c r="C99" s="7"/>
      <c r="D99" s="7"/>
      <c r="E99" s="7"/>
      <c r="F99" s="7">
        <v>32640000</v>
      </c>
      <c r="G99" s="7">
        <v>96360000</v>
      </c>
      <c r="H99" s="7">
        <v>49407468.899999999</v>
      </c>
      <c r="I99" s="7">
        <v>393066000</v>
      </c>
      <c r="J99" s="7">
        <v>11625000</v>
      </c>
      <c r="K99" s="7">
        <v>583098468.89999998</v>
      </c>
      <c r="L99" s="134">
        <f t="shared" si="16"/>
        <v>0.82404988136060386</v>
      </c>
      <c r="M99" s="7" t="str">
        <f t="shared" si="12"/>
        <v>B</v>
      </c>
      <c r="N99" s="7">
        <f t="shared" si="13"/>
        <v>1.20919184790179</v>
      </c>
      <c r="O99" s="7" t="str">
        <f t="shared" si="14"/>
        <v>Z</v>
      </c>
      <c r="P99" s="7" t="str">
        <f t="shared" si="15"/>
        <v>BZ</v>
      </c>
      <c r="S99" s="6" t="s">
        <v>316</v>
      </c>
      <c r="T99" s="25">
        <v>1</v>
      </c>
      <c r="U99" s="7" t="str">
        <v>BZ</v>
      </c>
      <c r="W99" s="135" t="s">
        <v>317</v>
      </c>
      <c r="X99" s="135">
        <v>1</v>
      </c>
      <c r="Y99" s="7" t="str">
        <v>CX</v>
      </c>
      <c r="Z99" s="104"/>
    </row>
    <row r="100" spans="1:26">
      <c r="A100" s="133" t="s">
        <v>318</v>
      </c>
      <c r="B100" s="7"/>
      <c r="C100" s="7"/>
      <c r="D100" s="7"/>
      <c r="E100" s="7"/>
      <c r="F100" s="7"/>
      <c r="G100" s="7">
        <v>87200000</v>
      </c>
      <c r="H100" s="7">
        <v>54500100</v>
      </c>
      <c r="I100" s="7">
        <v>381500000</v>
      </c>
      <c r="J100" s="7">
        <v>54500000</v>
      </c>
      <c r="K100" s="7">
        <v>577700100</v>
      </c>
      <c r="L100" s="134">
        <f t="shared" si="16"/>
        <v>0.82597055929194385</v>
      </c>
      <c r="M100" s="7" t="str">
        <f t="shared" si="12"/>
        <v>B</v>
      </c>
      <c r="N100" s="7">
        <f t="shared" si="13"/>
        <v>0.9522225809222401</v>
      </c>
      <c r="O100" s="7" t="str">
        <f t="shared" si="14"/>
        <v>Z</v>
      </c>
      <c r="P100" s="7" t="str">
        <f t="shared" si="15"/>
        <v>BZ</v>
      </c>
      <c r="S100" s="6" t="s">
        <v>316</v>
      </c>
      <c r="T100" s="25">
        <v>4</v>
      </c>
      <c r="U100" s="7" t="str">
        <v>BZ</v>
      </c>
      <c r="W100" s="135" t="s">
        <v>258</v>
      </c>
      <c r="X100" s="135">
        <v>3</v>
      </c>
      <c r="Y100" s="7" t="str">
        <v>AX</v>
      </c>
      <c r="Z100" s="104"/>
    </row>
    <row r="101" spans="1:26">
      <c r="A101" s="133" t="s">
        <v>300</v>
      </c>
      <c r="B101" s="7">
        <v>40000000</v>
      </c>
      <c r="C101" s="7">
        <v>40000000</v>
      </c>
      <c r="D101" s="7">
        <v>39932300</v>
      </c>
      <c r="E101" s="7"/>
      <c r="F101" s="7"/>
      <c r="G101" s="7">
        <v>80000000</v>
      </c>
      <c r="H101" s="7">
        <v>240000000</v>
      </c>
      <c r="I101" s="7"/>
      <c r="J101" s="7">
        <v>120000000</v>
      </c>
      <c r="K101" s="7">
        <v>559932300</v>
      </c>
      <c r="L101" s="134">
        <f t="shared" si="16"/>
        <v>0.82783216466756082</v>
      </c>
      <c r="M101" s="7" t="str">
        <f t="shared" si="12"/>
        <v>B</v>
      </c>
      <c r="N101" s="7">
        <f t="shared" si="13"/>
        <v>0.76949212347189322</v>
      </c>
      <c r="O101" s="7" t="str">
        <f t="shared" si="14"/>
        <v>Z</v>
      </c>
      <c r="P101" s="7" t="str">
        <f t="shared" si="15"/>
        <v>BZ</v>
      </c>
      <c r="S101" s="6" t="s">
        <v>319</v>
      </c>
      <c r="T101" s="25">
        <v>1</v>
      </c>
      <c r="U101" s="7" t="str">
        <v>CZ</v>
      </c>
      <c r="W101" s="135" t="s">
        <v>121</v>
      </c>
      <c r="X101" s="135">
        <v>4</v>
      </c>
      <c r="Y101" s="7" t="str">
        <v>AZ</v>
      </c>
      <c r="Z101" s="104"/>
    </row>
    <row r="102" spans="1:26">
      <c r="A102" s="133" t="s">
        <v>320</v>
      </c>
      <c r="B102" s="7"/>
      <c r="C102" s="7"/>
      <c r="D102" s="7"/>
      <c r="E102" s="7"/>
      <c r="F102" s="7"/>
      <c r="G102" s="7"/>
      <c r="H102" s="7"/>
      <c r="I102" s="7"/>
      <c r="J102" s="7">
        <v>525800000</v>
      </c>
      <c r="K102" s="7">
        <v>525800000</v>
      </c>
      <c r="L102" s="134">
        <f t="shared" si="16"/>
        <v>0.82958029047937665</v>
      </c>
      <c r="M102" s="7" t="str">
        <f t="shared" si="12"/>
        <v>B</v>
      </c>
      <c r="N102" s="7">
        <f t="shared" si="13"/>
        <v>0</v>
      </c>
      <c r="O102" s="7" t="str">
        <f t="shared" si="14"/>
        <v>Z</v>
      </c>
      <c r="P102" s="7" t="str">
        <f t="shared" si="15"/>
        <v>BZ</v>
      </c>
      <c r="S102" s="6" t="s">
        <v>278</v>
      </c>
      <c r="T102" s="25">
        <v>3</v>
      </c>
      <c r="U102" s="7" t="str">
        <v>AY</v>
      </c>
      <c r="W102" s="135" t="s">
        <v>321</v>
      </c>
      <c r="X102" s="135">
        <v>1</v>
      </c>
      <c r="Y102" s="7" t="str">
        <v>CX</v>
      </c>
      <c r="Z102" s="104"/>
    </row>
    <row r="103" spans="1:26">
      <c r="A103" s="133" t="s">
        <v>322</v>
      </c>
      <c r="B103" s="7"/>
      <c r="C103" s="7"/>
      <c r="D103" s="7"/>
      <c r="E103" s="7">
        <v>41175000</v>
      </c>
      <c r="F103" s="7"/>
      <c r="G103" s="7">
        <v>39825000</v>
      </c>
      <c r="H103" s="7">
        <v>250200000</v>
      </c>
      <c r="I103" s="7">
        <v>181800000</v>
      </c>
      <c r="J103" s="7"/>
      <c r="K103" s="7">
        <v>513000000</v>
      </c>
      <c r="L103" s="134">
        <f t="shared" si="16"/>
        <v>0.8312858601664469</v>
      </c>
      <c r="M103" s="7" t="str">
        <f t="shared" si="12"/>
        <v>B</v>
      </c>
      <c r="N103" s="7">
        <f t="shared" si="13"/>
        <v>0.7097277296910397</v>
      </c>
      <c r="O103" s="7" t="str">
        <f t="shared" si="14"/>
        <v>Z</v>
      </c>
      <c r="P103" s="7" t="str">
        <f t="shared" si="15"/>
        <v>BZ</v>
      </c>
      <c r="S103" s="6" t="s">
        <v>278</v>
      </c>
      <c r="T103" s="25">
        <v>2</v>
      </c>
      <c r="U103" s="7" t="str">
        <v>AY</v>
      </c>
      <c r="W103" s="135" t="s">
        <v>323</v>
      </c>
      <c r="X103" s="135">
        <v>1</v>
      </c>
      <c r="Y103" s="7" t="str">
        <v>CZ</v>
      </c>
      <c r="Z103" s="104"/>
    </row>
    <row r="104" spans="1:26">
      <c r="A104" s="133" t="s">
        <v>324</v>
      </c>
      <c r="B104" s="7"/>
      <c r="C104" s="7"/>
      <c r="D104" s="7"/>
      <c r="E104" s="7">
        <v>14400000</v>
      </c>
      <c r="F104" s="7"/>
      <c r="G104" s="7">
        <v>25640000</v>
      </c>
      <c r="H104" s="7">
        <v>291940000</v>
      </c>
      <c r="I104" s="7">
        <v>173340000</v>
      </c>
      <c r="J104" s="7"/>
      <c r="K104" s="7">
        <v>505320000</v>
      </c>
      <c r="L104" s="134">
        <f t="shared" si="16"/>
        <v>0.83296589617866978</v>
      </c>
      <c r="M104" s="7" t="str">
        <f t="shared" si="12"/>
        <v>B</v>
      </c>
      <c r="N104" s="7">
        <f t="shared" si="13"/>
        <v>0.90516660666350668</v>
      </c>
      <c r="O104" s="7" t="str">
        <f t="shared" si="14"/>
        <v>Z</v>
      </c>
      <c r="P104" s="7" t="str">
        <f t="shared" si="15"/>
        <v>BZ</v>
      </c>
      <c r="S104" s="6" t="s">
        <v>278</v>
      </c>
      <c r="T104" s="25">
        <v>3</v>
      </c>
      <c r="U104" s="7" t="str">
        <v>AY</v>
      </c>
      <c r="W104" s="135" t="s">
        <v>325</v>
      </c>
      <c r="X104" s="135">
        <v>1</v>
      </c>
      <c r="Y104" s="7" t="str">
        <v>CY</v>
      </c>
      <c r="Z104" s="104"/>
    </row>
    <row r="105" spans="1:26">
      <c r="A105" s="133" t="s">
        <v>252</v>
      </c>
      <c r="B105" s="7"/>
      <c r="C105" s="7"/>
      <c r="D105" s="7"/>
      <c r="E105" s="7">
        <v>52500000</v>
      </c>
      <c r="F105" s="7"/>
      <c r="G105" s="7">
        <v>126000000</v>
      </c>
      <c r="H105" s="7">
        <v>57000000</v>
      </c>
      <c r="I105" s="7">
        <v>266000000</v>
      </c>
      <c r="J105" s="7"/>
      <c r="K105" s="7">
        <v>501500000</v>
      </c>
      <c r="L105" s="134">
        <f t="shared" si="16"/>
        <v>0.83463323184741389</v>
      </c>
      <c r="M105" s="7" t="str">
        <f t="shared" si="12"/>
        <v>B</v>
      </c>
      <c r="N105" s="7">
        <f t="shared" si="13"/>
        <v>0.68799904346806173</v>
      </c>
      <c r="O105" s="7" t="str">
        <f t="shared" si="14"/>
        <v>Z</v>
      </c>
      <c r="P105" s="7" t="str">
        <f t="shared" si="15"/>
        <v>BZ</v>
      </c>
      <c r="S105" s="6" t="s">
        <v>278</v>
      </c>
      <c r="T105" s="25">
        <v>2</v>
      </c>
      <c r="U105" s="7" t="str">
        <v>AY</v>
      </c>
      <c r="W105" s="135" t="s">
        <v>326</v>
      </c>
      <c r="X105" s="135">
        <v>1</v>
      </c>
      <c r="Y105" s="7" t="str">
        <v>CY</v>
      </c>
      <c r="Z105" s="104"/>
    </row>
    <row r="106" spans="1:26">
      <c r="A106" s="133" t="s">
        <v>136</v>
      </c>
      <c r="B106" s="7"/>
      <c r="C106" s="7"/>
      <c r="D106" s="7"/>
      <c r="E106" s="7"/>
      <c r="F106" s="7">
        <v>38500000</v>
      </c>
      <c r="G106" s="7">
        <v>154000000</v>
      </c>
      <c r="H106" s="7">
        <v>77000000</v>
      </c>
      <c r="I106" s="7"/>
      <c r="J106" s="7">
        <v>231000000</v>
      </c>
      <c r="K106" s="7">
        <v>500500000</v>
      </c>
      <c r="L106" s="134">
        <f t="shared" si="16"/>
        <v>0.83629724281891227</v>
      </c>
      <c r="M106" s="7" t="str">
        <f t="shared" si="12"/>
        <v>B</v>
      </c>
      <c r="N106" s="7">
        <f t="shared" si="13"/>
        <v>0.59085736522066212</v>
      </c>
      <c r="O106" s="7" t="str">
        <f t="shared" si="14"/>
        <v>Y</v>
      </c>
      <c r="P106" s="7" t="str">
        <f t="shared" si="15"/>
        <v>BY</v>
      </c>
      <c r="S106" s="6" t="s">
        <v>327</v>
      </c>
      <c r="T106" s="25">
        <v>2</v>
      </c>
      <c r="U106" s="7" t="str">
        <v>CZ</v>
      </c>
      <c r="W106" s="135" t="s">
        <v>328</v>
      </c>
      <c r="X106" s="135">
        <v>1</v>
      </c>
      <c r="Y106" s="7" t="str">
        <v>CY</v>
      </c>
      <c r="Z106" s="104"/>
    </row>
    <row r="107" spans="1:26">
      <c r="A107" s="133" t="s">
        <v>98</v>
      </c>
      <c r="B107" s="7">
        <v>54000000</v>
      </c>
      <c r="C107" s="7">
        <v>18000000</v>
      </c>
      <c r="D107" s="7"/>
      <c r="E107" s="7">
        <v>45900000</v>
      </c>
      <c r="F107" s="7">
        <v>18600000</v>
      </c>
      <c r="G107" s="7">
        <v>37200000</v>
      </c>
      <c r="H107" s="7">
        <v>176700000</v>
      </c>
      <c r="I107" s="7">
        <v>93000000</v>
      </c>
      <c r="J107" s="7">
        <v>55800000</v>
      </c>
      <c r="K107" s="7">
        <v>499200000</v>
      </c>
      <c r="L107" s="134">
        <f t="shared" si="16"/>
        <v>0.8379569316839911</v>
      </c>
      <c r="M107" s="7" t="str">
        <f t="shared" si="12"/>
        <v>B</v>
      </c>
      <c r="N107" s="7">
        <f t="shared" si="13"/>
        <v>0.77918365787989974</v>
      </c>
      <c r="O107" s="7" t="str">
        <f t="shared" si="14"/>
        <v>Z</v>
      </c>
      <c r="P107" s="7" t="str">
        <f t="shared" si="15"/>
        <v>BZ</v>
      </c>
      <c r="S107" s="6" t="s">
        <v>329</v>
      </c>
      <c r="T107" s="25">
        <v>1</v>
      </c>
      <c r="U107" s="7" t="str">
        <v>CZ</v>
      </c>
      <c r="W107" s="135" t="s">
        <v>330</v>
      </c>
      <c r="X107" s="135">
        <v>1</v>
      </c>
      <c r="Y107" s="7" t="str">
        <v>CX</v>
      </c>
      <c r="Z107" s="104"/>
    </row>
    <row r="108" spans="1:26">
      <c r="A108" s="133" t="s">
        <v>267</v>
      </c>
      <c r="B108" s="7">
        <v>74400000</v>
      </c>
      <c r="C108" s="7"/>
      <c r="D108" s="7"/>
      <c r="E108" s="7">
        <v>14400000</v>
      </c>
      <c r="F108" s="7">
        <v>16992000</v>
      </c>
      <c r="G108" s="7">
        <v>103408000</v>
      </c>
      <c r="H108" s="7">
        <v>269400000</v>
      </c>
      <c r="I108" s="7"/>
      <c r="J108" s="7"/>
      <c r="K108" s="7">
        <v>478600000</v>
      </c>
      <c r="L108" s="134">
        <f t="shared" si="16"/>
        <v>0.83954813178580745</v>
      </c>
      <c r="M108" s="7" t="str">
        <f t="shared" si="12"/>
        <v>B</v>
      </c>
      <c r="N108" s="7">
        <f t="shared" si="13"/>
        <v>0.97432572272309959</v>
      </c>
      <c r="O108" s="7" t="str">
        <f t="shared" si="14"/>
        <v>Z</v>
      </c>
      <c r="P108" s="7" t="str">
        <f t="shared" si="15"/>
        <v>BZ</v>
      </c>
      <c r="S108" s="6" t="s">
        <v>331</v>
      </c>
      <c r="T108" s="25">
        <v>1</v>
      </c>
      <c r="U108" s="7" t="str">
        <v>CZ</v>
      </c>
      <c r="W108" s="135" t="s">
        <v>332</v>
      </c>
      <c r="X108" s="135">
        <v>1</v>
      </c>
      <c r="Y108" s="7" t="str">
        <v>BY</v>
      </c>
      <c r="Z108" s="104"/>
    </row>
    <row r="109" spans="1:26">
      <c r="A109" s="133" t="s">
        <v>333</v>
      </c>
      <c r="B109" s="7"/>
      <c r="C109" s="7"/>
      <c r="D109" s="7"/>
      <c r="E109" s="7"/>
      <c r="F109" s="7"/>
      <c r="G109" s="7"/>
      <c r="H109" s="7">
        <v>60000</v>
      </c>
      <c r="I109" s="7"/>
      <c r="J109" s="7">
        <v>477500000</v>
      </c>
      <c r="K109" s="7">
        <v>477560000</v>
      </c>
      <c r="L109" s="134">
        <f t="shared" si="16"/>
        <v>0.84113587420248825</v>
      </c>
      <c r="M109" s="7" t="str">
        <f t="shared" si="12"/>
        <v>B</v>
      </c>
      <c r="N109" s="7">
        <f t="shared" si="13"/>
        <v>0.99974872267359072</v>
      </c>
      <c r="O109" s="7" t="str">
        <f t="shared" si="14"/>
        <v>Z</v>
      </c>
      <c r="P109" s="7" t="str">
        <f t="shared" si="15"/>
        <v>BZ</v>
      </c>
      <c r="S109" s="6" t="s">
        <v>331</v>
      </c>
      <c r="T109" s="25">
        <v>1</v>
      </c>
      <c r="U109" s="7" t="str">
        <v>CZ</v>
      </c>
      <c r="W109" s="135" t="s">
        <v>334</v>
      </c>
      <c r="X109" s="135">
        <v>1</v>
      </c>
      <c r="Y109" s="7" t="str">
        <v>CY</v>
      </c>
      <c r="Z109" s="104"/>
    </row>
    <row r="110" spans="1:26">
      <c r="A110" s="133" t="s">
        <v>335</v>
      </c>
      <c r="B110" s="7"/>
      <c r="C110" s="7"/>
      <c r="D110" s="7"/>
      <c r="E110" s="7"/>
      <c r="F110" s="7"/>
      <c r="G110" s="7">
        <v>120262610</v>
      </c>
      <c r="H110" s="7">
        <v>46255000</v>
      </c>
      <c r="I110" s="7">
        <v>277529100</v>
      </c>
      <c r="J110" s="7"/>
      <c r="K110" s="7">
        <v>444046710</v>
      </c>
      <c r="L110" s="134">
        <f t="shared" si="16"/>
        <v>0.84261219507620999</v>
      </c>
      <c r="M110" s="7" t="str">
        <f t="shared" si="12"/>
        <v>B</v>
      </c>
      <c r="N110" s="7">
        <f t="shared" si="13"/>
        <v>0.65152008058759014</v>
      </c>
      <c r="O110" s="7" t="str">
        <f t="shared" si="14"/>
        <v>Z</v>
      </c>
      <c r="P110" s="7" t="str">
        <f t="shared" si="15"/>
        <v>BZ</v>
      </c>
      <c r="S110" s="6" t="s">
        <v>313</v>
      </c>
      <c r="T110" s="25">
        <v>1</v>
      </c>
      <c r="U110" s="7" t="str">
        <v>BY</v>
      </c>
      <c r="W110" s="135" t="s">
        <v>336</v>
      </c>
      <c r="X110" s="135">
        <v>2</v>
      </c>
      <c r="Y110" s="7" t="str">
        <v>CX</v>
      </c>
      <c r="Z110" s="104"/>
    </row>
    <row r="111" spans="1:26">
      <c r="A111" s="133" t="s">
        <v>242</v>
      </c>
      <c r="B111" s="7">
        <v>15000000</v>
      </c>
      <c r="C111" s="7"/>
      <c r="D111" s="7">
        <v>15000000</v>
      </c>
      <c r="E111" s="7">
        <v>15000000</v>
      </c>
      <c r="F111" s="7">
        <v>22500000</v>
      </c>
      <c r="G111" s="7">
        <v>37500000</v>
      </c>
      <c r="H111" s="7">
        <v>105000000</v>
      </c>
      <c r="I111" s="7">
        <v>112500000</v>
      </c>
      <c r="J111" s="7">
        <v>112500000</v>
      </c>
      <c r="K111" s="7">
        <v>435000000</v>
      </c>
      <c r="L111" s="134">
        <f t="shared" si="16"/>
        <v>0.84405843837811168</v>
      </c>
      <c r="M111" s="7" t="str">
        <f t="shared" si="12"/>
        <v>B</v>
      </c>
      <c r="N111" s="7">
        <f t="shared" si="13"/>
        <v>0.80352966880903753</v>
      </c>
      <c r="O111" s="7" t="str">
        <f t="shared" si="14"/>
        <v>Z</v>
      </c>
      <c r="P111" s="7" t="str">
        <f t="shared" si="15"/>
        <v>BZ</v>
      </c>
      <c r="S111" s="6" t="s">
        <v>313</v>
      </c>
      <c r="T111" s="25">
        <v>1</v>
      </c>
      <c r="U111" s="7" t="str">
        <v>BY</v>
      </c>
      <c r="W111" s="135" t="s">
        <v>337</v>
      </c>
      <c r="X111" s="135">
        <v>1</v>
      </c>
      <c r="Y111" s="7" t="str">
        <v>CZ</v>
      </c>
      <c r="Z111" s="104"/>
    </row>
    <row r="112" spans="1:26">
      <c r="A112" s="133" t="s">
        <v>338</v>
      </c>
      <c r="B112" s="7"/>
      <c r="C112" s="7"/>
      <c r="D112" s="7"/>
      <c r="E112" s="7"/>
      <c r="F112" s="7"/>
      <c r="G112" s="7"/>
      <c r="H112" s="7">
        <v>309504000</v>
      </c>
      <c r="I112" s="7"/>
      <c r="J112" s="7">
        <v>124800000</v>
      </c>
      <c r="K112" s="7">
        <v>434304000</v>
      </c>
      <c r="L112" s="134">
        <f t="shared" si="16"/>
        <v>0.84550236769073028</v>
      </c>
      <c r="M112" s="7" t="str">
        <f t="shared" si="12"/>
        <v>B</v>
      </c>
      <c r="N112" s="7">
        <f t="shared" si="13"/>
        <v>0.42528735632183906</v>
      </c>
      <c r="O112" s="7" t="str">
        <f t="shared" si="14"/>
        <v>Y</v>
      </c>
      <c r="P112" s="7" t="str">
        <f t="shared" si="15"/>
        <v>BY</v>
      </c>
      <c r="S112" s="6" t="s">
        <v>313</v>
      </c>
      <c r="T112" s="25">
        <v>1</v>
      </c>
      <c r="U112" s="7" t="str">
        <v>BY</v>
      </c>
      <c r="W112" s="135" t="s">
        <v>339</v>
      </c>
      <c r="X112" s="135">
        <v>1</v>
      </c>
      <c r="Y112" s="7" t="str">
        <v>CZ</v>
      </c>
      <c r="Z112" s="104"/>
    </row>
    <row r="113" spans="1:26">
      <c r="A113" s="133" t="s">
        <v>340</v>
      </c>
      <c r="B113" s="7"/>
      <c r="C113" s="7"/>
      <c r="D113" s="7"/>
      <c r="E113" s="7"/>
      <c r="F113" s="7"/>
      <c r="G113" s="7"/>
      <c r="H113" s="7">
        <v>98000000</v>
      </c>
      <c r="I113" s="7">
        <v>117250000</v>
      </c>
      <c r="J113" s="7">
        <v>217750000</v>
      </c>
      <c r="K113" s="7">
        <v>433000000</v>
      </c>
      <c r="L113" s="134">
        <f t="shared" si="16"/>
        <v>0.84694196159814039</v>
      </c>
      <c r="M113" s="7" t="str">
        <f t="shared" si="12"/>
        <v>B</v>
      </c>
      <c r="N113" s="7">
        <f t="shared" si="13"/>
        <v>0.36377524677915701</v>
      </c>
      <c r="O113" s="7" t="str">
        <f t="shared" si="14"/>
        <v>Y</v>
      </c>
      <c r="P113" s="7" t="str">
        <f t="shared" si="15"/>
        <v>BY</v>
      </c>
      <c r="S113" s="6" t="s">
        <v>313</v>
      </c>
      <c r="T113" s="25">
        <v>2</v>
      </c>
      <c r="U113" s="7" t="str">
        <v>BY</v>
      </c>
      <c r="W113" s="135" t="s">
        <v>341</v>
      </c>
      <c r="X113" s="135">
        <v>1</v>
      </c>
      <c r="Y113" s="7" t="str">
        <v>CZ</v>
      </c>
      <c r="Z113" s="104"/>
    </row>
    <row r="114" spans="1:26">
      <c r="A114" s="133" t="s">
        <v>342</v>
      </c>
      <c r="B114" s="7"/>
      <c r="C114" s="7"/>
      <c r="D114" s="7">
        <v>208719192.95999998</v>
      </c>
      <c r="E114" s="7"/>
      <c r="F114" s="7"/>
      <c r="G114" s="7">
        <v>216397378.80000001</v>
      </c>
      <c r="H114" s="7"/>
      <c r="I114" s="7"/>
      <c r="J114" s="7"/>
      <c r="K114" s="7">
        <v>425116571.75999999</v>
      </c>
      <c r="L114" s="134">
        <f t="shared" si="16"/>
        <v>0.84835534549339398</v>
      </c>
      <c r="M114" s="7" t="str">
        <f t="shared" si="12"/>
        <v>B</v>
      </c>
      <c r="N114" s="7">
        <f t="shared" si="13"/>
        <v>1.8061365634870524E-2</v>
      </c>
      <c r="O114" s="7" t="str">
        <f t="shared" si="14"/>
        <v>X</v>
      </c>
      <c r="P114" s="7" t="str">
        <f t="shared" si="15"/>
        <v>BX</v>
      </c>
      <c r="S114" s="6" t="s">
        <v>313</v>
      </c>
      <c r="T114" s="25">
        <v>3</v>
      </c>
      <c r="U114" s="7" t="str">
        <v>BY</v>
      </c>
      <c r="W114" s="135" t="s">
        <v>343</v>
      </c>
      <c r="X114" s="135">
        <v>1</v>
      </c>
      <c r="Y114" s="7" t="str">
        <v>CZ</v>
      </c>
      <c r="Z114" s="104"/>
    </row>
    <row r="115" spans="1:26">
      <c r="A115" s="133" t="s">
        <v>201</v>
      </c>
      <c r="B115" s="7"/>
      <c r="C115" s="7"/>
      <c r="D115" s="7"/>
      <c r="E115" s="7">
        <v>37500000</v>
      </c>
      <c r="F115" s="7">
        <v>27500000</v>
      </c>
      <c r="G115" s="7">
        <v>82500000</v>
      </c>
      <c r="H115" s="7"/>
      <c r="I115" s="7"/>
      <c r="J115" s="7">
        <v>275000000</v>
      </c>
      <c r="K115" s="7">
        <v>422500000</v>
      </c>
      <c r="L115" s="134">
        <f t="shared" si="16"/>
        <v>0.84976003007972378</v>
      </c>
      <c r="M115" s="7" t="str">
        <f t="shared" si="12"/>
        <v>B</v>
      </c>
      <c r="N115" s="7">
        <f t="shared" si="13"/>
        <v>0.94635716885340371</v>
      </c>
      <c r="O115" s="7" t="str">
        <f t="shared" si="14"/>
        <v>Z</v>
      </c>
      <c r="P115" s="7" t="str">
        <f t="shared" si="15"/>
        <v>BZ</v>
      </c>
      <c r="S115" s="6" t="s">
        <v>344</v>
      </c>
      <c r="T115" s="25">
        <v>2</v>
      </c>
      <c r="U115" s="7" t="str">
        <v>BY</v>
      </c>
      <c r="W115" s="135" t="s">
        <v>345</v>
      </c>
      <c r="X115" s="135">
        <v>1</v>
      </c>
      <c r="Y115" s="7" t="str">
        <v>CX</v>
      </c>
      <c r="Z115" s="104"/>
    </row>
    <row r="116" spans="1:26">
      <c r="A116" s="133" t="s">
        <v>253</v>
      </c>
      <c r="B116" s="7"/>
      <c r="C116" s="7"/>
      <c r="D116" s="7"/>
      <c r="E116" s="7">
        <v>24000000</v>
      </c>
      <c r="F116" s="7">
        <v>36000000</v>
      </c>
      <c r="G116" s="7">
        <v>60000000</v>
      </c>
      <c r="H116" s="7">
        <v>60000000</v>
      </c>
      <c r="I116" s="7">
        <v>240000000</v>
      </c>
      <c r="J116" s="7"/>
      <c r="K116" s="7">
        <v>420000000</v>
      </c>
      <c r="L116" s="134">
        <f t="shared" si="16"/>
        <v>0.85115640292293915</v>
      </c>
      <c r="M116" s="7" t="str">
        <f t="shared" si="12"/>
        <v>B</v>
      </c>
      <c r="N116" s="7">
        <f t="shared" si="13"/>
        <v>0.94328994395538157</v>
      </c>
      <c r="O116" s="7" t="str">
        <f t="shared" si="14"/>
        <v>Z</v>
      </c>
      <c r="P116" s="7" t="str">
        <f t="shared" si="15"/>
        <v>BZ</v>
      </c>
      <c r="S116" s="6" t="s">
        <v>346</v>
      </c>
      <c r="T116" s="25">
        <v>1</v>
      </c>
      <c r="U116" s="7" t="str">
        <v>CZ</v>
      </c>
      <c r="W116" s="135" t="s">
        <v>218</v>
      </c>
      <c r="X116" s="135">
        <v>1</v>
      </c>
      <c r="Y116" s="7" t="str">
        <v>AY</v>
      </c>
      <c r="Z116" s="104"/>
    </row>
    <row r="117" spans="1:26">
      <c r="A117" s="133" t="s">
        <v>347</v>
      </c>
      <c r="B117" s="7"/>
      <c r="C117" s="7"/>
      <c r="D117" s="7"/>
      <c r="E117" s="7"/>
      <c r="F117" s="7"/>
      <c r="G117" s="7">
        <v>420000000</v>
      </c>
      <c r="H117" s="7"/>
      <c r="I117" s="7"/>
      <c r="J117" s="7"/>
      <c r="K117" s="7">
        <v>420000000</v>
      </c>
      <c r="L117" s="134">
        <f t="shared" si="16"/>
        <v>0.85255277576615451</v>
      </c>
      <c r="M117" s="7" t="str">
        <f t="shared" si="12"/>
        <v>B</v>
      </c>
      <c r="N117" s="7">
        <f t="shared" si="13"/>
        <v>0</v>
      </c>
      <c r="O117" s="7" t="str">
        <f t="shared" si="14"/>
        <v>Z</v>
      </c>
      <c r="P117" s="7" t="str">
        <f t="shared" si="15"/>
        <v>BZ</v>
      </c>
      <c r="S117" s="6" t="s">
        <v>348</v>
      </c>
      <c r="T117" s="25">
        <v>1</v>
      </c>
      <c r="U117" s="7" t="str">
        <v>BZ</v>
      </c>
      <c r="W117" s="135" t="s">
        <v>210</v>
      </c>
      <c r="X117" s="135">
        <v>1</v>
      </c>
      <c r="Y117" s="7" t="str">
        <v>AY</v>
      </c>
      <c r="Z117" s="104"/>
    </row>
    <row r="118" spans="1:26">
      <c r="A118" s="133" t="s">
        <v>349</v>
      </c>
      <c r="B118" s="7"/>
      <c r="C118" s="7"/>
      <c r="D118" s="7"/>
      <c r="E118" s="7"/>
      <c r="F118" s="7">
        <v>278800000</v>
      </c>
      <c r="G118" s="7"/>
      <c r="H118" s="7"/>
      <c r="I118" s="7">
        <v>139400000</v>
      </c>
      <c r="J118" s="7"/>
      <c r="K118" s="7">
        <v>418200000</v>
      </c>
      <c r="L118" s="134">
        <f t="shared" si="16"/>
        <v>0.85394316415432758</v>
      </c>
      <c r="M118" s="7" t="str">
        <f t="shared" si="12"/>
        <v>B</v>
      </c>
      <c r="N118" s="7">
        <f t="shared" si="13"/>
        <v>0.33333333333333331</v>
      </c>
      <c r="O118" s="7" t="str">
        <f t="shared" si="14"/>
        <v>Y</v>
      </c>
      <c r="P118" s="7" t="str">
        <f t="shared" si="15"/>
        <v>BY</v>
      </c>
      <c r="S118" s="6" t="s">
        <v>348</v>
      </c>
      <c r="T118" s="25">
        <v>2</v>
      </c>
      <c r="U118" s="7" t="str">
        <v>BZ</v>
      </c>
      <c r="W118" s="135" t="s">
        <v>107</v>
      </c>
      <c r="X118" s="135">
        <v>1</v>
      </c>
      <c r="Y118" s="7" t="str">
        <v>AX</v>
      </c>
      <c r="Z118" s="104"/>
    </row>
    <row r="119" spans="1:26">
      <c r="A119" s="133" t="s">
        <v>204</v>
      </c>
      <c r="B119" s="7">
        <v>43950000</v>
      </c>
      <c r="C119" s="7">
        <v>36000000</v>
      </c>
      <c r="D119" s="7">
        <v>54000000</v>
      </c>
      <c r="E119" s="7">
        <v>36000000</v>
      </c>
      <c r="F119" s="7"/>
      <c r="G119" s="7">
        <v>11700000</v>
      </c>
      <c r="H119" s="7">
        <v>77000000</v>
      </c>
      <c r="I119" s="7">
        <v>95000000</v>
      </c>
      <c r="J119" s="7">
        <v>57000000</v>
      </c>
      <c r="K119" s="7">
        <v>410650000</v>
      </c>
      <c r="L119" s="134">
        <f t="shared" si="16"/>
        <v>0.85530845107829523</v>
      </c>
      <c r="M119" s="7" t="str">
        <f t="shared" si="12"/>
        <v>B</v>
      </c>
      <c r="N119" s="7">
        <f t="shared" si="13"/>
        <v>0.47221158089727522</v>
      </c>
      <c r="O119" s="7" t="str">
        <f t="shared" si="14"/>
        <v>Y</v>
      </c>
      <c r="P119" s="7" t="str">
        <f t="shared" si="15"/>
        <v>BY</v>
      </c>
      <c r="S119" s="6" t="s">
        <v>348</v>
      </c>
      <c r="T119" s="25">
        <v>2</v>
      </c>
      <c r="U119" s="7" t="str">
        <v>BZ</v>
      </c>
      <c r="W119" s="135" t="s">
        <v>169</v>
      </c>
      <c r="X119" s="135">
        <v>3</v>
      </c>
      <c r="Y119" s="7" t="str">
        <v>AY</v>
      </c>
      <c r="Z119" s="104"/>
    </row>
    <row r="120" spans="1:26">
      <c r="A120" s="133" t="s">
        <v>350</v>
      </c>
      <c r="B120" s="7"/>
      <c r="C120" s="7"/>
      <c r="D120" s="7"/>
      <c r="E120" s="7"/>
      <c r="F120" s="7"/>
      <c r="G120" s="7"/>
      <c r="H120" s="7">
        <v>5922000</v>
      </c>
      <c r="I120" s="7">
        <v>402696000</v>
      </c>
      <c r="J120" s="7"/>
      <c r="K120" s="7">
        <v>408618000</v>
      </c>
      <c r="L120" s="134">
        <f t="shared" si="16"/>
        <v>0.85666698221745952</v>
      </c>
      <c r="M120" s="7" t="str">
        <f t="shared" si="12"/>
        <v>B</v>
      </c>
      <c r="N120" s="7">
        <f t="shared" si="13"/>
        <v>0.97101449275362317</v>
      </c>
      <c r="O120" s="7" t="str">
        <f t="shared" si="14"/>
        <v>Z</v>
      </c>
      <c r="P120" s="7" t="str">
        <f t="shared" si="15"/>
        <v>BZ</v>
      </c>
      <c r="S120" s="6" t="s">
        <v>348</v>
      </c>
      <c r="T120" s="25">
        <v>2</v>
      </c>
      <c r="U120" s="7" t="str">
        <v>BZ</v>
      </c>
      <c r="W120" s="135" t="s">
        <v>351</v>
      </c>
      <c r="X120" s="135">
        <v>1</v>
      </c>
      <c r="Y120" s="7" t="str">
        <v>BZ</v>
      </c>
      <c r="Z120" s="104"/>
    </row>
    <row r="121" spans="1:26">
      <c r="A121" s="133" t="s">
        <v>352</v>
      </c>
      <c r="B121" s="7"/>
      <c r="C121" s="7"/>
      <c r="D121" s="7"/>
      <c r="E121" s="7"/>
      <c r="F121" s="7">
        <v>15390000</v>
      </c>
      <c r="G121" s="7">
        <v>2925000</v>
      </c>
      <c r="H121" s="7">
        <v>18759000</v>
      </c>
      <c r="I121" s="7">
        <v>245418000</v>
      </c>
      <c r="J121" s="7">
        <v>122094000</v>
      </c>
      <c r="K121" s="7">
        <v>404586000</v>
      </c>
      <c r="L121" s="134">
        <f t="shared" si="16"/>
        <v>0.85801210817732887</v>
      </c>
      <c r="M121" s="7" t="str">
        <f t="shared" si="12"/>
        <v>B</v>
      </c>
      <c r="N121" s="7">
        <f t="shared" si="13"/>
        <v>1.1460131425829077</v>
      </c>
      <c r="O121" s="7" t="str">
        <f t="shared" si="14"/>
        <v>Z</v>
      </c>
      <c r="P121" s="7" t="str">
        <f t="shared" si="15"/>
        <v>BZ</v>
      </c>
      <c r="S121" s="6" t="s">
        <v>353</v>
      </c>
      <c r="T121" s="25">
        <v>1</v>
      </c>
      <c r="U121" s="7" t="str">
        <v>CZ</v>
      </c>
      <c r="W121" s="135" t="s">
        <v>354</v>
      </c>
      <c r="X121" s="135">
        <v>1</v>
      </c>
      <c r="Y121" s="7" t="str">
        <v>CY</v>
      </c>
      <c r="Z121" s="104"/>
    </row>
    <row r="122" spans="1:26">
      <c r="A122" s="133" t="s">
        <v>355</v>
      </c>
      <c r="B122" s="7"/>
      <c r="C122" s="7"/>
      <c r="D122" s="7"/>
      <c r="E122" s="7"/>
      <c r="F122" s="7">
        <v>36300000</v>
      </c>
      <c r="G122" s="7">
        <v>122775000</v>
      </c>
      <c r="H122" s="7">
        <v>65035946.400000006</v>
      </c>
      <c r="I122" s="7">
        <v>148129500</v>
      </c>
      <c r="J122" s="7">
        <v>17325000</v>
      </c>
      <c r="K122" s="7">
        <v>389565446.39999998</v>
      </c>
      <c r="L122" s="134">
        <f t="shared" si="16"/>
        <v>0.85930729534401473</v>
      </c>
      <c r="M122" s="7" t="str">
        <f t="shared" si="12"/>
        <v>B</v>
      </c>
      <c r="N122" s="7">
        <f t="shared" si="13"/>
        <v>0.64203125834678565</v>
      </c>
      <c r="O122" s="7" t="str">
        <f t="shared" si="14"/>
        <v>Z</v>
      </c>
      <c r="P122" s="7" t="str">
        <f t="shared" si="15"/>
        <v>BZ</v>
      </c>
      <c r="S122" s="6" t="s">
        <v>353</v>
      </c>
      <c r="T122" s="25">
        <v>1</v>
      </c>
      <c r="U122" s="7" t="str">
        <v>CZ</v>
      </c>
      <c r="W122" s="135" t="s">
        <v>356</v>
      </c>
      <c r="X122" s="135">
        <v>1</v>
      </c>
      <c r="Y122" s="7" t="str">
        <v>BZ</v>
      </c>
      <c r="Z122" s="104"/>
    </row>
    <row r="123" spans="1:26">
      <c r="A123" s="133" t="s">
        <v>357</v>
      </c>
      <c r="B123" s="7"/>
      <c r="C123" s="7"/>
      <c r="D123" s="7"/>
      <c r="E123" s="7">
        <v>47250000</v>
      </c>
      <c r="F123" s="7"/>
      <c r="G123" s="7"/>
      <c r="H123" s="7">
        <v>206100000</v>
      </c>
      <c r="I123" s="7">
        <v>89100000</v>
      </c>
      <c r="J123" s="7">
        <v>44550000</v>
      </c>
      <c r="K123" s="7">
        <v>387000000</v>
      </c>
      <c r="L123" s="134">
        <f t="shared" si="16"/>
        <v>0.86059395317812037</v>
      </c>
      <c r="M123" s="7" t="str">
        <f t="shared" si="12"/>
        <v>B</v>
      </c>
      <c r="N123" s="7">
        <f t="shared" si="13"/>
        <v>0.67759476635211491</v>
      </c>
      <c r="O123" s="7" t="str">
        <f t="shared" si="14"/>
        <v>Z</v>
      </c>
      <c r="P123" s="7" t="str">
        <f t="shared" si="15"/>
        <v>BZ</v>
      </c>
      <c r="S123" s="6" t="s">
        <v>340</v>
      </c>
      <c r="T123" s="25">
        <v>3</v>
      </c>
      <c r="U123" s="7" t="str">
        <v>BY</v>
      </c>
      <c r="W123" s="135" t="s">
        <v>358</v>
      </c>
      <c r="X123" s="135">
        <v>1</v>
      </c>
      <c r="Y123" s="7" t="str">
        <v>CY</v>
      </c>
      <c r="Z123" s="104"/>
    </row>
    <row r="124" spans="1:26">
      <c r="A124" s="133" t="s">
        <v>177</v>
      </c>
      <c r="B124" s="7"/>
      <c r="C124" s="7"/>
      <c r="D124" s="7">
        <v>31534441.600000001</v>
      </c>
      <c r="E124" s="7">
        <v>141750000</v>
      </c>
      <c r="F124" s="7"/>
      <c r="G124" s="7">
        <v>67800000</v>
      </c>
      <c r="H124" s="7">
        <v>135600000</v>
      </c>
      <c r="I124" s="7"/>
      <c r="J124" s="7"/>
      <c r="K124" s="7">
        <v>376684441.60000002</v>
      </c>
      <c r="L124" s="134">
        <f t="shared" si="16"/>
        <v>0.86184631490362518</v>
      </c>
      <c r="M124" s="7" t="str">
        <f t="shared" si="12"/>
        <v>B</v>
      </c>
      <c r="N124" s="7">
        <f t="shared" si="13"/>
        <v>0.49234954882793236</v>
      </c>
      <c r="O124" s="7" t="str">
        <f t="shared" si="14"/>
        <v>Y</v>
      </c>
      <c r="P124" s="7" t="str">
        <f t="shared" si="15"/>
        <v>BY</v>
      </c>
      <c r="S124" s="6" t="s">
        <v>340</v>
      </c>
      <c r="T124" s="25">
        <v>2</v>
      </c>
      <c r="U124" s="7" t="str">
        <v>BY</v>
      </c>
      <c r="W124" s="135" t="s">
        <v>359</v>
      </c>
      <c r="X124" s="135">
        <v>1</v>
      </c>
      <c r="Y124" s="7" t="str">
        <v>CY</v>
      </c>
      <c r="Z124" s="104"/>
    </row>
    <row r="125" spans="1:26">
      <c r="A125" s="133" t="s">
        <v>360</v>
      </c>
      <c r="B125" s="7"/>
      <c r="C125" s="7"/>
      <c r="D125" s="7"/>
      <c r="E125" s="7"/>
      <c r="F125" s="7">
        <v>21660000</v>
      </c>
      <c r="G125" s="7">
        <v>36441000</v>
      </c>
      <c r="H125" s="7">
        <v>39630328.799999997</v>
      </c>
      <c r="I125" s="7">
        <v>198867207</v>
      </c>
      <c r="J125" s="7">
        <v>78720000</v>
      </c>
      <c r="K125" s="7">
        <v>375318535.80000001</v>
      </c>
      <c r="L125" s="134">
        <f t="shared" si="16"/>
        <v>0.86309413540587876</v>
      </c>
      <c r="M125" s="7" t="str">
        <f t="shared" si="12"/>
        <v>B</v>
      </c>
      <c r="N125" s="7">
        <f t="shared" si="13"/>
        <v>0.86212843010089468</v>
      </c>
      <c r="O125" s="7" t="str">
        <f t="shared" si="14"/>
        <v>Z</v>
      </c>
      <c r="P125" s="7" t="str">
        <f t="shared" si="15"/>
        <v>BZ</v>
      </c>
      <c r="S125" s="6" t="s">
        <v>340</v>
      </c>
      <c r="T125" s="25">
        <v>2</v>
      </c>
      <c r="U125" s="7" t="str">
        <v>BY</v>
      </c>
      <c r="W125" s="135" t="s">
        <v>361</v>
      </c>
      <c r="X125" s="135">
        <v>1</v>
      </c>
      <c r="Y125" s="7" t="str">
        <v>CX</v>
      </c>
      <c r="Z125" s="104"/>
    </row>
    <row r="126" spans="1:26">
      <c r="A126" s="133" t="s">
        <v>229</v>
      </c>
      <c r="B126" s="7"/>
      <c r="C126" s="7"/>
      <c r="D126" s="7"/>
      <c r="E126" s="7">
        <v>108960000</v>
      </c>
      <c r="F126" s="7">
        <v>6880000</v>
      </c>
      <c r="G126" s="7">
        <v>172000000</v>
      </c>
      <c r="H126" s="7"/>
      <c r="I126" s="7"/>
      <c r="J126" s="7">
        <v>86000000</v>
      </c>
      <c r="K126" s="7">
        <v>373840000</v>
      </c>
      <c r="L126" s="134">
        <f t="shared" si="16"/>
        <v>0.8643370402242303</v>
      </c>
      <c r="M126" s="7" t="str">
        <f t="shared" si="12"/>
        <v>B</v>
      </c>
      <c r="N126" s="7">
        <f t="shared" si="13"/>
        <v>0.63211365853365942</v>
      </c>
      <c r="O126" s="7" t="str">
        <f t="shared" si="14"/>
        <v>Z</v>
      </c>
      <c r="P126" s="7" t="str">
        <f t="shared" si="15"/>
        <v>BZ</v>
      </c>
      <c r="S126" s="6" t="s">
        <v>362</v>
      </c>
      <c r="T126" s="25">
        <v>1</v>
      </c>
      <c r="U126" s="7" t="str">
        <v>CZ</v>
      </c>
      <c r="W126" s="135" t="s">
        <v>363</v>
      </c>
      <c r="X126" s="135">
        <v>1</v>
      </c>
      <c r="Y126" s="7" t="str">
        <v>CY</v>
      </c>
      <c r="Z126" s="104"/>
    </row>
    <row r="127" spans="1:26">
      <c r="A127" s="133" t="s">
        <v>364</v>
      </c>
      <c r="B127" s="7"/>
      <c r="C127" s="7"/>
      <c r="D127" s="7"/>
      <c r="E127" s="7"/>
      <c r="F127" s="7"/>
      <c r="G127" s="7"/>
      <c r="H127" s="7">
        <v>220000000</v>
      </c>
      <c r="I127" s="7"/>
      <c r="J127" s="7">
        <v>150000000</v>
      </c>
      <c r="K127" s="7">
        <v>370000000</v>
      </c>
      <c r="L127" s="134">
        <f t="shared" si="16"/>
        <v>0.86556717820515816</v>
      </c>
      <c r="M127" s="7" t="str">
        <f t="shared" si="12"/>
        <v>B</v>
      </c>
      <c r="N127" s="7">
        <f t="shared" si="13"/>
        <v>0.1891891891891892</v>
      </c>
      <c r="O127" s="7" t="str">
        <f t="shared" si="14"/>
        <v>X</v>
      </c>
      <c r="P127" s="7" t="str">
        <f t="shared" si="15"/>
        <v>BX</v>
      </c>
      <c r="S127" s="6" t="s">
        <v>362</v>
      </c>
      <c r="T127" s="25">
        <v>1</v>
      </c>
      <c r="U127" s="7" t="str">
        <v>CZ</v>
      </c>
      <c r="W127" s="135" t="s">
        <v>365</v>
      </c>
      <c r="X127" s="135">
        <v>1</v>
      </c>
      <c r="Y127" s="7" t="str">
        <v>CZ</v>
      </c>
      <c r="Z127" s="104"/>
    </row>
    <row r="128" spans="1:26">
      <c r="A128" s="133" t="s">
        <v>366</v>
      </c>
      <c r="B128" s="7"/>
      <c r="C128" s="7"/>
      <c r="D128" s="7"/>
      <c r="E128" s="7">
        <v>74000000</v>
      </c>
      <c r="F128" s="7">
        <v>296000000</v>
      </c>
      <c r="G128" s="7"/>
      <c r="H128" s="7"/>
      <c r="I128" s="7"/>
      <c r="J128" s="7"/>
      <c r="K128" s="7">
        <v>370000000</v>
      </c>
      <c r="L128" s="134">
        <f t="shared" si="16"/>
        <v>0.86679731618608602</v>
      </c>
      <c r="M128" s="7" t="str">
        <f t="shared" si="12"/>
        <v>B</v>
      </c>
      <c r="N128" s="7">
        <f t="shared" si="13"/>
        <v>0.6</v>
      </c>
      <c r="O128" s="7" t="str">
        <f t="shared" si="14"/>
        <v>Y</v>
      </c>
      <c r="P128" s="7" t="str">
        <f t="shared" si="15"/>
        <v>BY</v>
      </c>
      <c r="S128" s="6" t="s">
        <v>364</v>
      </c>
      <c r="T128" s="25">
        <v>5</v>
      </c>
      <c r="U128" s="7" t="str">
        <v>BX</v>
      </c>
      <c r="W128" s="135" t="s">
        <v>367</v>
      </c>
      <c r="X128" s="135">
        <v>1</v>
      </c>
      <c r="Y128" s="7" t="str">
        <v>CZ</v>
      </c>
      <c r="Z128" s="104"/>
    </row>
    <row r="129" spans="1:26">
      <c r="A129" s="133" t="s">
        <v>348</v>
      </c>
      <c r="B129" s="7"/>
      <c r="C129" s="7"/>
      <c r="D129" s="7"/>
      <c r="E129" s="7">
        <v>24500000</v>
      </c>
      <c r="F129" s="7"/>
      <c r="G129" s="7">
        <v>37975000</v>
      </c>
      <c r="H129" s="7">
        <v>49000000</v>
      </c>
      <c r="I129" s="7">
        <v>56800000</v>
      </c>
      <c r="J129" s="7">
        <v>198800000</v>
      </c>
      <c r="K129" s="7">
        <v>367075000</v>
      </c>
      <c r="L129" s="134">
        <f t="shared" si="16"/>
        <v>0.86801772942757005</v>
      </c>
      <c r="M129" s="7" t="str">
        <f t="shared" si="12"/>
        <v>B</v>
      </c>
      <c r="N129" s="7">
        <f t="shared" si="13"/>
        <v>0.86668096786696946</v>
      </c>
      <c r="O129" s="7" t="str">
        <f t="shared" si="14"/>
        <v>Z</v>
      </c>
      <c r="P129" s="7" t="str">
        <f t="shared" si="15"/>
        <v>BZ</v>
      </c>
      <c r="S129" s="6" t="s">
        <v>364</v>
      </c>
      <c r="T129" s="25">
        <v>3</v>
      </c>
      <c r="U129" s="7" t="str">
        <v>BX</v>
      </c>
      <c r="W129" s="135" t="s">
        <v>368</v>
      </c>
      <c r="X129" s="135">
        <v>1</v>
      </c>
      <c r="Y129" s="7" t="str">
        <v>BZ</v>
      </c>
      <c r="Z129" s="104"/>
    </row>
    <row r="130" spans="1:26">
      <c r="A130" s="133" t="s">
        <v>159</v>
      </c>
      <c r="B130" s="7">
        <v>19200000</v>
      </c>
      <c r="C130" s="7">
        <v>16980847.52</v>
      </c>
      <c r="D130" s="7">
        <v>5100000</v>
      </c>
      <c r="E130" s="7">
        <v>17612000</v>
      </c>
      <c r="F130" s="7">
        <v>61152400</v>
      </c>
      <c r="G130" s="7">
        <v>104856000</v>
      </c>
      <c r="H130" s="7">
        <v>86224000</v>
      </c>
      <c r="I130" s="7">
        <v>50102400</v>
      </c>
      <c r="J130" s="7"/>
      <c r="K130" s="7">
        <v>361227647.51999998</v>
      </c>
      <c r="L130" s="134">
        <f t="shared" si="16"/>
        <v>0.86921870199236884</v>
      </c>
      <c r="M130" s="7" t="str">
        <f t="shared" si="12"/>
        <v>B</v>
      </c>
      <c r="N130" s="7">
        <f t="shared" si="13"/>
        <v>0.75760368373288878</v>
      </c>
      <c r="O130" s="7" t="str">
        <f t="shared" si="14"/>
        <v>Z</v>
      </c>
      <c r="P130" s="7" t="str">
        <f t="shared" si="15"/>
        <v>BZ</v>
      </c>
      <c r="S130" s="6" t="s">
        <v>317</v>
      </c>
      <c r="T130" s="25">
        <v>1</v>
      </c>
      <c r="U130" s="7" t="str">
        <v>CX</v>
      </c>
      <c r="W130" s="135" t="s">
        <v>369</v>
      </c>
      <c r="X130" s="135">
        <v>1</v>
      </c>
      <c r="Y130" s="7" t="str">
        <v>BZ</v>
      </c>
      <c r="Z130" s="104"/>
    </row>
    <row r="131" spans="1:26">
      <c r="A131" s="133" t="s">
        <v>238</v>
      </c>
      <c r="B131" s="7"/>
      <c r="C131" s="7">
        <v>18400339.760000002</v>
      </c>
      <c r="D131" s="7"/>
      <c r="E131" s="7">
        <v>18400339.760000002</v>
      </c>
      <c r="F131" s="7"/>
      <c r="G131" s="7">
        <v>36800000</v>
      </c>
      <c r="H131" s="7">
        <v>138000000</v>
      </c>
      <c r="I131" s="7">
        <v>46000000</v>
      </c>
      <c r="J131" s="7">
        <v>92000000</v>
      </c>
      <c r="K131" s="7">
        <v>349600679.51999998</v>
      </c>
      <c r="L131" s="134">
        <f t="shared" si="16"/>
        <v>0.87038101840868165</v>
      </c>
      <c r="M131" s="7" t="str">
        <f t="shared" si="12"/>
        <v>B</v>
      </c>
      <c r="N131" s="7">
        <f t="shared" si="13"/>
        <v>0.74431969409724186</v>
      </c>
      <c r="O131" s="7" t="str">
        <f t="shared" si="14"/>
        <v>Z</v>
      </c>
      <c r="P131" s="7" t="str">
        <f t="shared" si="15"/>
        <v>BZ</v>
      </c>
      <c r="S131" s="6" t="s">
        <v>317</v>
      </c>
      <c r="T131" s="25">
        <v>1</v>
      </c>
      <c r="U131" s="7" t="str">
        <v>CX</v>
      </c>
      <c r="W131" s="135" t="s">
        <v>370</v>
      </c>
      <c r="X131" s="135">
        <v>1</v>
      </c>
      <c r="Y131" s="7" t="str">
        <v>BZ</v>
      </c>
      <c r="Z131" s="104"/>
    </row>
    <row r="132" spans="1:26">
      <c r="A132" s="133" t="s">
        <v>371</v>
      </c>
      <c r="B132" s="7"/>
      <c r="C132" s="7"/>
      <c r="D132" s="7"/>
      <c r="E132" s="7">
        <v>36500000</v>
      </c>
      <c r="F132" s="7">
        <v>36500000</v>
      </c>
      <c r="G132" s="7">
        <v>42300000</v>
      </c>
      <c r="H132" s="7">
        <v>82600000</v>
      </c>
      <c r="I132" s="7"/>
      <c r="J132" s="7">
        <v>144550000</v>
      </c>
      <c r="K132" s="7">
        <v>342450000</v>
      </c>
      <c r="L132" s="134">
        <f t="shared" si="16"/>
        <v>0.87151956098048911</v>
      </c>
      <c r="M132" s="7" t="str">
        <f t="shared" si="12"/>
        <v>B</v>
      </c>
      <c r="N132" s="7">
        <f t="shared" si="13"/>
        <v>0.6096318770962843</v>
      </c>
      <c r="O132" s="7" t="str">
        <f t="shared" si="14"/>
        <v>Z</v>
      </c>
      <c r="P132" s="7" t="str">
        <f t="shared" si="15"/>
        <v>BZ</v>
      </c>
      <c r="S132" s="6" t="s">
        <v>372</v>
      </c>
      <c r="T132" s="25">
        <v>1</v>
      </c>
      <c r="U132" s="7" t="str">
        <v>CZ</v>
      </c>
      <c r="W132" s="135" t="s">
        <v>141</v>
      </c>
      <c r="X132" s="135">
        <v>1</v>
      </c>
      <c r="Y132" s="7" t="str">
        <v>AY</v>
      </c>
      <c r="Z132" s="104"/>
    </row>
    <row r="133" spans="1:26">
      <c r="A133" s="133" t="s">
        <v>373</v>
      </c>
      <c r="B133" s="7"/>
      <c r="C133" s="7"/>
      <c r="D133" s="7"/>
      <c r="E133" s="7">
        <v>82000000</v>
      </c>
      <c r="F133" s="7">
        <v>61500000</v>
      </c>
      <c r="G133" s="7">
        <v>64500000</v>
      </c>
      <c r="H133" s="7">
        <v>64500000</v>
      </c>
      <c r="I133" s="7"/>
      <c r="J133" s="7">
        <v>64500000</v>
      </c>
      <c r="K133" s="7">
        <v>337000000</v>
      </c>
      <c r="L133" s="134">
        <f t="shared" si="16"/>
        <v>0.87263998395230713</v>
      </c>
      <c r="M133" s="7" t="str">
        <f t="shared" ref="M133:M196" si="17">IF(L133&lt;=0.8,"A",IF(L133&lt;=0.95,"B","C"))</f>
        <v>B</v>
      </c>
      <c r="N133" s="7">
        <f t="shared" ref="N133:N196" si="18">STDEVP(B133:J133)/AVERAGE(B133:J133)</f>
        <v>0.10967192054941442</v>
      </c>
      <c r="O133" s="7" t="str">
        <f t="shared" ref="O133:O196" si="19">IF(N133=0,"Z",IF(N133&lt;=30%,"X",IF(N133&lt;=60%,"Y","Z")))</f>
        <v>X</v>
      </c>
      <c r="P133" s="7" t="str">
        <f t="shared" ref="P133:P196" si="20">M133&amp;O133</f>
        <v>BX</v>
      </c>
      <c r="S133" s="6" t="s">
        <v>372</v>
      </c>
      <c r="T133" s="25">
        <v>2</v>
      </c>
      <c r="U133" s="7" t="str">
        <v>CZ</v>
      </c>
      <c r="W133" s="135" t="s">
        <v>183</v>
      </c>
      <c r="X133" s="135">
        <v>1</v>
      </c>
      <c r="Y133" s="7" t="str">
        <v>AZ</v>
      </c>
      <c r="Z133" s="104"/>
    </row>
    <row r="134" spans="1:26">
      <c r="A134" s="133" t="s">
        <v>374</v>
      </c>
      <c r="B134" s="7"/>
      <c r="C134" s="7"/>
      <c r="D134" s="7"/>
      <c r="E134" s="7"/>
      <c r="F134" s="7">
        <v>84600000</v>
      </c>
      <c r="G134" s="7"/>
      <c r="H134" s="7">
        <v>82600000</v>
      </c>
      <c r="I134" s="7"/>
      <c r="J134" s="7">
        <v>165200000</v>
      </c>
      <c r="K134" s="7">
        <v>332400000</v>
      </c>
      <c r="L134" s="134">
        <f t="shared" ref="L134:L197" si="21">K134/$K$932+L133</f>
        <v>0.87374511331679472</v>
      </c>
      <c r="M134" s="7" t="str">
        <f t="shared" si="17"/>
        <v>B</v>
      </c>
      <c r="N134" s="7">
        <f t="shared" si="18"/>
        <v>0.3472497603338347</v>
      </c>
      <c r="O134" s="7" t="str">
        <f t="shared" si="19"/>
        <v>Y</v>
      </c>
      <c r="P134" s="7" t="str">
        <f t="shared" si="20"/>
        <v>BY</v>
      </c>
      <c r="S134" s="6" t="s">
        <v>375</v>
      </c>
      <c r="T134" s="25">
        <v>1</v>
      </c>
      <c r="U134" s="7" t="str">
        <v>CY</v>
      </c>
      <c r="W134" s="135" t="s">
        <v>135</v>
      </c>
      <c r="X134" s="135">
        <v>2</v>
      </c>
      <c r="Y134" s="7" t="str">
        <v>AY</v>
      </c>
      <c r="Z134" s="104"/>
    </row>
    <row r="135" spans="1:26">
      <c r="A135" s="133" t="s">
        <v>80</v>
      </c>
      <c r="B135" s="7">
        <v>35909100</v>
      </c>
      <c r="C135" s="7"/>
      <c r="D135" s="7"/>
      <c r="E135" s="7">
        <v>15959600</v>
      </c>
      <c r="F135" s="7">
        <v>31919200</v>
      </c>
      <c r="G135" s="7">
        <v>79798000</v>
      </c>
      <c r="H135" s="7">
        <v>41111000</v>
      </c>
      <c r="I135" s="7">
        <v>121049658</v>
      </c>
      <c r="J135" s="7"/>
      <c r="K135" s="7">
        <v>325746558</v>
      </c>
      <c r="L135" s="134">
        <f t="shared" si="21"/>
        <v>0.87482812200099014</v>
      </c>
      <c r="M135" s="7" t="str">
        <f t="shared" si="17"/>
        <v>B</v>
      </c>
      <c r="N135" s="7">
        <f t="shared" si="18"/>
        <v>0.65505870081646767</v>
      </c>
      <c r="O135" s="7" t="str">
        <f t="shared" si="19"/>
        <v>Z</v>
      </c>
      <c r="P135" s="7" t="str">
        <f t="shared" si="20"/>
        <v>BZ</v>
      </c>
      <c r="S135" s="6" t="s">
        <v>376</v>
      </c>
      <c r="T135" s="25">
        <v>1</v>
      </c>
      <c r="U135" s="7" t="str">
        <v>CZ</v>
      </c>
      <c r="W135" s="135" t="s">
        <v>166</v>
      </c>
      <c r="X135" s="135">
        <v>2</v>
      </c>
      <c r="Y135" s="7" t="str">
        <v>AZ</v>
      </c>
      <c r="Z135" s="104"/>
    </row>
    <row r="136" spans="1:26">
      <c r="A136" s="133" t="s">
        <v>377</v>
      </c>
      <c r="B136" s="7"/>
      <c r="C136" s="7"/>
      <c r="D136" s="7"/>
      <c r="E136" s="7">
        <v>322410000</v>
      </c>
      <c r="F136" s="7"/>
      <c r="G136" s="7"/>
      <c r="H136" s="7"/>
      <c r="I136" s="7">
        <v>3300000</v>
      </c>
      <c r="J136" s="7"/>
      <c r="K136" s="7">
        <v>325710000</v>
      </c>
      <c r="L136" s="134">
        <f t="shared" si="21"/>
        <v>0.8759110091409037</v>
      </c>
      <c r="M136" s="7" t="str">
        <f t="shared" si="17"/>
        <v>B</v>
      </c>
      <c r="N136" s="7">
        <f t="shared" si="18"/>
        <v>0.97973657548125637</v>
      </c>
      <c r="O136" s="7" t="str">
        <f t="shared" si="19"/>
        <v>Z</v>
      </c>
      <c r="P136" s="7" t="str">
        <f t="shared" si="20"/>
        <v>BZ</v>
      </c>
      <c r="S136" s="6" t="s">
        <v>378</v>
      </c>
      <c r="T136" s="25">
        <v>1</v>
      </c>
      <c r="U136" s="7" t="str">
        <v>CY</v>
      </c>
      <c r="W136" s="135" t="s">
        <v>200</v>
      </c>
      <c r="X136" s="135">
        <v>2</v>
      </c>
      <c r="Y136" s="7" t="str">
        <v>AY</v>
      </c>
      <c r="Z136" s="104"/>
    </row>
    <row r="137" spans="1:26">
      <c r="A137" s="133" t="s">
        <v>275</v>
      </c>
      <c r="B137" s="7"/>
      <c r="C137" s="7"/>
      <c r="D137" s="7"/>
      <c r="E137" s="7"/>
      <c r="F137" s="7">
        <v>54000000</v>
      </c>
      <c r="G137" s="7"/>
      <c r="H137" s="7">
        <v>162000000</v>
      </c>
      <c r="I137" s="7"/>
      <c r="J137" s="7">
        <v>108000000</v>
      </c>
      <c r="K137" s="7">
        <v>324000000</v>
      </c>
      <c r="L137" s="134">
        <f t="shared" si="21"/>
        <v>0.87698821104852698</v>
      </c>
      <c r="M137" s="7" t="str">
        <f t="shared" si="17"/>
        <v>B</v>
      </c>
      <c r="N137" s="7">
        <f t="shared" si="18"/>
        <v>0.40824829046386302</v>
      </c>
      <c r="O137" s="7" t="str">
        <f t="shared" si="19"/>
        <v>Y</v>
      </c>
      <c r="P137" s="7" t="str">
        <f t="shared" si="20"/>
        <v>BY</v>
      </c>
      <c r="S137" s="6" t="s">
        <v>378</v>
      </c>
      <c r="T137" s="25">
        <v>2</v>
      </c>
      <c r="U137" s="7" t="str">
        <v>CY</v>
      </c>
      <c r="W137" s="135" t="s">
        <v>102</v>
      </c>
      <c r="X137" s="135">
        <v>3</v>
      </c>
      <c r="Y137" s="7" t="str">
        <v>AZ</v>
      </c>
      <c r="Z137" s="104"/>
    </row>
    <row r="138" spans="1:26">
      <c r="A138" s="133" t="s">
        <v>262</v>
      </c>
      <c r="B138" s="7"/>
      <c r="C138" s="7"/>
      <c r="D138" s="7">
        <v>6000000</v>
      </c>
      <c r="E138" s="7">
        <v>6000000</v>
      </c>
      <c r="F138" s="7"/>
      <c r="G138" s="7">
        <v>18000000</v>
      </c>
      <c r="H138" s="7">
        <v>48000000</v>
      </c>
      <c r="I138" s="7"/>
      <c r="J138" s="7">
        <v>240000000</v>
      </c>
      <c r="K138" s="7">
        <v>318000000</v>
      </c>
      <c r="L138" s="134">
        <f t="shared" si="21"/>
        <v>0.87804546477267575</v>
      </c>
      <c r="M138" s="7" t="str">
        <f t="shared" si="17"/>
        <v>B</v>
      </c>
      <c r="N138" s="7">
        <f t="shared" si="18"/>
        <v>1.4076533927241122</v>
      </c>
      <c r="O138" s="7" t="str">
        <f t="shared" si="19"/>
        <v>Z</v>
      </c>
      <c r="P138" s="7" t="str">
        <f t="shared" si="20"/>
        <v>BZ</v>
      </c>
      <c r="S138" s="6" t="s">
        <v>379</v>
      </c>
      <c r="T138" s="25">
        <v>1</v>
      </c>
      <c r="U138" s="7" t="str">
        <v>CX</v>
      </c>
      <c r="W138" s="135" t="s">
        <v>66</v>
      </c>
      <c r="X138" s="135">
        <v>3</v>
      </c>
      <c r="Y138" s="7" t="str">
        <v>AZ</v>
      </c>
      <c r="Z138" s="104"/>
    </row>
    <row r="139" spans="1:26">
      <c r="A139" s="133" t="s">
        <v>199</v>
      </c>
      <c r="B139" s="7"/>
      <c r="C139" s="7"/>
      <c r="D139" s="7"/>
      <c r="E139" s="7">
        <v>45400000</v>
      </c>
      <c r="F139" s="7">
        <v>4948600</v>
      </c>
      <c r="G139" s="7">
        <v>72640000</v>
      </c>
      <c r="H139" s="7">
        <v>53844400</v>
      </c>
      <c r="I139" s="7">
        <v>45400000</v>
      </c>
      <c r="J139" s="7">
        <v>90800000</v>
      </c>
      <c r="K139" s="7">
        <v>313033000</v>
      </c>
      <c r="L139" s="134">
        <f t="shared" si="21"/>
        <v>0.87908620472560495</v>
      </c>
      <c r="M139" s="7" t="str">
        <f t="shared" si="17"/>
        <v>B</v>
      </c>
      <c r="N139" s="7">
        <f t="shared" si="18"/>
        <v>0.50926566542269436</v>
      </c>
      <c r="O139" s="7" t="str">
        <f t="shared" si="19"/>
        <v>Y</v>
      </c>
      <c r="P139" s="7" t="str">
        <f t="shared" si="20"/>
        <v>BY</v>
      </c>
      <c r="S139" s="6" t="s">
        <v>379</v>
      </c>
      <c r="T139" s="25">
        <v>1</v>
      </c>
      <c r="U139" s="7" t="str">
        <v>CX</v>
      </c>
      <c r="W139" s="135" t="s">
        <v>60</v>
      </c>
      <c r="X139" s="135">
        <v>1</v>
      </c>
      <c r="Y139" s="7" t="str">
        <v>AZ</v>
      </c>
      <c r="Z139" s="104"/>
    </row>
    <row r="140" spans="1:26">
      <c r="A140" s="133" t="s">
        <v>164</v>
      </c>
      <c r="B140" s="7">
        <v>8100000</v>
      </c>
      <c r="C140" s="7">
        <v>6214500</v>
      </c>
      <c r="D140" s="7">
        <v>2147500</v>
      </c>
      <c r="E140" s="7">
        <v>7498000</v>
      </c>
      <c r="F140" s="7">
        <v>22380000</v>
      </c>
      <c r="G140" s="7">
        <v>38664000</v>
      </c>
      <c r="H140" s="7">
        <v>48852000</v>
      </c>
      <c r="I140" s="7">
        <v>131601200</v>
      </c>
      <c r="J140" s="7">
        <v>47362000</v>
      </c>
      <c r="K140" s="7">
        <v>312819200</v>
      </c>
      <c r="L140" s="134">
        <f t="shared" si="21"/>
        <v>0.88012623385826294</v>
      </c>
      <c r="M140" s="7" t="str">
        <f t="shared" si="17"/>
        <v>B</v>
      </c>
      <c r="N140" s="7">
        <f t="shared" si="18"/>
        <v>1.1033533630534325</v>
      </c>
      <c r="O140" s="7" t="str">
        <f t="shared" si="19"/>
        <v>Z</v>
      </c>
      <c r="P140" s="7" t="str">
        <f t="shared" si="20"/>
        <v>BZ</v>
      </c>
      <c r="S140" s="6" t="s">
        <v>380</v>
      </c>
      <c r="T140" s="25">
        <v>1</v>
      </c>
      <c r="U140" s="7" t="str">
        <v>CX</v>
      </c>
      <c r="W140" s="135" t="s">
        <v>162</v>
      </c>
      <c r="X140" s="135">
        <v>1</v>
      </c>
      <c r="Y140" s="7" t="str">
        <v>AY</v>
      </c>
      <c r="Z140" s="104"/>
    </row>
    <row r="141" spans="1:26">
      <c r="A141" s="133" t="s">
        <v>142</v>
      </c>
      <c r="B141" s="7"/>
      <c r="C141" s="7"/>
      <c r="D141" s="7"/>
      <c r="E141" s="7"/>
      <c r="F141" s="7">
        <v>32838422.16</v>
      </c>
      <c r="G141" s="7"/>
      <c r="H141" s="7">
        <v>131353688.64</v>
      </c>
      <c r="I141" s="7">
        <v>65600000</v>
      </c>
      <c r="J141" s="7">
        <v>82000000</v>
      </c>
      <c r="K141" s="7">
        <v>311792110.80000001</v>
      </c>
      <c r="L141" s="134">
        <f t="shared" si="21"/>
        <v>0.88116284823028657</v>
      </c>
      <c r="M141" s="7" t="str">
        <f t="shared" si="17"/>
        <v>B</v>
      </c>
      <c r="N141" s="7">
        <f t="shared" si="18"/>
        <v>0.45610574838978329</v>
      </c>
      <c r="O141" s="7" t="str">
        <f t="shared" si="19"/>
        <v>Y</v>
      </c>
      <c r="P141" s="7" t="str">
        <f t="shared" si="20"/>
        <v>BY</v>
      </c>
      <c r="S141" s="6" t="s">
        <v>380</v>
      </c>
      <c r="T141" s="25">
        <v>1</v>
      </c>
      <c r="U141" s="7" t="str">
        <v>CX</v>
      </c>
      <c r="W141" s="135" t="s">
        <v>179</v>
      </c>
      <c r="X141" s="135">
        <v>1</v>
      </c>
      <c r="Y141" s="7" t="str">
        <v>AY</v>
      </c>
      <c r="Z141" s="104"/>
    </row>
    <row r="142" spans="1:26">
      <c r="A142" s="133" t="s">
        <v>381</v>
      </c>
      <c r="B142" s="7"/>
      <c r="C142" s="7"/>
      <c r="D142" s="7"/>
      <c r="E142" s="7"/>
      <c r="F142" s="7"/>
      <c r="G142" s="7"/>
      <c r="H142" s="7"/>
      <c r="I142" s="7">
        <v>290955000</v>
      </c>
      <c r="J142" s="7">
        <v>17955000</v>
      </c>
      <c r="K142" s="7">
        <v>308910000</v>
      </c>
      <c r="L142" s="134">
        <f t="shared" si="21"/>
        <v>0.88218988045647151</v>
      </c>
      <c r="M142" s="7" t="str">
        <f t="shared" si="17"/>
        <v>B</v>
      </c>
      <c r="N142" s="7">
        <f t="shared" si="18"/>
        <v>0.88375254928619984</v>
      </c>
      <c r="O142" s="7" t="str">
        <f t="shared" si="19"/>
        <v>Z</v>
      </c>
      <c r="P142" s="7" t="str">
        <f t="shared" si="20"/>
        <v>BZ</v>
      </c>
      <c r="S142" s="6" t="s">
        <v>382</v>
      </c>
      <c r="T142" s="25">
        <v>1</v>
      </c>
      <c r="U142" s="7" t="str">
        <v>CZ</v>
      </c>
      <c r="W142" s="135" t="s">
        <v>383</v>
      </c>
      <c r="X142" s="135">
        <v>1</v>
      </c>
      <c r="Y142" s="7" t="str">
        <v>BX</v>
      </c>
      <c r="Z142" s="104"/>
    </row>
    <row r="143" spans="1:26">
      <c r="A143" s="133" t="s">
        <v>384</v>
      </c>
      <c r="B143" s="7"/>
      <c r="C143" s="7"/>
      <c r="D143" s="7"/>
      <c r="E143" s="7">
        <v>30000000</v>
      </c>
      <c r="F143" s="7">
        <v>120000000</v>
      </c>
      <c r="G143" s="7">
        <v>148000000</v>
      </c>
      <c r="H143" s="7"/>
      <c r="I143" s="7"/>
      <c r="J143" s="7"/>
      <c r="K143" s="7">
        <v>298000000</v>
      </c>
      <c r="L143" s="134">
        <f t="shared" si="21"/>
        <v>0.88318064023570531</v>
      </c>
      <c r="M143" s="7" t="str">
        <f t="shared" si="17"/>
        <v>B</v>
      </c>
      <c r="N143" s="7">
        <f t="shared" si="18"/>
        <v>0.50678918466182177</v>
      </c>
      <c r="O143" s="7" t="str">
        <f t="shared" si="19"/>
        <v>Y</v>
      </c>
      <c r="P143" s="7" t="str">
        <f t="shared" si="20"/>
        <v>BY</v>
      </c>
      <c r="S143" s="6" t="s">
        <v>382</v>
      </c>
      <c r="T143" s="25">
        <v>1</v>
      </c>
      <c r="U143" s="7" t="str">
        <v>CZ</v>
      </c>
      <c r="W143" s="135" t="s">
        <v>85</v>
      </c>
      <c r="X143" s="135">
        <v>1</v>
      </c>
      <c r="Y143" s="7" t="str">
        <v>AY</v>
      </c>
      <c r="Z143" s="104"/>
    </row>
    <row r="144" spans="1:26">
      <c r="A144" s="133" t="s">
        <v>332</v>
      </c>
      <c r="B144" s="7"/>
      <c r="C144" s="7"/>
      <c r="D144" s="7">
        <v>46500000</v>
      </c>
      <c r="E144" s="7"/>
      <c r="F144" s="7"/>
      <c r="G144" s="7"/>
      <c r="H144" s="7">
        <v>139500000</v>
      </c>
      <c r="I144" s="7">
        <v>46500000</v>
      </c>
      <c r="J144" s="7">
        <v>59850000</v>
      </c>
      <c r="K144" s="7">
        <v>292350000</v>
      </c>
      <c r="L144" s="134">
        <f t="shared" si="21"/>
        <v>0.88415261547550061</v>
      </c>
      <c r="M144" s="7" t="str">
        <f t="shared" si="17"/>
        <v>B</v>
      </c>
      <c r="N144" s="7">
        <f t="shared" si="18"/>
        <v>0.52989468241982451</v>
      </c>
      <c r="O144" s="7" t="str">
        <f t="shared" si="19"/>
        <v>Y</v>
      </c>
      <c r="P144" s="7" t="str">
        <f t="shared" si="20"/>
        <v>BY</v>
      </c>
      <c r="S144" s="6" t="s">
        <v>385</v>
      </c>
      <c r="T144" s="25">
        <v>1</v>
      </c>
      <c r="U144" s="7" t="str">
        <v>CZ</v>
      </c>
      <c r="W144" s="135" t="s">
        <v>206</v>
      </c>
      <c r="X144" s="135">
        <v>1</v>
      </c>
      <c r="Y144" s="7" t="str">
        <v>AY</v>
      </c>
      <c r="Z144" s="104"/>
    </row>
    <row r="145" spans="1:26">
      <c r="A145" s="133" t="s">
        <v>386</v>
      </c>
      <c r="B145" s="7">
        <v>72505000</v>
      </c>
      <c r="C145" s="7"/>
      <c r="D145" s="7"/>
      <c r="E145" s="7">
        <v>77950000</v>
      </c>
      <c r="F145" s="7">
        <v>19487500</v>
      </c>
      <c r="G145" s="7"/>
      <c r="H145" s="7">
        <v>38975000</v>
      </c>
      <c r="I145" s="7">
        <v>81847500</v>
      </c>
      <c r="J145" s="7"/>
      <c r="K145" s="7">
        <v>290765000</v>
      </c>
      <c r="L145" s="134">
        <f t="shared" si="21"/>
        <v>0.88511932107016134</v>
      </c>
      <c r="M145" s="7" t="str">
        <f t="shared" si="17"/>
        <v>B</v>
      </c>
      <c r="N145" s="7">
        <f t="shared" si="18"/>
        <v>0.42276659833643132</v>
      </c>
      <c r="O145" s="7" t="str">
        <f t="shared" si="19"/>
        <v>Y</v>
      </c>
      <c r="P145" s="7" t="str">
        <f t="shared" si="20"/>
        <v>BY</v>
      </c>
      <c r="S145" s="6" t="s">
        <v>387</v>
      </c>
      <c r="T145" s="25">
        <v>1</v>
      </c>
      <c r="U145" s="7" t="str">
        <v>BY</v>
      </c>
      <c r="W145" s="135" t="s">
        <v>388</v>
      </c>
      <c r="X145" s="135">
        <v>1</v>
      </c>
      <c r="Y145" s="7" t="str">
        <v>CX</v>
      </c>
      <c r="Z145" s="104"/>
    </row>
    <row r="146" spans="1:26">
      <c r="A146" s="133" t="s">
        <v>73</v>
      </c>
      <c r="B146" s="7"/>
      <c r="C146" s="7"/>
      <c r="D146" s="7"/>
      <c r="E146" s="7"/>
      <c r="F146" s="7"/>
      <c r="G146" s="7">
        <v>36132099</v>
      </c>
      <c r="H146" s="7">
        <v>67500000</v>
      </c>
      <c r="I146" s="7">
        <v>29000000</v>
      </c>
      <c r="J146" s="7">
        <v>145000000</v>
      </c>
      <c r="K146" s="7">
        <v>277632099</v>
      </c>
      <c r="L146" s="134">
        <f t="shared" si="21"/>
        <v>0.88604236374503864</v>
      </c>
      <c r="M146" s="7" t="str">
        <f t="shared" si="17"/>
        <v>B</v>
      </c>
      <c r="N146" s="7">
        <f t="shared" si="18"/>
        <v>0.6625080431630157</v>
      </c>
      <c r="O146" s="7" t="str">
        <f t="shared" si="19"/>
        <v>Z</v>
      </c>
      <c r="P146" s="7" t="str">
        <f t="shared" si="20"/>
        <v>BZ</v>
      </c>
      <c r="S146" s="6" t="s">
        <v>389</v>
      </c>
      <c r="T146" s="25">
        <v>1</v>
      </c>
      <c r="U146" s="7" t="str">
        <v>CZ</v>
      </c>
      <c r="W146" s="135" t="s">
        <v>72</v>
      </c>
      <c r="X146" s="135">
        <v>2</v>
      </c>
      <c r="Y146" s="7" t="str">
        <v>AZ</v>
      </c>
      <c r="Z146" s="104"/>
    </row>
    <row r="147" spans="1:26">
      <c r="A147" s="133" t="s">
        <v>390</v>
      </c>
      <c r="B147" s="7"/>
      <c r="C147" s="7"/>
      <c r="D147" s="7"/>
      <c r="E147" s="7">
        <v>55500000</v>
      </c>
      <c r="F147" s="7">
        <v>111000000</v>
      </c>
      <c r="G147" s="7">
        <v>111000000</v>
      </c>
      <c r="H147" s="7"/>
      <c r="I147" s="7"/>
      <c r="J147" s="7"/>
      <c r="K147" s="7">
        <v>277500000</v>
      </c>
      <c r="L147" s="134">
        <f t="shared" si="21"/>
        <v>0.88696496723073448</v>
      </c>
      <c r="M147" s="7" t="str">
        <f t="shared" si="17"/>
        <v>B</v>
      </c>
      <c r="N147" s="7">
        <f t="shared" si="18"/>
        <v>0.28284271247461901</v>
      </c>
      <c r="O147" s="7" t="str">
        <f t="shared" si="19"/>
        <v>X</v>
      </c>
      <c r="P147" s="7" t="str">
        <f t="shared" si="20"/>
        <v>BX</v>
      </c>
      <c r="S147" s="6" t="s">
        <v>389</v>
      </c>
      <c r="T147" s="25">
        <v>1</v>
      </c>
      <c r="U147" s="7" t="str">
        <v>CZ</v>
      </c>
      <c r="W147" s="135" t="s">
        <v>391</v>
      </c>
      <c r="X147" s="135">
        <v>1</v>
      </c>
      <c r="Y147" s="7" t="str">
        <v>CZ</v>
      </c>
      <c r="Z147" s="104"/>
    </row>
    <row r="148" spans="1:26">
      <c r="A148" s="133" t="s">
        <v>392</v>
      </c>
      <c r="B148" s="7"/>
      <c r="C148" s="7"/>
      <c r="D148" s="7"/>
      <c r="E148" s="7">
        <v>55500000</v>
      </c>
      <c r="F148" s="7">
        <v>111000000</v>
      </c>
      <c r="G148" s="7">
        <v>111000000</v>
      </c>
      <c r="H148" s="7"/>
      <c r="I148" s="7"/>
      <c r="J148" s="7"/>
      <c r="K148" s="7">
        <v>277500000</v>
      </c>
      <c r="L148" s="134">
        <f t="shared" si="21"/>
        <v>0.88788757071643032</v>
      </c>
      <c r="M148" s="7" t="str">
        <f t="shared" si="17"/>
        <v>B</v>
      </c>
      <c r="N148" s="7">
        <f t="shared" si="18"/>
        <v>0.28284271247461901</v>
      </c>
      <c r="O148" s="7" t="str">
        <f t="shared" si="19"/>
        <v>X</v>
      </c>
      <c r="P148" s="7" t="str">
        <f t="shared" si="20"/>
        <v>BX</v>
      </c>
      <c r="S148" s="6" t="s">
        <v>393</v>
      </c>
      <c r="T148" s="25">
        <v>1</v>
      </c>
      <c r="U148" s="7" t="str">
        <v>CX</v>
      </c>
      <c r="W148" s="135" t="s">
        <v>235</v>
      </c>
      <c r="X148" s="135">
        <v>1</v>
      </c>
      <c r="Y148" s="7" t="str">
        <v>AX</v>
      </c>
      <c r="Z148" s="104"/>
    </row>
    <row r="149" spans="1:26">
      <c r="A149" s="133" t="s">
        <v>394</v>
      </c>
      <c r="B149" s="7"/>
      <c r="C149" s="7"/>
      <c r="D149" s="7"/>
      <c r="E149" s="7"/>
      <c r="F149" s="7"/>
      <c r="G149" s="7"/>
      <c r="H149" s="7"/>
      <c r="I149" s="7">
        <v>45000</v>
      </c>
      <c r="J149" s="7">
        <v>273555000</v>
      </c>
      <c r="K149" s="7">
        <v>273600000</v>
      </c>
      <c r="L149" s="134">
        <f t="shared" si="21"/>
        <v>0.88879720788286776</v>
      </c>
      <c r="M149" s="7" t="str">
        <f t="shared" si="17"/>
        <v>B</v>
      </c>
      <c r="N149" s="7">
        <f t="shared" si="18"/>
        <v>0.99967105263157896</v>
      </c>
      <c r="O149" s="7" t="str">
        <f t="shared" si="19"/>
        <v>Z</v>
      </c>
      <c r="P149" s="7" t="str">
        <f t="shared" si="20"/>
        <v>BZ</v>
      </c>
      <c r="S149" s="6" t="s">
        <v>393</v>
      </c>
      <c r="T149" s="25">
        <v>1</v>
      </c>
      <c r="U149" s="7" t="str">
        <v>CX</v>
      </c>
      <c r="W149" s="135" t="s">
        <v>395</v>
      </c>
      <c r="X149" s="135">
        <v>1</v>
      </c>
      <c r="Y149" s="7" t="str">
        <v>CZ</v>
      </c>
      <c r="Z149" s="104"/>
    </row>
    <row r="150" spans="1:26">
      <c r="A150" s="133" t="s">
        <v>187</v>
      </c>
      <c r="B150" s="7"/>
      <c r="C150" s="7"/>
      <c r="D150" s="7"/>
      <c r="E150" s="7">
        <v>25179259.5</v>
      </c>
      <c r="F150" s="7">
        <v>85609482.299999997</v>
      </c>
      <c r="G150" s="7">
        <v>162500000</v>
      </c>
      <c r="H150" s="7"/>
      <c r="I150" s="7"/>
      <c r="J150" s="7"/>
      <c r="K150" s="7">
        <v>273288741.80000001</v>
      </c>
      <c r="L150" s="134">
        <f t="shared" si="21"/>
        <v>0.88970581021002493</v>
      </c>
      <c r="M150" s="7" t="str">
        <f t="shared" si="17"/>
        <v>B</v>
      </c>
      <c r="N150" s="7">
        <f t="shared" si="18"/>
        <v>0.61687553808867956</v>
      </c>
      <c r="O150" s="7" t="str">
        <f t="shared" si="19"/>
        <v>Z</v>
      </c>
      <c r="P150" s="7" t="str">
        <f t="shared" si="20"/>
        <v>BZ</v>
      </c>
      <c r="S150" s="6" t="s">
        <v>239</v>
      </c>
      <c r="T150" s="25">
        <v>6</v>
      </c>
      <c r="U150" s="7" t="str">
        <v>AZ</v>
      </c>
      <c r="W150" s="135" t="s">
        <v>396</v>
      </c>
      <c r="X150" s="135">
        <v>1</v>
      </c>
      <c r="Y150" s="7" t="str">
        <v>CZ</v>
      </c>
      <c r="Z150" s="104"/>
    </row>
    <row r="151" spans="1:26">
      <c r="A151" s="133" t="s">
        <v>174</v>
      </c>
      <c r="B151" s="7">
        <v>18670000</v>
      </c>
      <c r="C151" s="7">
        <v>43085000</v>
      </c>
      <c r="D151" s="7">
        <v>11900000</v>
      </c>
      <c r="E151" s="7">
        <v>29724000</v>
      </c>
      <c r="F151" s="7">
        <v>53268000</v>
      </c>
      <c r="G151" s="7">
        <v>45372000</v>
      </c>
      <c r="H151" s="7">
        <v>28224000</v>
      </c>
      <c r="I151" s="7">
        <v>41416800</v>
      </c>
      <c r="J151" s="7"/>
      <c r="K151" s="7">
        <v>271659800</v>
      </c>
      <c r="L151" s="134">
        <f t="shared" si="21"/>
        <v>0.89060899679886618</v>
      </c>
      <c r="M151" s="7" t="str">
        <f t="shared" si="17"/>
        <v>B</v>
      </c>
      <c r="N151" s="7">
        <f t="shared" si="18"/>
        <v>0.39139710709014591</v>
      </c>
      <c r="O151" s="7" t="str">
        <f t="shared" si="19"/>
        <v>Y</v>
      </c>
      <c r="P151" s="7" t="str">
        <f t="shared" si="20"/>
        <v>BY</v>
      </c>
      <c r="S151" s="6" t="s">
        <v>239</v>
      </c>
      <c r="T151" s="25">
        <v>1</v>
      </c>
      <c r="U151" s="7" t="str">
        <v>AZ</v>
      </c>
      <c r="W151" s="135" t="s">
        <v>397</v>
      </c>
      <c r="X151" s="135">
        <v>1</v>
      </c>
      <c r="Y151" s="7" t="str">
        <v>CX</v>
      </c>
      <c r="Z151" s="104"/>
    </row>
    <row r="152" spans="1:26">
      <c r="A152" s="133" t="s">
        <v>398</v>
      </c>
      <c r="B152" s="7">
        <v>85636320</v>
      </c>
      <c r="C152" s="7"/>
      <c r="D152" s="7">
        <v>1427272</v>
      </c>
      <c r="E152" s="7"/>
      <c r="F152" s="7"/>
      <c r="G152" s="7"/>
      <c r="H152" s="7">
        <v>71363600</v>
      </c>
      <c r="I152" s="7">
        <v>107045400</v>
      </c>
      <c r="J152" s="7"/>
      <c r="K152" s="7">
        <v>265472592</v>
      </c>
      <c r="L152" s="134">
        <f t="shared" si="21"/>
        <v>0.89149161279431099</v>
      </c>
      <c r="M152" s="7" t="str">
        <f t="shared" si="17"/>
        <v>B</v>
      </c>
      <c r="N152" s="7">
        <f t="shared" si="18"/>
        <v>0.59645927949929733</v>
      </c>
      <c r="O152" s="7" t="str">
        <f t="shared" si="19"/>
        <v>Y</v>
      </c>
      <c r="P152" s="7" t="str">
        <f t="shared" si="20"/>
        <v>BY</v>
      </c>
      <c r="S152" s="6" t="s">
        <v>239</v>
      </c>
      <c r="T152" s="25">
        <v>3</v>
      </c>
      <c r="U152" s="7" t="str">
        <v>AZ</v>
      </c>
      <c r="W152" s="135" t="s">
        <v>398</v>
      </c>
      <c r="X152" s="135">
        <v>1</v>
      </c>
      <c r="Y152" s="7" t="str">
        <v>BY</v>
      </c>
      <c r="Z152" s="104"/>
    </row>
    <row r="153" spans="1:26">
      <c r="A153" s="133" t="s">
        <v>224</v>
      </c>
      <c r="B153" s="7"/>
      <c r="C153" s="7"/>
      <c r="D153" s="7"/>
      <c r="E153" s="7">
        <v>13800000</v>
      </c>
      <c r="F153" s="7"/>
      <c r="G153" s="7"/>
      <c r="H153" s="7">
        <v>82800000</v>
      </c>
      <c r="I153" s="7">
        <v>89700000</v>
      </c>
      <c r="J153" s="7">
        <v>78660000</v>
      </c>
      <c r="K153" s="7">
        <v>264960000</v>
      </c>
      <c r="L153" s="134">
        <f t="shared" si="21"/>
        <v>0.89237252457654515</v>
      </c>
      <c r="M153" s="7" t="str">
        <f t="shared" si="17"/>
        <v>B</v>
      </c>
      <c r="N153" s="7">
        <f t="shared" si="18"/>
        <v>0.46093014353828304</v>
      </c>
      <c r="O153" s="7" t="str">
        <f t="shared" si="19"/>
        <v>Y</v>
      </c>
      <c r="P153" s="7" t="str">
        <f t="shared" si="20"/>
        <v>BY</v>
      </c>
      <c r="S153" s="6" t="s">
        <v>239</v>
      </c>
      <c r="T153" s="25">
        <v>3</v>
      </c>
      <c r="U153" s="7" t="str">
        <v>AZ</v>
      </c>
      <c r="W153" s="135" t="s">
        <v>399</v>
      </c>
      <c r="X153" s="135">
        <v>1</v>
      </c>
      <c r="Y153" s="7" t="str">
        <v>CZ</v>
      </c>
      <c r="Z153" s="104"/>
    </row>
    <row r="154" spans="1:26">
      <c r="A154" s="133" t="s">
        <v>400</v>
      </c>
      <c r="B154" s="7">
        <v>196625000</v>
      </c>
      <c r="C154" s="7"/>
      <c r="D154" s="7"/>
      <c r="E154" s="7"/>
      <c r="F154" s="7"/>
      <c r="G154" s="7"/>
      <c r="H154" s="7"/>
      <c r="I154" s="7">
        <v>65000000</v>
      </c>
      <c r="J154" s="7"/>
      <c r="K154" s="7">
        <v>261625000</v>
      </c>
      <c r="L154" s="134">
        <f t="shared" si="21"/>
        <v>0.89324234849346473</v>
      </c>
      <c r="M154" s="7" t="str">
        <f t="shared" si="17"/>
        <v>B</v>
      </c>
      <c r="N154" s="7">
        <f t="shared" si="18"/>
        <v>0.50310559006211175</v>
      </c>
      <c r="O154" s="7" t="str">
        <f t="shared" si="19"/>
        <v>Y</v>
      </c>
      <c r="P154" s="7" t="str">
        <f t="shared" si="20"/>
        <v>BY</v>
      </c>
      <c r="S154" s="6" t="s">
        <v>239</v>
      </c>
      <c r="T154" s="25">
        <v>1</v>
      </c>
      <c r="U154" s="7" t="str">
        <v>AZ</v>
      </c>
      <c r="W154" s="135" t="s">
        <v>401</v>
      </c>
      <c r="X154" s="135">
        <v>1</v>
      </c>
      <c r="Y154" s="7" t="str">
        <v>CY</v>
      </c>
      <c r="Z154" s="104"/>
    </row>
    <row r="155" spans="1:26">
      <c r="A155" s="133" t="s">
        <v>402</v>
      </c>
      <c r="B155" s="7"/>
      <c r="C155" s="7"/>
      <c r="D155" s="7"/>
      <c r="E155" s="7"/>
      <c r="F155" s="7">
        <v>257500000</v>
      </c>
      <c r="G155" s="7"/>
      <c r="H155" s="7"/>
      <c r="I155" s="7"/>
      <c r="J155" s="7"/>
      <c r="K155" s="7">
        <v>257500000</v>
      </c>
      <c r="L155" s="134">
        <f t="shared" si="21"/>
        <v>0.89409845803424559</v>
      </c>
      <c r="M155" s="7" t="str">
        <f t="shared" si="17"/>
        <v>B</v>
      </c>
      <c r="N155" s="7">
        <f t="shared" si="18"/>
        <v>0</v>
      </c>
      <c r="O155" s="7" t="str">
        <f t="shared" si="19"/>
        <v>Z</v>
      </c>
      <c r="P155" s="7" t="str">
        <f t="shared" si="20"/>
        <v>BZ</v>
      </c>
      <c r="S155" s="6" t="s">
        <v>266</v>
      </c>
      <c r="T155" s="25">
        <v>1</v>
      </c>
      <c r="U155" s="7" t="str">
        <v>AZ</v>
      </c>
      <c r="W155" s="135" t="s">
        <v>403</v>
      </c>
      <c r="X155" s="135">
        <v>1</v>
      </c>
      <c r="Y155" s="7" t="str">
        <v>CZ</v>
      </c>
      <c r="Z155" s="104"/>
    </row>
    <row r="156" spans="1:26">
      <c r="A156" s="133" t="s">
        <v>404</v>
      </c>
      <c r="B156" s="7"/>
      <c r="C156" s="7"/>
      <c r="D156" s="7"/>
      <c r="E156" s="7">
        <v>57200000</v>
      </c>
      <c r="F156" s="7">
        <v>85800000</v>
      </c>
      <c r="G156" s="7">
        <v>114400000</v>
      </c>
      <c r="H156" s="7"/>
      <c r="I156" s="7"/>
      <c r="J156" s="7"/>
      <c r="K156" s="7">
        <v>257400000</v>
      </c>
      <c r="L156" s="134">
        <f t="shared" si="21"/>
        <v>0.89495423510530192</v>
      </c>
      <c r="M156" s="7" t="str">
        <f t="shared" si="17"/>
        <v>B</v>
      </c>
      <c r="N156" s="7">
        <f t="shared" si="18"/>
        <v>0.27216552697590868</v>
      </c>
      <c r="O156" s="7" t="str">
        <f t="shared" si="19"/>
        <v>X</v>
      </c>
      <c r="P156" s="7" t="str">
        <f t="shared" si="20"/>
        <v>BX</v>
      </c>
      <c r="S156" s="6" t="s">
        <v>266</v>
      </c>
      <c r="T156" s="25">
        <v>4</v>
      </c>
      <c r="U156" s="7" t="str">
        <v>AZ</v>
      </c>
      <c r="W156" s="135" t="s">
        <v>405</v>
      </c>
      <c r="X156" s="135">
        <v>1</v>
      </c>
      <c r="Y156" s="7" t="str">
        <v>CZ</v>
      </c>
      <c r="Z156" s="104"/>
    </row>
    <row r="157" spans="1:26">
      <c r="A157" s="133" t="s">
        <v>406</v>
      </c>
      <c r="B157" s="7"/>
      <c r="C157" s="7"/>
      <c r="D157" s="7"/>
      <c r="E157" s="7"/>
      <c r="F157" s="7">
        <v>50225000</v>
      </c>
      <c r="G157" s="7"/>
      <c r="H157" s="7">
        <v>152110000</v>
      </c>
      <c r="I157" s="7">
        <v>50680000</v>
      </c>
      <c r="J157" s="7"/>
      <c r="K157" s="7">
        <v>253015000</v>
      </c>
      <c r="L157" s="134">
        <f t="shared" si="21"/>
        <v>0.89579543337893563</v>
      </c>
      <c r="M157" s="7" t="str">
        <f t="shared" si="17"/>
        <v>B</v>
      </c>
      <c r="N157" s="7">
        <f t="shared" si="18"/>
        <v>0.56821332817225956</v>
      </c>
      <c r="O157" s="7" t="str">
        <f t="shared" si="19"/>
        <v>Y</v>
      </c>
      <c r="P157" s="7" t="str">
        <f t="shared" si="20"/>
        <v>BY</v>
      </c>
      <c r="S157" s="6" t="s">
        <v>266</v>
      </c>
      <c r="T157" s="25">
        <v>3</v>
      </c>
      <c r="U157" s="7" t="str">
        <v>AZ</v>
      </c>
      <c r="W157" s="135" t="s">
        <v>407</v>
      </c>
      <c r="X157" s="135">
        <v>3</v>
      </c>
      <c r="Y157" s="7" t="str">
        <v>CY</v>
      </c>
      <c r="Z157" s="104"/>
    </row>
    <row r="158" spans="1:26">
      <c r="A158" s="133" t="s">
        <v>408</v>
      </c>
      <c r="B158" s="7"/>
      <c r="C158" s="7"/>
      <c r="D158" s="7"/>
      <c r="E158" s="7">
        <v>49800000</v>
      </c>
      <c r="F158" s="7"/>
      <c r="G158" s="7"/>
      <c r="H158" s="7">
        <v>99900000</v>
      </c>
      <c r="I158" s="7">
        <v>99900000</v>
      </c>
      <c r="J158" s="7"/>
      <c r="K158" s="7">
        <v>249600000</v>
      </c>
      <c r="L158" s="134">
        <f t="shared" si="21"/>
        <v>0.89662527781147505</v>
      </c>
      <c r="M158" s="7" t="str">
        <f t="shared" si="17"/>
        <v>B</v>
      </c>
      <c r="N158" s="7">
        <f t="shared" si="18"/>
        <v>0.28386257802440729</v>
      </c>
      <c r="O158" s="7" t="str">
        <f t="shared" si="19"/>
        <v>X</v>
      </c>
      <c r="P158" s="7" t="str">
        <f t="shared" si="20"/>
        <v>BX</v>
      </c>
      <c r="S158" s="6" t="s">
        <v>266</v>
      </c>
      <c r="T158" s="25">
        <v>3</v>
      </c>
      <c r="U158" s="7" t="str">
        <v>AZ</v>
      </c>
      <c r="W158" s="135" t="s">
        <v>409</v>
      </c>
      <c r="X158" s="135">
        <v>1</v>
      </c>
      <c r="Y158" s="7" t="str">
        <v>CZ</v>
      </c>
      <c r="Z158" s="104"/>
    </row>
    <row r="159" spans="1:26">
      <c r="A159" s="133" t="s">
        <v>410</v>
      </c>
      <c r="B159" s="7"/>
      <c r="C159" s="7"/>
      <c r="D159" s="7"/>
      <c r="E159" s="7">
        <v>17000000</v>
      </c>
      <c r="F159" s="7"/>
      <c r="G159" s="7">
        <v>126000000</v>
      </c>
      <c r="H159" s="7">
        <v>105600000</v>
      </c>
      <c r="I159" s="7"/>
      <c r="J159" s="7"/>
      <c r="K159" s="7">
        <v>248600000</v>
      </c>
      <c r="L159" s="134">
        <f t="shared" si="21"/>
        <v>0.89745179754676874</v>
      </c>
      <c r="M159" s="7" t="str">
        <f t="shared" si="17"/>
        <v>B</v>
      </c>
      <c r="N159" s="7">
        <f t="shared" si="18"/>
        <v>0.57095957737709735</v>
      </c>
      <c r="O159" s="7" t="str">
        <f t="shared" si="19"/>
        <v>Y</v>
      </c>
      <c r="P159" s="7" t="str">
        <f t="shared" si="20"/>
        <v>BY</v>
      </c>
      <c r="S159" s="6" t="s">
        <v>266</v>
      </c>
      <c r="T159" s="25">
        <v>1</v>
      </c>
      <c r="U159" s="7" t="str">
        <v>AZ</v>
      </c>
      <c r="W159" s="135" t="s">
        <v>411</v>
      </c>
      <c r="X159" s="135">
        <v>1</v>
      </c>
      <c r="Y159" s="7" t="str">
        <v>CZ</v>
      </c>
      <c r="Z159" s="104"/>
    </row>
    <row r="160" spans="1:26">
      <c r="A160" s="133" t="s">
        <v>412</v>
      </c>
      <c r="B160" s="7">
        <v>248000000</v>
      </c>
      <c r="C160" s="7"/>
      <c r="D160" s="7"/>
      <c r="E160" s="7"/>
      <c r="F160" s="7"/>
      <c r="G160" s="7"/>
      <c r="H160" s="7"/>
      <c r="I160" s="7"/>
      <c r="J160" s="7"/>
      <c r="K160" s="7">
        <v>248000000</v>
      </c>
      <c r="L160" s="134">
        <f t="shared" si="21"/>
        <v>0.89827632246371492</v>
      </c>
      <c r="M160" s="7" t="str">
        <f t="shared" si="17"/>
        <v>B</v>
      </c>
      <c r="N160" s="7">
        <f t="shared" si="18"/>
        <v>0</v>
      </c>
      <c r="O160" s="7" t="str">
        <f t="shared" si="19"/>
        <v>Z</v>
      </c>
      <c r="P160" s="7" t="str">
        <f t="shared" si="20"/>
        <v>BZ</v>
      </c>
      <c r="S160" s="6" t="s">
        <v>121</v>
      </c>
      <c r="T160" s="25">
        <v>3</v>
      </c>
      <c r="U160" s="7" t="str">
        <v>AZ</v>
      </c>
      <c r="W160" s="135" t="s">
        <v>215</v>
      </c>
      <c r="X160" s="135">
        <v>4</v>
      </c>
      <c r="Y160" s="7" t="str">
        <v>AZ</v>
      </c>
      <c r="Z160" s="104"/>
    </row>
    <row r="161" spans="1:26">
      <c r="A161" s="133" t="s">
        <v>268</v>
      </c>
      <c r="B161" s="7">
        <v>18900000</v>
      </c>
      <c r="C161" s="7"/>
      <c r="D161" s="7"/>
      <c r="E161" s="7">
        <v>18900000</v>
      </c>
      <c r="F161" s="7"/>
      <c r="G161" s="7">
        <v>18900000</v>
      </c>
      <c r="H161" s="7">
        <v>56700000</v>
      </c>
      <c r="I161" s="7">
        <v>56700000</v>
      </c>
      <c r="J161" s="7">
        <v>75600000</v>
      </c>
      <c r="K161" s="7">
        <v>245700000</v>
      </c>
      <c r="L161" s="134">
        <f t="shared" si="21"/>
        <v>0.89909320057699593</v>
      </c>
      <c r="M161" s="7" t="str">
        <f t="shared" si="17"/>
        <v>B</v>
      </c>
      <c r="N161" s="7">
        <f t="shared" si="18"/>
        <v>0.56000845302157831</v>
      </c>
      <c r="O161" s="7" t="str">
        <f t="shared" si="19"/>
        <v>Y</v>
      </c>
      <c r="P161" s="7" t="str">
        <f t="shared" si="20"/>
        <v>BY</v>
      </c>
      <c r="S161" s="6" t="s">
        <v>121</v>
      </c>
      <c r="T161" s="25">
        <v>1</v>
      </c>
      <c r="U161" s="7" t="str">
        <v>AZ</v>
      </c>
      <c r="W161" s="135" t="s">
        <v>413</v>
      </c>
      <c r="X161" s="135">
        <v>1</v>
      </c>
      <c r="Y161" s="7" t="str">
        <v>CZ</v>
      </c>
      <c r="Z161" s="104"/>
    </row>
    <row r="162" spans="1:26">
      <c r="A162" s="133" t="s">
        <v>414</v>
      </c>
      <c r="B162" s="7"/>
      <c r="C162" s="7">
        <v>45295031.100000001</v>
      </c>
      <c r="D162" s="7"/>
      <c r="E162" s="7">
        <v>12351077.1</v>
      </c>
      <c r="F162" s="7">
        <v>12300000</v>
      </c>
      <c r="G162" s="7">
        <v>12300000</v>
      </c>
      <c r="H162" s="7">
        <v>135300000</v>
      </c>
      <c r="I162" s="7">
        <v>12300000</v>
      </c>
      <c r="J162" s="7">
        <v>12300000</v>
      </c>
      <c r="K162" s="7">
        <v>242146108.19999999</v>
      </c>
      <c r="L162" s="134">
        <f t="shared" si="21"/>
        <v>0.89989826307599774</v>
      </c>
      <c r="M162" s="7" t="str">
        <f t="shared" si="17"/>
        <v>B</v>
      </c>
      <c r="N162" s="7">
        <f t="shared" si="18"/>
        <v>1.2332184427685522</v>
      </c>
      <c r="O162" s="7" t="str">
        <f t="shared" si="19"/>
        <v>Z</v>
      </c>
      <c r="P162" s="7" t="str">
        <f t="shared" si="20"/>
        <v>BZ</v>
      </c>
      <c r="S162" s="6" t="s">
        <v>415</v>
      </c>
      <c r="T162" s="25">
        <v>1</v>
      </c>
      <c r="U162" s="7" t="str">
        <v>CX</v>
      </c>
      <c r="W162" s="135" t="s">
        <v>91</v>
      </c>
      <c r="X162" s="135">
        <v>1</v>
      </c>
      <c r="Y162" s="7" t="str">
        <v>AX</v>
      </c>
      <c r="Z162" s="104"/>
    </row>
    <row r="163" spans="1:26">
      <c r="A163" s="133" t="s">
        <v>416</v>
      </c>
      <c r="B163" s="7"/>
      <c r="C163" s="7"/>
      <c r="D163" s="7"/>
      <c r="E163" s="7">
        <v>134000000</v>
      </c>
      <c r="F163" s="7">
        <v>108000000</v>
      </c>
      <c r="G163" s="7"/>
      <c r="H163" s="7"/>
      <c r="I163" s="7"/>
      <c r="J163" s="7"/>
      <c r="K163" s="7">
        <v>242000000</v>
      </c>
      <c r="L163" s="134">
        <f t="shared" si="21"/>
        <v>0.90070283980946941</v>
      </c>
      <c r="M163" s="7" t="str">
        <f t="shared" si="17"/>
        <v>B</v>
      </c>
      <c r="N163" s="7">
        <f t="shared" si="18"/>
        <v>0.10743801652892562</v>
      </c>
      <c r="O163" s="7" t="str">
        <f t="shared" si="19"/>
        <v>X</v>
      </c>
      <c r="P163" s="7" t="str">
        <f t="shared" si="20"/>
        <v>BX</v>
      </c>
      <c r="S163" s="6" t="s">
        <v>417</v>
      </c>
      <c r="T163" s="25">
        <v>2</v>
      </c>
      <c r="U163" s="7" t="str">
        <v>CY</v>
      </c>
      <c r="W163" s="135" t="s">
        <v>282</v>
      </c>
      <c r="X163" s="135">
        <v>1</v>
      </c>
      <c r="Y163" s="7" t="str">
        <v>AX</v>
      </c>
      <c r="Z163" s="104"/>
    </row>
    <row r="164" spans="1:26">
      <c r="A164" s="133" t="s">
        <v>418</v>
      </c>
      <c r="B164" s="7"/>
      <c r="C164" s="7"/>
      <c r="D164" s="7"/>
      <c r="E164" s="7"/>
      <c r="F164" s="7">
        <v>238998240</v>
      </c>
      <c r="G164" s="7"/>
      <c r="H164" s="7"/>
      <c r="I164" s="7"/>
      <c r="J164" s="7"/>
      <c r="K164" s="7">
        <v>238998240</v>
      </c>
      <c r="L164" s="134">
        <f t="shared" si="21"/>
        <v>0.90149743659973669</v>
      </c>
      <c r="M164" s="7" t="str">
        <f t="shared" si="17"/>
        <v>B</v>
      </c>
      <c r="N164" s="7">
        <f t="shared" si="18"/>
        <v>0</v>
      </c>
      <c r="O164" s="7" t="str">
        <f t="shared" si="19"/>
        <v>Z</v>
      </c>
      <c r="P164" s="7" t="str">
        <f t="shared" si="20"/>
        <v>BZ</v>
      </c>
      <c r="S164" s="6" t="s">
        <v>419</v>
      </c>
      <c r="T164" s="25">
        <v>1</v>
      </c>
      <c r="U164" s="7" t="str">
        <v>CZ</v>
      </c>
      <c r="W164" s="135" t="s">
        <v>420</v>
      </c>
      <c r="X164" s="135">
        <v>1</v>
      </c>
      <c r="Y164" s="7" t="str">
        <v>CZ</v>
      </c>
      <c r="Z164" s="104"/>
    </row>
    <row r="165" spans="1:26">
      <c r="A165" s="133" t="s">
        <v>421</v>
      </c>
      <c r="B165" s="7"/>
      <c r="C165" s="7"/>
      <c r="D165" s="7"/>
      <c r="E165" s="7"/>
      <c r="F165" s="7"/>
      <c r="G165" s="7"/>
      <c r="H165" s="7"/>
      <c r="I165" s="7">
        <v>228000000</v>
      </c>
      <c r="J165" s="7"/>
      <c r="K165" s="7">
        <v>228000000</v>
      </c>
      <c r="L165" s="134">
        <f t="shared" si="21"/>
        <v>0.90225546757176789</v>
      </c>
      <c r="M165" s="7" t="str">
        <f t="shared" si="17"/>
        <v>B</v>
      </c>
      <c r="N165" s="7">
        <f t="shared" si="18"/>
        <v>0</v>
      </c>
      <c r="O165" s="7" t="str">
        <f t="shared" si="19"/>
        <v>Z</v>
      </c>
      <c r="P165" s="7" t="str">
        <f t="shared" si="20"/>
        <v>BZ</v>
      </c>
      <c r="S165" s="6" t="s">
        <v>422</v>
      </c>
      <c r="T165" s="25">
        <v>1</v>
      </c>
      <c r="U165" s="7" t="str">
        <v>CZ</v>
      </c>
      <c r="W165" s="135" t="s">
        <v>423</v>
      </c>
      <c r="X165" s="135">
        <v>1</v>
      </c>
      <c r="Y165" s="7" t="str">
        <v>BZ</v>
      </c>
      <c r="Z165" s="104"/>
    </row>
    <row r="166" spans="1:26">
      <c r="A166" s="133" t="s">
        <v>424</v>
      </c>
      <c r="B166" s="7"/>
      <c r="C166" s="7"/>
      <c r="D166" s="7"/>
      <c r="E166" s="7"/>
      <c r="F166" s="7">
        <v>227000000</v>
      </c>
      <c r="G166" s="7"/>
      <c r="H166" s="7"/>
      <c r="I166" s="7"/>
      <c r="J166" s="7"/>
      <c r="K166" s="7">
        <v>227000000</v>
      </c>
      <c r="L166" s="134">
        <f t="shared" si="21"/>
        <v>0.90301017384655335</v>
      </c>
      <c r="M166" s="7" t="str">
        <f t="shared" si="17"/>
        <v>B</v>
      </c>
      <c r="N166" s="7">
        <f t="shared" si="18"/>
        <v>0</v>
      </c>
      <c r="O166" s="7" t="str">
        <f t="shared" si="19"/>
        <v>Z</v>
      </c>
      <c r="P166" s="7" t="str">
        <f t="shared" si="20"/>
        <v>BZ</v>
      </c>
      <c r="S166" s="6" t="s">
        <v>425</v>
      </c>
      <c r="T166" s="25">
        <v>1</v>
      </c>
      <c r="U166" s="7" t="str">
        <v>CZ</v>
      </c>
      <c r="W166" s="135" t="s">
        <v>426</v>
      </c>
      <c r="X166" s="135">
        <v>1</v>
      </c>
      <c r="Y166" s="7" t="str">
        <v>CZ</v>
      </c>
      <c r="Z166" s="104"/>
    </row>
    <row r="167" spans="1:26">
      <c r="A167" s="133" t="s">
        <v>427</v>
      </c>
      <c r="B167" s="7"/>
      <c r="C167" s="7"/>
      <c r="D167" s="7"/>
      <c r="E167" s="7">
        <v>220500000</v>
      </c>
      <c r="F167" s="7"/>
      <c r="G167" s="7"/>
      <c r="H167" s="7"/>
      <c r="I167" s="7"/>
      <c r="J167" s="7"/>
      <c r="K167" s="7">
        <v>220500000</v>
      </c>
      <c r="L167" s="134">
        <f t="shared" si="21"/>
        <v>0.90374326958924145</v>
      </c>
      <c r="M167" s="7" t="str">
        <f t="shared" si="17"/>
        <v>B</v>
      </c>
      <c r="N167" s="7">
        <f t="shared" si="18"/>
        <v>0</v>
      </c>
      <c r="O167" s="7" t="str">
        <f t="shared" si="19"/>
        <v>Z</v>
      </c>
      <c r="P167" s="7" t="str">
        <f t="shared" si="20"/>
        <v>BZ</v>
      </c>
      <c r="S167" s="6" t="s">
        <v>321</v>
      </c>
      <c r="T167" s="25">
        <v>1</v>
      </c>
      <c r="U167" s="7" t="str">
        <v>CX</v>
      </c>
      <c r="W167" s="135" t="s">
        <v>428</v>
      </c>
      <c r="X167" s="135">
        <v>1</v>
      </c>
      <c r="Y167" s="7" t="str">
        <v>CZ</v>
      </c>
      <c r="Z167" s="104"/>
    </row>
    <row r="168" spans="1:26">
      <c r="A168" s="133" t="s">
        <v>429</v>
      </c>
      <c r="B168" s="7"/>
      <c r="C168" s="7">
        <v>20000000</v>
      </c>
      <c r="D168" s="7"/>
      <c r="E168" s="7"/>
      <c r="F168" s="7">
        <v>20000000</v>
      </c>
      <c r="G168" s="7">
        <v>20000000</v>
      </c>
      <c r="H168" s="7">
        <v>160000000</v>
      </c>
      <c r="I168" s="7"/>
      <c r="J168" s="7"/>
      <c r="K168" s="7">
        <v>220000000</v>
      </c>
      <c r="L168" s="134">
        <f t="shared" si="21"/>
        <v>0.90447470298330668</v>
      </c>
      <c r="M168" s="7" t="str">
        <f t="shared" si="17"/>
        <v>B</v>
      </c>
      <c r="N168" s="7">
        <f t="shared" si="18"/>
        <v>1.1022141502711038</v>
      </c>
      <c r="O168" s="7" t="str">
        <f t="shared" si="19"/>
        <v>Z</v>
      </c>
      <c r="P168" s="7" t="str">
        <f t="shared" si="20"/>
        <v>BZ</v>
      </c>
      <c r="S168" s="6" t="s">
        <v>430</v>
      </c>
      <c r="T168" s="25">
        <v>3</v>
      </c>
      <c r="U168" s="7" t="str">
        <v>BZ</v>
      </c>
      <c r="W168" s="135" t="s">
        <v>223</v>
      </c>
      <c r="X168" s="135">
        <v>1</v>
      </c>
      <c r="Y168" s="7" t="str">
        <v>AZ</v>
      </c>
      <c r="Z168" s="104"/>
    </row>
    <row r="169" spans="1:26">
      <c r="A169" s="133" t="s">
        <v>240</v>
      </c>
      <c r="B169" s="7">
        <v>9450000</v>
      </c>
      <c r="C169" s="7"/>
      <c r="D169" s="7"/>
      <c r="E169" s="7"/>
      <c r="F169" s="7">
        <v>18500000</v>
      </c>
      <c r="G169" s="7">
        <v>39000000</v>
      </c>
      <c r="H169" s="7">
        <v>77000000</v>
      </c>
      <c r="I169" s="7">
        <v>57000000</v>
      </c>
      <c r="J169" s="7">
        <v>19000000</v>
      </c>
      <c r="K169" s="7">
        <v>219950000</v>
      </c>
      <c r="L169" s="134">
        <f t="shared" si="21"/>
        <v>0.90520597014250959</v>
      </c>
      <c r="M169" s="7" t="str">
        <f t="shared" si="17"/>
        <v>B</v>
      </c>
      <c r="N169" s="7">
        <f t="shared" si="18"/>
        <v>0.65208924066774732</v>
      </c>
      <c r="O169" s="7" t="str">
        <f t="shared" si="19"/>
        <v>Z</v>
      </c>
      <c r="P169" s="7" t="str">
        <f t="shared" si="20"/>
        <v>BZ</v>
      </c>
      <c r="S169" s="6" t="s">
        <v>430</v>
      </c>
      <c r="T169" s="25">
        <v>3</v>
      </c>
      <c r="U169" s="7" t="str">
        <v>BZ</v>
      </c>
      <c r="W169" s="135" t="s">
        <v>431</v>
      </c>
      <c r="X169" s="135">
        <v>3</v>
      </c>
      <c r="Y169" s="7" t="str">
        <v>CY</v>
      </c>
      <c r="Z169" s="104"/>
    </row>
    <row r="170" spans="1:26">
      <c r="A170" s="133" t="s">
        <v>432</v>
      </c>
      <c r="B170" s="7">
        <v>218726700</v>
      </c>
      <c r="C170" s="7"/>
      <c r="D170" s="7"/>
      <c r="E170" s="7"/>
      <c r="F170" s="7"/>
      <c r="G170" s="7"/>
      <c r="H170" s="7"/>
      <c r="I170" s="7"/>
      <c r="J170" s="7"/>
      <c r="K170" s="7">
        <v>218726700</v>
      </c>
      <c r="L170" s="134">
        <f t="shared" si="21"/>
        <v>0.90593317019957176</v>
      </c>
      <c r="M170" s="7" t="str">
        <f t="shared" si="17"/>
        <v>B</v>
      </c>
      <c r="N170" s="7">
        <f t="shared" si="18"/>
        <v>0</v>
      </c>
      <c r="O170" s="7" t="str">
        <f t="shared" si="19"/>
        <v>Z</v>
      </c>
      <c r="P170" s="7" t="str">
        <f t="shared" si="20"/>
        <v>BZ</v>
      </c>
      <c r="S170" s="6" t="s">
        <v>430</v>
      </c>
      <c r="T170" s="25">
        <v>2</v>
      </c>
      <c r="U170" s="7" t="str">
        <v>BZ</v>
      </c>
      <c r="W170" s="135" t="s">
        <v>433</v>
      </c>
      <c r="X170" s="135">
        <v>3</v>
      </c>
      <c r="Y170" s="7" t="str">
        <v>BY</v>
      </c>
      <c r="Z170" s="104"/>
    </row>
    <row r="171" spans="1:26">
      <c r="A171" s="133" t="s">
        <v>434</v>
      </c>
      <c r="B171" s="7"/>
      <c r="C171" s="7"/>
      <c r="D171" s="7"/>
      <c r="E171" s="7"/>
      <c r="F171" s="7"/>
      <c r="G171" s="7"/>
      <c r="H171" s="7">
        <v>121095000</v>
      </c>
      <c r="I171" s="7">
        <v>95733000</v>
      </c>
      <c r="J171" s="7"/>
      <c r="K171" s="7">
        <v>216828000</v>
      </c>
      <c r="L171" s="134">
        <f t="shared" si="21"/>
        <v>0.90665405765397344</v>
      </c>
      <c r="M171" s="7" t="str">
        <f t="shared" si="17"/>
        <v>B</v>
      </c>
      <c r="N171" s="7">
        <f t="shared" si="18"/>
        <v>0.11696828822845758</v>
      </c>
      <c r="O171" s="7" t="str">
        <f t="shared" si="19"/>
        <v>X</v>
      </c>
      <c r="P171" s="7" t="str">
        <f t="shared" si="20"/>
        <v>BX</v>
      </c>
      <c r="S171" s="6" t="s">
        <v>435</v>
      </c>
      <c r="T171" s="25">
        <v>1</v>
      </c>
      <c r="U171" s="7" t="str">
        <v>CZ</v>
      </c>
      <c r="W171" s="135" t="s">
        <v>436</v>
      </c>
      <c r="X171" s="135">
        <v>1</v>
      </c>
      <c r="Y171" s="7" t="str">
        <v>CY</v>
      </c>
      <c r="Z171" s="104"/>
    </row>
    <row r="172" spans="1:26">
      <c r="A172" s="133" t="s">
        <v>369</v>
      </c>
      <c r="B172" s="7"/>
      <c r="C172" s="7"/>
      <c r="D172" s="7"/>
      <c r="E172" s="7"/>
      <c r="F172" s="7"/>
      <c r="G172" s="7"/>
      <c r="H172" s="7"/>
      <c r="I172" s="7"/>
      <c r="J172" s="7">
        <v>211900000</v>
      </c>
      <c r="K172" s="7">
        <v>211900000</v>
      </c>
      <c r="L172" s="134">
        <f t="shared" si="21"/>
        <v>0.90735856100034806</v>
      </c>
      <c r="M172" s="7" t="str">
        <f t="shared" si="17"/>
        <v>B</v>
      </c>
      <c r="N172" s="7">
        <f t="shared" si="18"/>
        <v>0</v>
      </c>
      <c r="O172" s="7" t="str">
        <f t="shared" si="19"/>
        <v>Z</v>
      </c>
      <c r="P172" s="7" t="str">
        <f t="shared" si="20"/>
        <v>BZ</v>
      </c>
      <c r="S172" s="6" t="s">
        <v>437</v>
      </c>
      <c r="T172" s="25">
        <v>2</v>
      </c>
      <c r="U172" s="7" t="str">
        <v>BY</v>
      </c>
      <c r="W172" s="135" t="s">
        <v>263</v>
      </c>
      <c r="X172" s="135">
        <v>1</v>
      </c>
      <c r="Y172" s="7" t="str">
        <v>AZ</v>
      </c>
      <c r="Z172" s="104"/>
    </row>
    <row r="173" spans="1:26">
      <c r="A173" s="133" t="s">
        <v>313</v>
      </c>
      <c r="B173" s="7">
        <v>25500000</v>
      </c>
      <c r="C173" s="7"/>
      <c r="D173" s="7">
        <v>25500000</v>
      </c>
      <c r="E173" s="7">
        <v>25500000</v>
      </c>
      <c r="F173" s="7"/>
      <c r="G173" s="7">
        <v>35100000</v>
      </c>
      <c r="H173" s="7">
        <v>42120000</v>
      </c>
      <c r="I173" s="7">
        <v>56160000</v>
      </c>
      <c r="J173" s="7"/>
      <c r="K173" s="7">
        <v>209880000</v>
      </c>
      <c r="L173" s="134">
        <f t="shared" si="21"/>
        <v>0.90805634845828631</v>
      </c>
      <c r="M173" s="7" t="str">
        <f t="shared" si="17"/>
        <v>B</v>
      </c>
      <c r="N173" s="7">
        <f t="shared" si="18"/>
        <v>0.32368571240382321</v>
      </c>
      <c r="O173" s="7" t="str">
        <f t="shared" si="19"/>
        <v>Y</v>
      </c>
      <c r="P173" s="7" t="str">
        <f t="shared" si="20"/>
        <v>BY</v>
      </c>
      <c r="S173" s="6" t="s">
        <v>437</v>
      </c>
      <c r="T173" s="25">
        <v>1</v>
      </c>
      <c r="U173" s="7" t="str">
        <v>BY</v>
      </c>
      <c r="W173" s="135" t="s">
        <v>438</v>
      </c>
      <c r="X173" s="135">
        <v>1</v>
      </c>
      <c r="Y173" s="7" t="str">
        <v>CY</v>
      </c>
      <c r="Z173" s="104"/>
    </row>
    <row r="174" spans="1:26">
      <c r="A174" s="133" t="s">
        <v>439</v>
      </c>
      <c r="B174" s="7"/>
      <c r="C174" s="7"/>
      <c r="D174" s="7"/>
      <c r="E174" s="7"/>
      <c r="F174" s="7"/>
      <c r="G174" s="7"/>
      <c r="H174" s="7"/>
      <c r="I174" s="7">
        <v>109000000</v>
      </c>
      <c r="J174" s="7">
        <v>100000000</v>
      </c>
      <c r="K174" s="7">
        <v>209000000</v>
      </c>
      <c r="L174" s="134">
        <f t="shared" si="21"/>
        <v>0.90875121018264826</v>
      </c>
      <c r="M174" s="7" t="str">
        <f t="shared" si="17"/>
        <v>B</v>
      </c>
      <c r="N174" s="7">
        <f t="shared" si="18"/>
        <v>4.3062200956937802E-2</v>
      </c>
      <c r="O174" s="7" t="str">
        <f t="shared" si="19"/>
        <v>X</v>
      </c>
      <c r="P174" s="7" t="str">
        <f t="shared" si="20"/>
        <v>BX</v>
      </c>
      <c r="S174" s="6" t="s">
        <v>326</v>
      </c>
      <c r="T174" s="25">
        <v>1</v>
      </c>
      <c r="U174" s="7" t="str">
        <v>CY</v>
      </c>
      <c r="W174" s="135" t="s">
        <v>128</v>
      </c>
      <c r="X174" s="135">
        <v>1</v>
      </c>
      <c r="Y174" s="7" t="str">
        <v>AZ</v>
      </c>
      <c r="Z174" s="104"/>
    </row>
    <row r="175" spans="1:26">
      <c r="A175" s="133" t="s">
        <v>153</v>
      </c>
      <c r="B175" s="7">
        <v>2520000</v>
      </c>
      <c r="C175" s="7">
        <v>4144188.3600000003</v>
      </c>
      <c r="D175" s="7">
        <v>900000</v>
      </c>
      <c r="E175" s="7">
        <v>5583000</v>
      </c>
      <c r="F175" s="7">
        <v>1248000</v>
      </c>
      <c r="G175" s="7">
        <v>3276000</v>
      </c>
      <c r="H175" s="7">
        <v>32184000</v>
      </c>
      <c r="I175" s="7">
        <v>108194400</v>
      </c>
      <c r="J175" s="7">
        <v>49878000</v>
      </c>
      <c r="K175" s="7">
        <v>207927588.36000001</v>
      </c>
      <c r="L175" s="134">
        <f t="shared" si="21"/>
        <v>0.90944250646298441</v>
      </c>
      <c r="M175" s="7" t="str">
        <f t="shared" si="17"/>
        <v>B</v>
      </c>
      <c r="N175" s="7">
        <f t="shared" si="18"/>
        <v>1.4779954560497541</v>
      </c>
      <c r="O175" s="7" t="str">
        <f t="shared" si="19"/>
        <v>Z</v>
      </c>
      <c r="P175" s="7" t="str">
        <f t="shared" si="20"/>
        <v>BZ</v>
      </c>
      <c r="S175" s="6" t="s">
        <v>326</v>
      </c>
      <c r="T175" s="25">
        <v>2</v>
      </c>
      <c r="U175" s="7" t="str">
        <v>CY</v>
      </c>
      <c r="W175" s="135" t="s">
        <v>440</v>
      </c>
      <c r="X175" s="135">
        <v>1</v>
      </c>
      <c r="Y175" s="7" t="str">
        <v>CZ</v>
      </c>
      <c r="Z175" s="104"/>
    </row>
    <row r="176" spans="1:26">
      <c r="A176" s="133" t="s">
        <v>441</v>
      </c>
      <c r="B176" s="7"/>
      <c r="C176" s="7"/>
      <c r="D176" s="7"/>
      <c r="E176" s="7"/>
      <c r="F176" s="7"/>
      <c r="G176" s="7">
        <v>102000000</v>
      </c>
      <c r="H176" s="7">
        <v>10000</v>
      </c>
      <c r="I176" s="7"/>
      <c r="J176" s="7">
        <v>102000000</v>
      </c>
      <c r="K176" s="7">
        <v>204010000</v>
      </c>
      <c r="L176" s="134">
        <f t="shared" si="21"/>
        <v>0.9101207779480901</v>
      </c>
      <c r="M176" s="7" t="str">
        <f t="shared" si="17"/>
        <v>B</v>
      </c>
      <c r="N176" s="7">
        <f t="shared" si="18"/>
        <v>0.70700279999231397</v>
      </c>
      <c r="O176" s="7" t="str">
        <f t="shared" si="19"/>
        <v>Z</v>
      </c>
      <c r="P176" s="7" t="str">
        <f t="shared" si="20"/>
        <v>BZ</v>
      </c>
      <c r="S176" s="6" t="s">
        <v>326</v>
      </c>
      <c r="T176" s="25">
        <v>1</v>
      </c>
      <c r="U176" s="7" t="str">
        <v>CY</v>
      </c>
      <c r="W176" s="135" t="s">
        <v>400</v>
      </c>
      <c r="X176" s="135">
        <v>1</v>
      </c>
      <c r="Y176" s="7" t="str">
        <v>BY</v>
      </c>
      <c r="Z176" s="104"/>
    </row>
    <row r="177" spans="1:26">
      <c r="A177" s="133" t="s">
        <v>442</v>
      </c>
      <c r="B177" s="7"/>
      <c r="C177" s="7"/>
      <c r="D177" s="7"/>
      <c r="E177" s="7"/>
      <c r="F177" s="7"/>
      <c r="G177" s="7"/>
      <c r="H177" s="7">
        <v>201600000</v>
      </c>
      <c r="I177" s="7"/>
      <c r="J177" s="7"/>
      <c r="K177" s="7">
        <v>201600000</v>
      </c>
      <c r="L177" s="134">
        <f t="shared" si="21"/>
        <v>0.91079103691283347</v>
      </c>
      <c r="M177" s="7" t="str">
        <f t="shared" si="17"/>
        <v>B</v>
      </c>
      <c r="N177" s="7">
        <f t="shared" si="18"/>
        <v>0</v>
      </c>
      <c r="O177" s="7" t="str">
        <f t="shared" si="19"/>
        <v>Z</v>
      </c>
      <c r="P177" s="7" t="str">
        <f t="shared" si="20"/>
        <v>BZ</v>
      </c>
      <c r="S177" s="6" t="s">
        <v>443</v>
      </c>
      <c r="T177" s="25">
        <v>3</v>
      </c>
      <c r="U177" s="7" t="str">
        <v>CZ</v>
      </c>
      <c r="W177" s="135" t="s">
        <v>444</v>
      </c>
      <c r="X177" s="135">
        <v>1</v>
      </c>
      <c r="Y177" s="7" t="str">
        <v>CZ</v>
      </c>
      <c r="Z177" s="104"/>
    </row>
    <row r="178" spans="1:26">
      <c r="A178" s="133" t="s">
        <v>445</v>
      </c>
      <c r="B178" s="7"/>
      <c r="C178" s="7"/>
      <c r="D178" s="7"/>
      <c r="E178" s="7"/>
      <c r="F178" s="7"/>
      <c r="G178" s="7"/>
      <c r="H178" s="7"/>
      <c r="I178" s="7">
        <v>196800000</v>
      </c>
      <c r="J178" s="7"/>
      <c r="K178" s="7">
        <v>196800000</v>
      </c>
      <c r="L178" s="134">
        <f t="shared" si="21"/>
        <v>0.91144533733079725</v>
      </c>
      <c r="M178" s="7" t="str">
        <f t="shared" si="17"/>
        <v>B</v>
      </c>
      <c r="N178" s="7">
        <f t="shared" si="18"/>
        <v>0</v>
      </c>
      <c r="O178" s="7" t="str">
        <f t="shared" si="19"/>
        <v>Z</v>
      </c>
      <c r="P178" s="7" t="str">
        <f t="shared" si="20"/>
        <v>BZ</v>
      </c>
      <c r="S178" s="6" t="s">
        <v>446</v>
      </c>
      <c r="T178" s="25">
        <v>1</v>
      </c>
      <c r="U178" s="7" t="str">
        <v>BX</v>
      </c>
      <c r="W178" s="135" t="s">
        <v>447</v>
      </c>
      <c r="X178" s="135">
        <v>1</v>
      </c>
      <c r="Y178" s="7" t="str">
        <v>BZ</v>
      </c>
      <c r="Z178" s="104"/>
    </row>
    <row r="179" spans="1:26">
      <c r="A179" s="133" t="s">
        <v>109</v>
      </c>
      <c r="B179" s="7">
        <v>8345400</v>
      </c>
      <c r="C179" s="7"/>
      <c r="D179" s="7"/>
      <c r="E179" s="7">
        <v>8345400</v>
      </c>
      <c r="F179" s="7">
        <v>20863500</v>
      </c>
      <c r="G179" s="7">
        <v>54245100</v>
      </c>
      <c r="H179" s="7"/>
      <c r="I179" s="7">
        <v>62590500</v>
      </c>
      <c r="J179" s="7">
        <v>41727000</v>
      </c>
      <c r="K179" s="7">
        <v>196116900</v>
      </c>
      <c r="L179" s="134">
        <f t="shared" si="21"/>
        <v>0.91209736664807251</v>
      </c>
      <c r="M179" s="7" t="str">
        <f t="shared" si="17"/>
        <v>B</v>
      </c>
      <c r="N179" s="7">
        <f t="shared" si="18"/>
        <v>0.65682336342268643</v>
      </c>
      <c r="O179" s="7" t="str">
        <f t="shared" si="19"/>
        <v>Z</v>
      </c>
      <c r="P179" s="7" t="str">
        <f t="shared" si="20"/>
        <v>BZ</v>
      </c>
      <c r="S179" s="6" t="s">
        <v>446</v>
      </c>
      <c r="T179" s="25">
        <v>1</v>
      </c>
      <c r="U179" s="7" t="str">
        <v>BX</v>
      </c>
      <c r="W179" s="135" t="s">
        <v>448</v>
      </c>
      <c r="X179" s="135">
        <v>1</v>
      </c>
      <c r="Y179" s="7" t="str">
        <v>CZ</v>
      </c>
      <c r="Z179" s="104"/>
    </row>
    <row r="180" spans="1:26">
      <c r="A180" s="133" t="s">
        <v>449</v>
      </c>
      <c r="B180" s="7"/>
      <c r="C180" s="7"/>
      <c r="D180" s="7">
        <v>60000000</v>
      </c>
      <c r="E180" s="7">
        <v>135120000</v>
      </c>
      <c r="F180" s="7"/>
      <c r="G180" s="7"/>
      <c r="H180" s="7"/>
      <c r="I180" s="7"/>
      <c r="J180" s="7"/>
      <c r="K180" s="7">
        <v>195120000</v>
      </c>
      <c r="L180" s="134">
        <f t="shared" si="21"/>
        <v>0.91274608157466341</v>
      </c>
      <c r="M180" s="7" t="str">
        <f t="shared" si="17"/>
        <v>B</v>
      </c>
      <c r="N180" s="7">
        <f t="shared" si="18"/>
        <v>0.38499384993849939</v>
      </c>
      <c r="O180" s="7" t="str">
        <f t="shared" si="19"/>
        <v>Y</v>
      </c>
      <c r="P180" s="7" t="str">
        <f t="shared" si="20"/>
        <v>BY</v>
      </c>
      <c r="S180" s="6" t="s">
        <v>450</v>
      </c>
      <c r="T180" s="25">
        <v>1</v>
      </c>
      <c r="U180" s="7" t="str">
        <v>CZ</v>
      </c>
      <c r="W180" s="135" t="s">
        <v>451</v>
      </c>
      <c r="X180" s="135">
        <v>1</v>
      </c>
      <c r="Y180" s="7" t="str">
        <v>CX</v>
      </c>
      <c r="Z180" s="104"/>
    </row>
    <row r="181" spans="1:26">
      <c r="A181" s="133" t="s">
        <v>292</v>
      </c>
      <c r="B181" s="7">
        <v>68000000</v>
      </c>
      <c r="C181" s="7"/>
      <c r="D181" s="7"/>
      <c r="E181" s="7">
        <v>34000000</v>
      </c>
      <c r="F181" s="7"/>
      <c r="G181" s="7"/>
      <c r="H181" s="7"/>
      <c r="I181" s="7">
        <v>40800000</v>
      </c>
      <c r="J181" s="7">
        <v>51000000</v>
      </c>
      <c r="K181" s="7">
        <v>193800000</v>
      </c>
      <c r="L181" s="134">
        <f t="shared" si="21"/>
        <v>0.91339040790088999</v>
      </c>
      <c r="M181" s="7" t="str">
        <f t="shared" si="17"/>
        <v>B</v>
      </c>
      <c r="N181" s="7">
        <f t="shared" si="18"/>
        <v>0.26432489777753271</v>
      </c>
      <c r="O181" s="7" t="str">
        <f t="shared" si="19"/>
        <v>X</v>
      </c>
      <c r="P181" s="7" t="str">
        <f t="shared" si="20"/>
        <v>BX</v>
      </c>
      <c r="S181" s="6" t="s">
        <v>452</v>
      </c>
      <c r="T181" s="25">
        <v>2</v>
      </c>
      <c r="U181" s="7" t="str">
        <v>CX</v>
      </c>
      <c r="W181" s="135" t="s">
        <v>453</v>
      </c>
      <c r="X181" s="135">
        <v>2</v>
      </c>
      <c r="Y181" s="7" t="str">
        <v>CZ</v>
      </c>
      <c r="Z181" s="104"/>
    </row>
    <row r="182" spans="1:26">
      <c r="A182" s="133" t="s">
        <v>430</v>
      </c>
      <c r="B182" s="7"/>
      <c r="C182" s="7"/>
      <c r="D182" s="7">
        <v>7200000</v>
      </c>
      <c r="E182" s="7">
        <v>7200000</v>
      </c>
      <c r="F182" s="7">
        <v>7200000</v>
      </c>
      <c r="G182" s="7"/>
      <c r="H182" s="7">
        <v>36650000</v>
      </c>
      <c r="I182" s="7">
        <v>22050000</v>
      </c>
      <c r="J182" s="7">
        <v>113400000</v>
      </c>
      <c r="K182" s="7">
        <v>193700000</v>
      </c>
      <c r="L182" s="134">
        <f t="shared" si="21"/>
        <v>0.91403440175739192</v>
      </c>
      <c r="M182" s="7" t="str">
        <f t="shared" si="17"/>
        <v>B</v>
      </c>
      <c r="N182" s="7">
        <f t="shared" si="18"/>
        <v>1.1721238661950002</v>
      </c>
      <c r="O182" s="7" t="str">
        <f t="shared" si="19"/>
        <v>Z</v>
      </c>
      <c r="P182" s="7" t="str">
        <f t="shared" si="20"/>
        <v>BZ</v>
      </c>
      <c r="S182" s="6" t="s">
        <v>452</v>
      </c>
      <c r="T182" s="25">
        <v>5</v>
      </c>
      <c r="U182" s="7" t="str">
        <v>CX</v>
      </c>
      <c r="W182" s="135" t="s">
        <v>454</v>
      </c>
      <c r="X182" s="135">
        <v>1</v>
      </c>
      <c r="Y182" s="7" t="str">
        <v>CX</v>
      </c>
      <c r="Z182" s="104"/>
    </row>
    <row r="183" spans="1:26">
      <c r="A183" s="133" t="s">
        <v>455</v>
      </c>
      <c r="B183" s="7"/>
      <c r="C183" s="7"/>
      <c r="D183" s="7"/>
      <c r="E183" s="7"/>
      <c r="F183" s="7">
        <v>193500000</v>
      </c>
      <c r="G183" s="7"/>
      <c r="H183" s="7"/>
      <c r="I183" s="7"/>
      <c r="J183" s="7"/>
      <c r="K183" s="7">
        <v>193500000</v>
      </c>
      <c r="L183" s="134">
        <f t="shared" si="21"/>
        <v>0.91467773067444469</v>
      </c>
      <c r="M183" s="7" t="str">
        <f t="shared" si="17"/>
        <v>B</v>
      </c>
      <c r="N183" s="7">
        <f t="shared" si="18"/>
        <v>0</v>
      </c>
      <c r="O183" s="7" t="str">
        <f t="shared" si="19"/>
        <v>Z</v>
      </c>
      <c r="P183" s="7" t="str">
        <f t="shared" si="20"/>
        <v>BZ</v>
      </c>
      <c r="S183" s="6" t="s">
        <v>456</v>
      </c>
      <c r="T183" s="25">
        <v>1</v>
      </c>
      <c r="U183" s="7" t="str">
        <v>CY</v>
      </c>
      <c r="W183" s="135" t="s">
        <v>457</v>
      </c>
      <c r="X183" s="135">
        <v>1</v>
      </c>
      <c r="Y183" s="7" t="str">
        <v>BZ</v>
      </c>
      <c r="Z183" s="104"/>
    </row>
    <row r="184" spans="1:26">
      <c r="A184" s="133" t="s">
        <v>458</v>
      </c>
      <c r="B184" s="7">
        <v>176863500</v>
      </c>
      <c r="C184" s="7"/>
      <c r="D184" s="7">
        <v>1750000</v>
      </c>
      <c r="E184" s="7"/>
      <c r="F184" s="7"/>
      <c r="G184" s="7"/>
      <c r="H184" s="7">
        <v>14175000</v>
      </c>
      <c r="I184" s="7"/>
      <c r="J184" s="7"/>
      <c r="K184" s="7">
        <v>192788500</v>
      </c>
      <c r="L184" s="134">
        <f t="shared" si="21"/>
        <v>0.91531869406940713</v>
      </c>
      <c r="M184" s="7" t="str">
        <f t="shared" si="17"/>
        <v>B</v>
      </c>
      <c r="N184" s="7">
        <f t="shared" si="18"/>
        <v>1.241496934652117</v>
      </c>
      <c r="O184" s="7" t="str">
        <f t="shared" si="19"/>
        <v>Z</v>
      </c>
      <c r="P184" s="7" t="str">
        <f t="shared" si="20"/>
        <v>BZ</v>
      </c>
      <c r="S184" s="6" t="s">
        <v>456</v>
      </c>
      <c r="T184" s="25">
        <v>1</v>
      </c>
      <c r="U184" s="7" t="str">
        <v>CY</v>
      </c>
      <c r="W184" s="135" t="s">
        <v>459</v>
      </c>
      <c r="X184" s="135">
        <v>1</v>
      </c>
      <c r="Y184" s="7" t="str">
        <v>CX</v>
      </c>
      <c r="Z184" s="104"/>
    </row>
    <row r="185" spans="1:26">
      <c r="A185" s="133" t="s">
        <v>460</v>
      </c>
      <c r="B185" s="7">
        <v>28600000</v>
      </c>
      <c r="C185" s="7">
        <v>33000000</v>
      </c>
      <c r="D185" s="7">
        <v>10800000</v>
      </c>
      <c r="E185" s="7">
        <v>36320000</v>
      </c>
      <c r="F185" s="7">
        <v>42405000</v>
      </c>
      <c r="G185" s="7">
        <v>15060000</v>
      </c>
      <c r="H185" s="7">
        <v>19950000</v>
      </c>
      <c r="I185" s="7">
        <v>6600000</v>
      </c>
      <c r="J185" s="7"/>
      <c r="K185" s="7">
        <v>192735000</v>
      </c>
      <c r="L185" s="134">
        <f t="shared" si="21"/>
        <v>0.91595947959306689</v>
      </c>
      <c r="M185" s="7" t="str">
        <f t="shared" si="17"/>
        <v>B</v>
      </c>
      <c r="N185" s="7">
        <f t="shared" si="18"/>
        <v>0.50109888560795612</v>
      </c>
      <c r="O185" s="7" t="str">
        <f t="shared" si="19"/>
        <v>Y</v>
      </c>
      <c r="P185" s="7" t="str">
        <f t="shared" si="20"/>
        <v>BY</v>
      </c>
      <c r="S185" s="6" t="s">
        <v>456</v>
      </c>
      <c r="T185" s="25">
        <v>2</v>
      </c>
      <c r="U185" s="7" t="str">
        <v>CY</v>
      </c>
      <c r="W185" s="135" t="s">
        <v>461</v>
      </c>
      <c r="X185" s="135">
        <v>1</v>
      </c>
      <c r="Y185" s="7" t="str">
        <v>CZ</v>
      </c>
      <c r="Z185" s="104"/>
    </row>
    <row r="186" spans="1:26">
      <c r="A186" s="133" t="s">
        <v>462</v>
      </c>
      <c r="B186" s="7"/>
      <c r="C186" s="7"/>
      <c r="D186" s="7"/>
      <c r="E186" s="7">
        <v>105500000</v>
      </c>
      <c r="F186" s="7"/>
      <c r="G186" s="7">
        <v>87000000</v>
      </c>
      <c r="H186" s="7"/>
      <c r="I186" s="7"/>
      <c r="J186" s="7"/>
      <c r="K186" s="7">
        <v>192500000</v>
      </c>
      <c r="L186" s="134">
        <f t="shared" si="21"/>
        <v>0.91659948381287393</v>
      </c>
      <c r="M186" s="7" t="str">
        <f t="shared" si="17"/>
        <v>B</v>
      </c>
      <c r="N186" s="7">
        <f t="shared" si="18"/>
        <v>9.6103896103896108E-2</v>
      </c>
      <c r="O186" s="7" t="str">
        <f t="shared" si="19"/>
        <v>X</v>
      </c>
      <c r="P186" s="7" t="str">
        <f t="shared" si="20"/>
        <v>BX</v>
      </c>
      <c r="S186" s="6" t="s">
        <v>463</v>
      </c>
      <c r="T186" s="25">
        <v>1</v>
      </c>
      <c r="U186" s="7" t="str">
        <v>CZ</v>
      </c>
      <c r="W186" s="135" t="s">
        <v>464</v>
      </c>
      <c r="X186" s="135">
        <v>1</v>
      </c>
      <c r="Y186" s="7" t="str">
        <v>CZ</v>
      </c>
      <c r="Z186" s="104"/>
    </row>
    <row r="187" spans="1:26">
      <c r="A187" s="133" t="s">
        <v>465</v>
      </c>
      <c r="B187" s="7"/>
      <c r="C187" s="7"/>
      <c r="D187" s="7"/>
      <c r="E187" s="7"/>
      <c r="F187" s="7">
        <v>64125000</v>
      </c>
      <c r="G187" s="7">
        <v>128250000</v>
      </c>
      <c r="H187" s="7"/>
      <c r="I187" s="7"/>
      <c r="J187" s="7"/>
      <c r="K187" s="7">
        <v>192375000</v>
      </c>
      <c r="L187" s="134">
        <f t="shared" si="21"/>
        <v>0.91723907244552527</v>
      </c>
      <c r="M187" s="7" t="str">
        <f t="shared" si="17"/>
        <v>B</v>
      </c>
      <c r="N187" s="7">
        <f t="shared" si="18"/>
        <v>0.33333333333333331</v>
      </c>
      <c r="O187" s="7" t="str">
        <f t="shared" si="19"/>
        <v>Y</v>
      </c>
      <c r="P187" s="7" t="str">
        <f t="shared" si="20"/>
        <v>BY</v>
      </c>
      <c r="S187" s="6" t="s">
        <v>466</v>
      </c>
      <c r="T187" s="25">
        <v>1</v>
      </c>
      <c r="U187" s="7" t="str">
        <v>CZ</v>
      </c>
      <c r="W187" s="135" t="s">
        <v>467</v>
      </c>
      <c r="X187" s="135">
        <v>1</v>
      </c>
      <c r="Y187" s="7" t="str">
        <v>CZ</v>
      </c>
      <c r="Z187" s="104"/>
    </row>
    <row r="188" spans="1:26">
      <c r="A188" s="133" t="s">
        <v>387</v>
      </c>
      <c r="B188" s="7">
        <v>144240000</v>
      </c>
      <c r="C188" s="7"/>
      <c r="D188" s="7"/>
      <c r="E188" s="7"/>
      <c r="F188" s="7"/>
      <c r="G188" s="7"/>
      <c r="H188" s="7"/>
      <c r="I188" s="7"/>
      <c r="J188" s="7">
        <v>38223000</v>
      </c>
      <c r="K188" s="7">
        <v>182463000</v>
      </c>
      <c r="L188" s="134">
        <f t="shared" si="21"/>
        <v>0.91784570667907672</v>
      </c>
      <c r="M188" s="7" t="str">
        <f t="shared" si="17"/>
        <v>B</v>
      </c>
      <c r="N188" s="7">
        <f t="shared" si="18"/>
        <v>0.58103286693740652</v>
      </c>
      <c r="O188" s="7" t="str">
        <f t="shared" si="19"/>
        <v>Y</v>
      </c>
      <c r="P188" s="7" t="str">
        <f t="shared" si="20"/>
        <v>BY</v>
      </c>
      <c r="S188" s="6" t="s">
        <v>328</v>
      </c>
      <c r="T188" s="25">
        <v>1</v>
      </c>
      <c r="U188" s="7" t="str">
        <v>CY</v>
      </c>
      <c r="W188" s="135" t="s">
        <v>468</v>
      </c>
      <c r="X188" s="135">
        <v>1</v>
      </c>
      <c r="Y188" s="7" t="str">
        <v>CZ</v>
      </c>
      <c r="Z188" s="104"/>
    </row>
    <row r="189" spans="1:26">
      <c r="A189" s="133" t="s">
        <v>81</v>
      </c>
      <c r="B189" s="7">
        <v>25680000</v>
      </c>
      <c r="C189" s="7">
        <v>12754000</v>
      </c>
      <c r="D189" s="7">
        <v>10865000</v>
      </c>
      <c r="E189" s="7">
        <v>20260000</v>
      </c>
      <c r="F189" s="7">
        <v>22752000</v>
      </c>
      <c r="G189" s="7">
        <v>25062000</v>
      </c>
      <c r="H189" s="7">
        <v>14364000</v>
      </c>
      <c r="I189" s="7">
        <v>38030400</v>
      </c>
      <c r="J189" s="7">
        <v>9842000</v>
      </c>
      <c r="K189" s="7">
        <v>179609400</v>
      </c>
      <c r="L189" s="134">
        <f t="shared" si="21"/>
        <v>0.91844285355656774</v>
      </c>
      <c r="M189" s="7" t="str">
        <f t="shared" si="17"/>
        <v>B</v>
      </c>
      <c r="N189" s="7">
        <f t="shared" si="18"/>
        <v>0.42959549369569161</v>
      </c>
      <c r="O189" s="7" t="str">
        <f t="shared" si="19"/>
        <v>Y</v>
      </c>
      <c r="P189" s="7" t="str">
        <f t="shared" si="20"/>
        <v>BY</v>
      </c>
      <c r="S189" s="6" t="s">
        <v>469</v>
      </c>
      <c r="T189" s="25">
        <v>1</v>
      </c>
      <c r="U189" s="7" t="str">
        <v>CZ</v>
      </c>
      <c r="W189" s="135" t="s">
        <v>470</v>
      </c>
      <c r="X189" s="135">
        <v>1</v>
      </c>
      <c r="Y189" s="7" t="str">
        <v>CZ</v>
      </c>
      <c r="Z189" s="104"/>
    </row>
    <row r="190" spans="1:26">
      <c r="A190" s="133" t="s">
        <v>225</v>
      </c>
      <c r="B190" s="7">
        <v>4712726.4000000004</v>
      </c>
      <c r="C190" s="7">
        <v>4712725.92</v>
      </c>
      <c r="D190" s="7">
        <v>11310543.168000001</v>
      </c>
      <c r="E190" s="7">
        <v>7069091.4000000004</v>
      </c>
      <c r="F190" s="7">
        <v>68570902.320000008</v>
      </c>
      <c r="G190" s="7">
        <v>61599988.800000012</v>
      </c>
      <c r="H190" s="7"/>
      <c r="I190" s="7">
        <v>21600000</v>
      </c>
      <c r="J190" s="7"/>
      <c r="K190" s="7">
        <v>179575978.00800002</v>
      </c>
      <c r="L190" s="134">
        <f t="shared" si="21"/>
        <v>0.91903988931605396</v>
      </c>
      <c r="M190" s="7" t="str">
        <f t="shared" si="17"/>
        <v>B</v>
      </c>
      <c r="N190" s="7">
        <f t="shared" si="18"/>
        <v>0.99693751395000718</v>
      </c>
      <c r="O190" s="7" t="str">
        <f t="shared" si="19"/>
        <v>Z</v>
      </c>
      <c r="P190" s="7" t="str">
        <f t="shared" si="20"/>
        <v>BZ</v>
      </c>
      <c r="S190" s="6" t="s">
        <v>471</v>
      </c>
      <c r="T190" s="25">
        <v>1</v>
      </c>
      <c r="U190" s="7" t="str">
        <v>CZ</v>
      </c>
      <c r="W190" s="135" t="s">
        <v>472</v>
      </c>
      <c r="X190" s="135">
        <v>1</v>
      </c>
      <c r="Y190" s="7" t="str">
        <v>CZ</v>
      </c>
      <c r="Z190" s="104"/>
    </row>
    <row r="191" spans="1:26">
      <c r="A191" s="133" t="s">
        <v>473</v>
      </c>
      <c r="B191" s="7">
        <v>87000000</v>
      </c>
      <c r="C191" s="7">
        <v>87000000</v>
      </c>
      <c r="D191" s="7"/>
      <c r="E191" s="7"/>
      <c r="F191" s="7"/>
      <c r="G191" s="7"/>
      <c r="H191" s="7"/>
      <c r="I191" s="7"/>
      <c r="J191" s="7"/>
      <c r="K191" s="7">
        <v>174000000</v>
      </c>
      <c r="L191" s="134">
        <f t="shared" si="21"/>
        <v>0.91961838663681461</v>
      </c>
      <c r="M191" s="7" t="str">
        <f t="shared" si="17"/>
        <v>B</v>
      </c>
      <c r="N191" s="7">
        <f t="shared" si="18"/>
        <v>0</v>
      </c>
      <c r="O191" s="7" t="str">
        <f t="shared" si="19"/>
        <v>Z</v>
      </c>
      <c r="P191" s="7" t="str">
        <f t="shared" si="20"/>
        <v>BZ</v>
      </c>
      <c r="S191" s="6" t="s">
        <v>330</v>
      </c>
      <c r="T191" s="25">
        <v>1</v>
      </c>
      <c r="U191" s="7" t="str">
        <v>CX</v>
      </c>
      <c r="W191" s="135" t="s">
        <v>474</v>
      </c>
      <c r="X191" s="135">
        <v>1</v>
      </c>
      <c r="Y191" s="7" t="str">
        <v>CZ</v>
      </c>
      <c r="Z191" s="104"/>
    </row>
    <row r="192" spans="1:26">
      <c r="A192" s="133" t="s">
        <v>314</v>
      </c>
      <c r="B192" s="7">
        <v>34352310</v>
      </c>
      <c r="C192" s="7"/>
      <c r="D192" s="7">
        <v>136644000</v>
      </c>
      <c r="E192" s="7"/>
      <c r="F192" s="7"/>
      <c r="G192" s="7"/>
      <c r="H192" s="7"/>
      <c r="I192" s="7"/>
      <c r="J192" s="7"/>
      <c r="K192" s="7">
        <v>170996310</v>
      </c>
      <c r="L192" s="134">
        <f t="shared" si="21"/>
        <v>0.92018689759770522</v>
      </c>
      <c r="M192" s="7" t="str">
        <f t="shared" si="17"/>
        <v>B</v>
      </c>
      <c r="N192" s="7">
        <f t="shared" si="18"/>
        <v>0.59820992628437419</v>
      </c>
      <c r="O192" s="7" t="str">
        <f t="shared" si="19"/>
        <v>Y</v>
      </c>
      <c r="P192" s="7" t="str">
        <f t="shared" si="20"/>
        <v>BY</v>
      </c>
      <c r="S192" s="6" t="s">
        <v>330</v>
      </c>
      <c r="T192" s="25">
        <v>1</v>
      </c>
      <c r="U192" s="7" t="str">
        <v>CX</v>
      </c>
      <c r="W192" s="135" t="s">
        <v>475</v>
      </c>
      <c r="X192" s="135">
        <v>1</v>
      </c>
      <c r="Y192" s="7" t="str">
        <v>CZ</v>
      </c>
      <c r="Z192" s="104"/>
    </row>
    <row r="193" spans="1:26">
      <c r="A193" s="133" t="s">
        <v>476</v>
      </c>
      <c r="B193" s="7"/>
      <c r="C193" s="7"/>
      <c r="D193" s="7">
        <v>79074000</v>
      </c>
      <c r="E193" s="7">
        <v>91440000</v>
      </c>
      <c r="F193" s="7"/>
      <c r="G193" s="7"/>
      <c r="H193" s="7"/>
      <c r="I193" s="7"/>
      <c r="J193" s="7"/>
      <c r="K193" s="7">
        <v>170514000</v>
      </c>
      <c r="L193" s="134">
        <f t="shared" si="21"/>
        <v>0.92075380502386717</v>
      </c>
      <c r="M193" s="7" t="str">
        <f t="shared" si="17"/>
        <v>B</v>
      </c>
      <c r="N193" s="7">
        <f t="shared" si="18"/>
        <v>7.2521904359759318E-2</v>
      </c>
      <c r="O193" s="7" t="str">
        <f t="shared" si="19"/>
        <v>X</v>
      </c>
      <c r="P193" s="7" t="str">
        <f t="shared" si="20"/>
        <v>BX</v>
      </c>
      <c r="S193" s="6" t="s">
        <v>330</v>
      </c>
      <c r="T193" s="25">
        <v>1</v>
      </c>
      <c r="U193" s="7" t="str">
        <v>CX</v>
      </c>
      <c r="W193" s="135" t="s">
        <v>477</v>
      </c>
      <c r="X193" s="135">
        <v>1</v>
      </c>
      <c r="Y193" s="7" t="str">
        <v>CZ</v>
      </c>
      <c r="Z193" s="104"/>
    </row>
    <row r="194" spans="1:26">
      <c r="A194" s="133" t="s">
        <v>446</v>
      </c>
      <c r="B194" s="7"/>
      <c r="C194" s="7"/>
      <c r="D194" s="7">
        <v>43500000</v>
      </c>
      <c r="E194" s="7">
        <v>42000000</v>
      </c>
      <c r="F194" s="7"/>
      <c r="G194" s="7"/>
      <c r="H194" s="7">
        <v>42000000</v>
      </c>
      <c r="I194" s="7">
        <v>42000000</v>
      </c>
      <c r="J194" s="7"/>
      <c r="K194" s="7">
        <v>169500000</v>
      </c>
      <c r="L194" s="134">
        <f t="shared" si="21"/>
        <v>0.92131734120702191</v>
      </c>
      <c r="M194" s="7" t="str">
        <f t="shared" si="17"/>
        <v>B</v>
      </c>
      <c r="N194" s="7">
        <f t="shared" si="18"/>
        <v>1.5327883252821924E-2</v>
      </c>
      <c r="O194" s="7" t="str">
        <f t="shared" si="19"/>
        <v>X</v>
      </c>
      <c r="P194" s="7" t="str">
        <f t="shared" si="20"/>
        <v>BX</v>
      </c>
      <c r="S194" s="6" t="s">
        <v>478</v>
      </c>
      <c r="T194" s="25">
        <v>1</v>
      </c>
      <c r="U194" s="7" t="str">
        <v>CZ</v>
      </c>
      <c r="W194" s="135" t="s">
        <v>479</v>
      </c>
      <c r="X194" s="135">
        <v>1</v>
      </c>
      <c r="Y194" s="7" t="str">
        <v>CZ</v>
      </c>
      <c r="Z194" s="104"/>
    </row>
    <row r="195" spans="1:26">
      <c r="A195" s="133" t="s">
        <v>480</v>
      </c>
      <c r="B195" s="7"/>
      <c r="C195" s="7"/>
      <c r="D195" s="7"/>
      <c r="E195" s="7"/>
      <c r="F195" s="7"/>
      <c r="G195" s="7"/>
      <c r="H195" s="7">
        <v>4000</v>
      </c>
      <c r="I195" s="7">
        <v>132840000</v>
      </c>
      <c r="J195" s="7">
        <v>32400000</v>
      </c>
      <c r="K195" s="7">
        <v>165244000</v>
      </c>
      <c r="L195" s="134">
        <f t="shared" si="21"/>
        <v>0.9218667274786988</v>
      </c>
      <c r="M195" s="7" t="str">
        <f t="shared" si="17"/>
        <v>B</v>
      </c>
      <c r="N195" s="7">
        <f t="shared" si="18"/>
        <v>1.0266988220669282</v>
      </c>
      <c r="O195" s="7" t="str">
        <f t="shared" si="19"/>
        <v>Z</v>
      </c>
      <c r="P195" s="7" t="str">
        <f t="shared" si="20"/>
        <v>BZ</v>
      </c>
      <c r="S195" s="6" t="s">
        <v>481</v>
      </c>
      <c r="T195" s="25">
        <v>4</v>
      </c>
      <c r="U195" s="7" t="str">
        <v>CY</v>
      </c>
      <c r="W195" s="135" t="s">
        <v>482</v>
      </c>
      <c r="X195" s="135">
        <v>1</v>
      </c>
      <c r="Y195" s="7" t="str">
        <v>CZ</v>
      </c>
      <c r="Z195" s="104"/>
    </row>
    <row r="196" spans="1:26">
      <c r="A196" s="133" t="s">
        <v>483</v>
      </c>
      <c r="B196" s="7"/>
      <c r="C196" s="7"/>
      <c r="D196" s="7"/>
      <c r="E196" s="7"/>
      <c r="F196" s="7"/>
      <c r="G196" s="7"/>
      <c r="H196" s="7"/>
      <c r="I196" s="7">
        <v>109000000</v>
      </c>
      <c r="J196" s="7">
        <v>50000000</v>
      </c>
      <c r="K196" s="7">
        <v>159000000</v>
      </c>
      <c r="L196" s="134">
        <f t="shared" si="21"/>
        <v>0.92239535434077324</v>
      </c>
      <c r="M196" s="7" t="str">
        <f t="shared" si="17"/>
        <v>B</v>
      </c>
      <c r="N196" s="7">
        <f t="shared" si="18"/>
        <v>0.37106918238993708</v>
      </c>
      <c r="O196" s="7" t="str">
        <f t="shared" si="19"/>
        <v>Y</v>
      </c>
      <c r="P196" s="7" t="str">
        <f t="shared" si="20"/>
        <v>BY</v>
      </c>
      <c r="S196" s="6" t="s">
        <v>481</v>
      </c>
      <c r="T196" s="25">
        <v>1</v>
      </c>
      <c r="U196" s="7" t="str">
        <v>CY</v>
      </c>
      <c r="W196" s="135" t="s">
        <v>484</v>
      </c>
      <c r="X196" s="135">
        <v>1</v>
      </c>
      <c r="Y196" s="7" t="str">
        <v>BZ</v>
      </c>
      <c r="Z196" s="104"/>
    </row>
    <row r="197" spans="1:26">
      <c r="A197" s="133" t="s">
        <v>485</v>
      </c>
      <c r="B197" s="7"/>
      <c r="C197" s="7"/>
      <c r="D197" s="7"/>
      <c r="E197" s="7"/>
      <c r="F197" s="7">
        <v>54810000</v>
      </c>
      <c r="G197" s="7">
        <v>42630000</v>
      </c>
      <c r="H197" s="7"/>
      <c r="I197" s="7">
        <v>60900000</v>
      </c>
      <c r="J197" s="7"/>
      <c r="K197" s="7">
        <v>158340000</v>
      </c>
      <c r="L197" s="134">
        <f t="shared" si="21"/>
        <v>0.92292178690266546</v>
      </c>
      <c r="M197" s="7" t="str">
        <f t="shared" ref="M197:M260" si="22">IF(L197&lt;=0.8,"A",IF(L197&lt;=0.95,"B","C"))</f>
        <v>B</v>
      </c>
      <c r="N197" s="7">
        <f t="shared" ref="N197:N260" si="23">STDEVP(B197:J197)/AVERAGE(B197:J197)</f>
        <v>0.14390989949130542</v>
      </c>
      <c r="O197" s="7" t="str">
        <f t="shared" ref="O197:O260" si="24">IF(N197=0,"Z",IF(N197&lt;=30%,"X",IF(N197&lt;=60%,"Y","Z")))</f>
        <v>X</v>
      </c>
      <c r="P197" s="7" t="str">
        <f t="shared" ref="P197:P260" si="25">M197&amp;O197</f>
        <v>BX</v>
      </c>
      <c r="S197" s="6" t="s">
        <v>357</v>
      </c>
      <c r="T197" s="25">
        <v>5</v>
      </c>
      <c r="U197" s="7" t="str">
        <v>BZ</v>
      </c>
      <c r="W197" s="135" t="s">
        <v>486</v>
      </c>
      <c r="X197" s="135">
        <v>1</v>
      </c>
      <c r="Y197" s="7" t="str">
        <v>CZ</v>
      </c>
      <c r="Z197" s="104"/>
    </row>
    <row r="198" spans="1:26">
      <c r="A198" s="133" t="s">
        <v>487</v>
      </c>
      <c r="B198" s="7"/>
      <c r="C198" s="7"/>
      <c r="D198" s="7"/>
      <c r="E198" s="7">
        <v>157500000</v>
      </c>
      <c r="F198" s="7"/>
      <c r="G198" s="7"/>
      <c r="H198" s="7"/>
      <c r="I198" s="7"/>
      <c r="J198" s="7"/>
      <c r="K198" s="7">
        <v>157500000</v>
      </c>
      <c r="L198" s="134">
        <f t="shared" ref="L198:L261" si="26">K198/$K$932+L197</f>
        <v>0.9234454267188712</v>
      </c>
      <c r="M198" s="7" t="str">
        <f t="shared" si="22"/>
        <v>B</v>
      </c>
      <c r="N198" s="7">
        <f t="shared" si="23"/>
        <v>0</v>
      </c>
      <c r="O198" s="7" t="str">
        <f t="shared" si="24"/>
        <v>Z</v>
      </c>
      <c r="P198" s="7" t="str">
        <f t="shared" si="25"/>
        <v>BZ</v>
      </c>
      <c r="S198" s="6" t="s">
        <v>357</v>
      </c>
      <c r="T198" s="25">
        <v>2</v>
      </c>
      <c r="U198" s="7" t="str">
        <v>BZ</v>
      </c>
      <c r="W198" s="135" t="s">
        <v>488</v>
      </c>
      <c r="X198" s="135">
        <v>1</v>
      </c>
      <c r="Y198" s="7" t="str">
        <v>CZ</v>
      </c>
      <c r="Z198" s="104"/>
    </row>
    <row r="199" spans="1:26">
      <c r="A199" s="133" t="s">
        <v>230</v>
      </c>
      <c r="B199" s="7">
        <v>9450000</v>
      </c>
      <c r="C199" s="7">
        <v>20250000</v>
      </c>
      <c r="D199" s="7">
        <v>28275739.5</v>
      </c>
      <c r="E199" s="7"/>
      <c r="F199" s="7"/>
      <c r="G199" s="7"/>
      <c r="H199" s="7">
        <v>58000000</v>
      </c>
      <c r="I199" s="7">
        <v>38000000</v>
      </c>
      <c r="J199" s="7"/>
      <c r="K199" s="7">
        <v>153975739.5</v>
      </c>
      <c r="L199" s="134">
        <f t="shared" si="26"/>
        <v>0.92395734943589936</v>
      </c>
      <c r="M199" s="7" t="str">
        <f t="shared" si="22"/>
        <v>B</v>
      </c>
      <c r="N199" s="7">
        <f t="shared" si="23"/>
        <v>0.53657094104269409</v>
      </c>
      <c r="O199" s="7" t="str">
        <f t="shared" si="24"/>
        <v>Y</v>
      </c>
      <c r="P199" s="7" t="str">
        <f t="shared" si="25"/>
        <v>BY</v>
      </c>
      <c r="S199" s="6" t="s">
        <v>357</v>
      </c>
      <c r="T199" s="25">
        <v>1</v>
      </c>
      <c r="U199" s="7" t="str">
        <v>BZ</v>
      </c>
      <c r="Y199" t="e">
        <v>#N/A</v>
      </c>
      <c r="Z199" s="104"/>
    </row>
    <row r="200" spans="1:26">
      <c r="A200" s="133" t="s">
        <v>489</v>
      </c>
      <c r="B200" s="7">
        <v>51000000</v>
      </c>
      <c r="C200" s="7"/>
      <c r="D200" s="7"/>
      <c r="E200" s="7"/>
      <c r="F200" s="7"/>
      <c r="G200" s="7">
        <v>51000000</v>
      </c>
      <c r="H200" s="7">
        <v>51000000</v>
      </c>
      <c r="I200" s="7"/>
      <c r="J200" s="7"/>
      <c r="K200" s="7">
        <v>153000000</v>
      </c>
      <c r="L200" s="134">
        <f t="shared" si="26"/>
        <v>0.92446602811449929</v>
      </c>
      <c r="M200" s="7" t="str">
        <f t="shared" si="22"/>
        <v>B</v>
      </c>
      <c r="N200" s="7">
        <f t="shared" si="23"/>
        <v>0</v>
      </c>
      <c r="O200" s="7" t="str">
        <f t="shared" si="24"/>
        <v>Z</v>
      </c>
      <c r="P200" s="7" t="str">
        <f t="shared" si="25"/>
        <v>BZ</v>
      </c>
      <c r="S200" s="6" t="s">
        <v>332</v>
      </c>
      <c r="T200" s="25">
        <v>3</v>
      </c>
      <c r="U200" s="7" t="str">
        <v>BY</v>
      </c>
      <c r="Y200" t="e">
        <v>#N/A</v>
      </c>
      <c r="Z200" s="104"/>
    </row>
    <row r="201" spans="1:26">
      <c r="A201" s="133" t="s">
        <v>490</v>
      </c>
      <c r="B201" s="7"/>
      <c r="C201" s="7"/>
      <c r="D201" s="7"/>
      <c r="E201" s="7"/>
      <c r="F201" s="7"/>
      <c r="G201" s="7"/>
      <c r="H201" s="7"/>
      <c r="I201" s="7">
        <v>151524000</v>
      </c>
      <c r="J201" s="7"/>
      <c r="K201" s="7">
        <v>151524000</v>
      </c>
      <c r="L201" s="134">
        <f t="shared" si="26"/>
        <v>0.9249697995399645</v>
      </c>
      <c r="M201" s="7" t="str">
        <f t="shared" si="22"/>
        <v>B</v>
      </c>
      <c r="N201" s="7">
        <f t="shared" si="23"/>
        <v>0</v>
      </c>
      <c r="O201" s="7" t="str">
        <f t="shared" si="24"/>
        <v>Z</v>
      </c>
      <c r="P201" s="7" t="str">
        <f t="shared" si="25"/>
        <v>BZ</v>
      </c>
      <c r="S201" s="6" t="s">
        <v>332</v>
      </c>
      <c r="T201" s="25">
        <v>1</v>
      </c>
      <c r="U201" s="7" t="str">
        <v>BY</v>
      </c>
      <c r="Y201" t="e">
        <v>#N/A</v>
      </c>
      <c r="Z201" s="104"/>
    </row>
    <row r="202" spans="1:26">
      <c r="A202" s="133" t="s">
        <v>433</v>
      </c>
      <c r="B202" s="7">
        <v>22000000</v>
      </c>
      <c r="C202" s="7">
        <v>11000000</v>
      </c>
      <c r="D202" s="7">
        <v>27500000</v>
      </c>
      <c r="E202" s="7">
        <v>27500000</v>
      </c>
      <c r="F202" s="7">
        <v>11000000</v>
      </c>
      <c r="G202" s="7">
        <v>39100000</v>
      </c>
      <c r="H202" s="7">
        <v>12200000</v>
      </c>
      <c r="I202" s="7"/>
      <c r="J202" s="7"/>
      <c r="K202" s="7">
        <v>150300000</v>
      </c>
      <c r="L202" s="134">
        <f t="shared" si="26"/>
        <v>0.92546950153600083</v>
      </c>
      <c r="M202" s="7" t="str">
        <f t="shared" si="22"/>
        <v>B</v>
      </c>
      <c r="N202" s="7">
        <f t="shared" si="23"/>
        <v>0.46205944213898104</v>
      </c>
      <c r="O202" s="7" t="str">
        <f t="shared" si="24"/>
        <v>Y</v>
      </c>
      <c r="P202" s="7" t="str">
        <f t="shared" si="25"/>
        <v>BY</v>
      </c>
      <c r="S202" s="6" t="s">
        <v>332</v>
      </c>
      <c r="T202" s="25">
        <v>1</v>
      </c>
      <c r="U202" s="7" t="str">
        <v>BY</v>
      </c>
      <c r="Y202" t="e">
        <v>#N/A</v>
      </c>
      <c r="Z202" s="104"/>
    </row>
    <row r="203" spans="1:26">
      <c r="A203" s="133" t="s">
        <v>423</v>
      </c>
      <c r="B203" s="7"/>
      <c r="C203" s="7"/>
      <c r="D203" s="7"/>
      <c r="E203" s="7"/>
      <c r="F203" s="7">
        <v>150000000</v>
      </c>
      <c r="G203" s="7"/>
      <c r="H203" s="7"/>
      <c r="I203" s="7"/>
      <c r="J203" s="7"/>
      <c r="K203" s="7">
        <v>150000000</v>
      </c>
      <c r="L203" s="134">
        <f t="shared" si="26"/>
        <v>0.92596820612286346</v>
      </c>
      <c r="M203" s="7" t="str">
        <f t="shared" si="22"/>
        <v>B</v>
      </c>
      <c r="N203" s="7">
        <f t="shared" si="23"/>
        <v>0</v>
      </c>
      <c r="O203" s="7" t="str">
        <f t="shared" si="24"/>
        <v>Z</v>
      </c>
      <c r="P203" s="7" t="str">
        <f t="shared" si="25"/>
        <v>BZ</v>
      </c>
      <c r="S203" s="6" t="s">
        <v>406</v>
      </c>
      <c r="T203" s="25">
        <v>4</v>
      </c>
      <c r="U203" s="7" t="str">
        <v>BY</v>
      </c>
      <c r="Y203" t="e">
        <v>#N/A</v>
      </c>
      <c r="Z203" s="104"/>
    </row>
    <row r="204" spans="1:26">
      <c r="A204" s="133" t="s">
        <v>491</v>
      </c>
      <c r="B204" s="7"/>
      <c r="C204" s="7"/>
      <c r="D204" s="7"/>
      <c r="E204" s="7"/>
      <c r="F204" s="7"/>
      <c r="G204" s="7"/>
      <c r="H204" s="7">
        <v>20606400</v>
      </c>
      <c r="I204" s="7">
        <v>119592000</v>
      </c>
      <c r="J204" s="7">
        <v>5443200</v>
      </c>
      <c r="K204" s="7">
        <v>145641600</v>
      </c>
      <c r="L204" s="134">
        <f t="shared" si="26"/>
        <v>0.92645242034925024</v>
      </c>
      <c r="M204" s="7" t="str">
        <f t="shared" si="22"/>
        <v>B</v>
      </c>
      <c r="N204" s="7">
        <f t="shared" si="23"/>
        <v>1.0426188347002585</v>
      </c>
      <c r="O204" s="7" t="str">
        <f t="shared" si="24"/>
        <v>Z</v>
      </c>
      <c r="P204" s="7" t="str">
        <f t="shared" si="25"/>
        <v>BZ</v>
      </c>
      <c r="S204" s="6" t="s">
        <v>406</v>
      </c>
      <c r="T204" s="25">
        <v>1</v>
      </c>
      <c r="U204" s="7" t="str">
        <v>BY</v>
      </c>
      <c r="Y204" t="e">
        <v>#N/A</v>
      </c>
      <c r="Z204" s="104"/>
    </row>
    <row r="205" spans="1:26">
      <c r="A205" s="133" t="s">
        <v>492</v>
      </c>
      <c r="B205" s="7"/>
      <c r="C205" s="7"/>
      <c r="D205" s="7"/>
      <c r="E205" s="7"/>
      <c r="F205" s="7"/>
      <c r="G205" s="7">
        <v>30900000</v>
      </c>
      <c r="H205" s="7"/>
      <c r="I205" s="7">
        <v>113300000</v>
      </c>
      <c r="J205" s="7"/>
      <c r="K205" s="7">
        <v>144200000</v>
      </c>
      <c r="L205" s="134">
        <f t="shared" si="26"/>
        <v>0.92693184169208753</v>
      </c>
      <c r="M205" s="7" t="str">
        <f t="shared" si="22"/>
        <v>B</v>
      </c>
      <c r="N205" s="7">
        <f t="shared" si="23"/>
        <v>0.5714285714285714</v>
      </c>
      <c r="O205" s="7" t="str">
        <f t="shared" si="24"/>
        <v>Y</v>
      </c>
      <c r="P205" s="7" t="str">
        <f t="shared" si="25"/>
        <v>BY</v>
      </c>
      <c r="S205" s="6" t="s">
        <v>322</v>
      </c>
      <c r="T205" s="25">
        <v>6</v>
      </c>
      <c r="U205" s="7" t="str">
        <v>BZ</v>
      </c>
      <c r="Y205" t="e">
        <v>#N/A</v>
      </c>
      <c r="Z205" s="104"/>
    </row>
    <row r="206" spans="1:26">
      <c r="A206" s="133" t="s">
        <v>493</v>
      </c>
      <c r="B206" s="7"/>
      <c r="C206" s="7"/>
      <c r="D206" s="7"/>
      <c r="E206" s="7"/>
      <c r="F206" s="7"/>
      <c r="G206" s="7"/>
      <c r="H206" s="7"/>
      <c r="I206" s="7">
        <v>144000000</v>
      </c>
      <c r="J206" s="7"/>
      <c r="K206" s="7">
        <v>144000000</v>
      </c>
      <c r="L206" s="134">
        <f t="shared" si="26"/>
        <v>0.92741059809547566</v>
      </c>
      <c r="M206" s="7" t="str">
        <f t="shared" si="22"/>
        <v>B</v>
      </c>
      <c r="N206" s="7">
        <f t="shared" si="23"/>
        <v>0</v>
      </c>
      <c r="O206" s="7" t="str">
        <f t="shared" si="24"/>
        <v>Z</v>
      </c>
      <c r="P206" s="7" t="str">
        <f t="shared" si="25"/>
        <v>BZ</v>
      </c>
      <c r="S206" s="6" t="s">
        <v>322</v>
      </c>
      <c r="T206" s="25">
        <v>4</v>
      </c>
      <c r="U206" s="7" t="str">
        <v>BZ</v>
      </c>
      <c r="Y206" t="e">
        <v>#N/A</v>
      </c>
      <c r="Z206" s="104"/>
    </row>
    <row r="207" spans="1:26">
      <c r="A207" s="133" t="s">
        <v>494</v>
      </c>
      <c r="B207" s="7"/>
      <c r="C207" s="7"/>
      <c r="D207" s="7"/>
      <c r="E207" s="7"/>
      <c r="F207" s="7"/>
      <c r="G207" s="7"/>
      <c r="H207" s="7"/>
      <c r="I207" s="7">
        <v>144000000</v>
      </c>
      <c r="J207" s="7"/>
      <c r="K207" s="7">
        <v>144000000</v>
      </c>
      <c r="L207" s="134">
        <f t="shared" si="26"/>
        <v>0.92788935449886378</v>
      </c>
      <c r="M207" s="7" t="str">
        <f t="shared" si="22"/>
        <v>B</v>
      </c>
      <c r="N207" s="7">
        <f t="shared" si="23"/>
        <v>0</v>
      </c>
      <c r="O207" s="7" t="str">
        <f t="shared" si="24"/>
        <v>Z</v>
      </c>
      <c r="P207" s="7" t="str">
        <f t="shared" si="25"/>
        <v>BZ</v>
      </c>
      <c r="S207" s="6" t="s">
        <v>334</v>
      </c>
      <c r="T207" s="25">
        <v>1</v>
      </c>
      <c r="U207" s="7" t="str">
        <v>CY</v>
      </c>
      <c r="Y207" t="e">
        <v>#N/A</v>
      </c>
      <c r="Z207" s="104"/>
    </row>
    <row r="208" spans="1:26">
      <c r="A208" s="133" t="s">
        <v>495</v>
      </c>
      <c r="B208" s="7"/>
      <c r="C208" s="7"/>
      <c r="D208" s="7"/>
      <c r="E208" s="7">
        <v>72000000</v>
      </c>
      <c r="F208" s="7"/>
      <c r="G208" s="7"/>
      <c r="H208" s="7"/>
      <c r="I208" s="7">
        <v>72000000</v>
      </c>
      <c r="J208" s="7"/>
      <c r="K208" s="7">
        <v>144000000</v>
      </c>
      <c r="L208" s="134">
        <f t="shared" si="26"/>
        <v>0.92836811090225191</v>
      </c>
      <c r="M208" s="7" t="str">
        <f t="shared" si="22"/>
        <v>B</v>
      </c>
      <c r="N208" s="7">
        <f t="shared" si="23"/>
        <v>0</v>
      </c>
      <c r="O208" s="7" t="str">
        <f t="shared" si="24"/>
        <v>Z</v>
      </c>
      <c r="P208" s="7" t="str">
        <f t="shared" si="25"/>
        <v>BZ</v>
      </c>
      <c r="S208" s="6" t="s">
        <v>334</v>
      </c>
      <c r="T208" s="25">
        <v>2</v>
      </c>
      <c r="U208" s="7" t="str">
        <v>CY</v>
      </c>
      <c r="Y208" t="e">
        <v>#N/A</v>
      </c>
      <c r="Z208" s="104"/>
    </row>
    <row r="209" spans="1:26">
      <c r="A209" s="133" t="s">
        <v>316</v>
      </c>
      <c r="B209" s="7"/>
      <c r="C209" s="7"/>
      <c r="D209" s="7"/>
      <c r="E209" s="7">
        <v>5200000</v>
      </c>
      <c r="F209" s="7"/>
      <c r="G209" s="7">
        <v>52000000</v>
      </c>
      <c r="H209" s="7"/>
      <c r="I209" s="7">
        <v>81600000</v>
      </c>
      <c r="J209" s="7"/>
      <c r="K209" s="7">
        <v>138800000</v>
      </c>
      <c r="L209" s="134">
        <f t="shared" si="26"/>
        <v>0.92882957887996209</v>
      </c>
      <c r="M209" s="7" t="str">
        <f t="shared" si="22"/>
        <v>B</v>
      </c>
      <c r="N209" s="7">
        <f t="shared" si="23"/>
        <v>0.6798099251045796</v>
      </c>
      <c r="O209" s="7" t="str">
        <f t="shared" si="24"/>
        <v>Z</v>
      </c>
      <c r="P209" s="7" t="str">
        <f t="shared" si="25"/>
        <v>BZ</v>
      </c>
      <c r="S209" s="6" t="s">
        <v>336</v>
      </c>
      <c r="T209" s="25">
        <v>1</v>
      </c>
      <c r="U209" s="7" t="str">
        <v>CX</v>
      </c>
      <c r="Y209" t="e">
        <v>#N/A</v>
      </c>
      <c r="Z209" s="104"/>
    </row>
    <row r="210" spans="1:26">
      <c r="A210" s="133" t="s">
        <v>496</v>
      </c>
      <c r="B210" s="7"/>
      <c r="C210" s="7"/>
      <c r="D210" s="7"/>
      <c r="E210" s="7">
        <v>5875000</v>
      </c>
      <c r="F210" s="7"/>
      <c r="G210" s="7">
        <v>58750000</v>
      </c>
      <c r="H210" s="7"/>
      <c r="I210" s="7">
        <v>70500000</v>
      </c>
      <c r="J210" s="7"/>
      <c r="K210" s="7">
        <v>135125000</v>
      </c>
      <c r="L210" s="134">
        <f t="shared" si="26"/>
        <v>0.9292788285952942</v>
      </c>
      <c r="M210" s="7" t="str">
        <f t="shared" si="22"/>
        <v>B</v>
      </c>
      <c r="N210" s="7">
        <f t="shared" si="23"/>
        <v>0.62403043888727494</v>
      </c>
      <c r="O210" s="7" t="str">
        <f t="shared" si="24"/>
        <v>Z</v>
      </c>
      <c r="P210" s="7" t="str">
        <f t="shared" si="25"/>
        <v>BZ</v>
      </c>
      <c r="S210" s="6" t="s">
        <v>497</v>
      </c>
      <c r="T210" s="25">
        <v>1</v>
      </c>
      <c r="U210" s="7" t="str">
        <v>CX</v>
      </c>
      <c r="Y210" t="e">
        <v>#N/A</v>
      </c>
      <c r="Z210" s="104"/>
    </row>
    <row r="211" spans="1:26">
      <c r="A211" s="133" t="s">
        <v>498</v>
      </c>
      <c r="B211" s="7"/>
      <c r="C211" s="7">
        <v>135000000</v>
      </c>
      <c r="D211" s="7"/>
      <c r="E211" s="7"/>
      <c r="F211" s="7"/>
      <c r="G211" s="7"/>
      <c r="H211" s="7"/>
      <c r="I211" s="7"/>
      <c r="J211" s="7"/>
      <c r="K211" s="7">
        <v>135000000</v>
      </c>
      <c r="L211" s="134">
        <f t="shared" si="26"/>
        <v>0.92972766272347063</v>
      </c>
      <c r="M211" s="7" t="str">
        <f t="shared" si="22"/>
        <v>B</v>
      </c>
      <c r="N211" s="7">
        <f t="shared" si="23"/>
        <v>0</v>
      </c>
      <c r="O211" s="7" t="str">
        <f t="shared" si="24"/>
        <v>Z</v>
      </c>
      <c r="P211" s="7" t="str">
        <f t="shared" si="25"/>
        <v>BZ</v>
      </c>
      <c r="S211" s="6" t="s">
        <v>497</v>
      </c>
      <c r="T211" s="25">
        <v>1</v>
      </c>
      <c r="U211" s="7" t="str">
        <v>CX</v>
      </c>
      <c r="Y211" t="e">
        <v>#N/A</v>
      </c>
      <c r="Z211" s="104"/>
    </row>
    <row r="212" spans="1:26">
      <c r="A212" s="133" t="s">
        <v>499</v>
      </c>
      <c r="B212" s="7"/>
      <c r="C212" s="7"/>
      <c r="D212" s="7"/>
      <c r="E212" s="7"/>
      <c r="F212" s="7"/>
      <c r="G212" s="7"/>
      <c r="H212" s="7">
        <v>134400000</v>
      </c>
      <c r="I212" s="7"/>
      <c r="J212" s="7"/>
      <c r="K212" s="7">
        <v>134400000</v>
      </c>
      <c r="L212" s="134">
        <f t="shared" si="26"/>
        <v>0.93017450203329954</v>
      </c>
      <c r="M212" s="7" t="str">
        <f t="shared" si="22"/>
        <v>B</v>
      </c>
      <c r="N212" s="7">
        <f t="shared" si="23"/>
        <v>0</v>
      </c>
      <c r="O212" s="7" t="str">
        <f t="shared" si="24"/>
        <v>Z</v>
      </c>
      <c r="P212" s="7" t="str">
        <f t="shared" si="25"/>
        <v>BZ</v>
      </c>
      <c r="S212" s="6" t="s">
        <v>339</v>
      </c>
      <c r="T212" s="25">
        <v>1</v>
      </c>
      <c r="U212" s="7" t="str">
        <v>CZ</v>
      </c>
      <c r="Y212" t="e">
        <v>#N/A</v>
      </c>
      <c r="Z212" s="104"/>
    </row>
    <row r="213" spans="1:26">
      <c r="A213" s="133" t="s">
        <v>457</v>
      </c>
      <c r="B213" s="7"/>
      <c r="C213" s="7"/>
      <c r="D213" s="7"/>
      <c r="E213" s="7">
        <v>132120000</v>
      </c>
      <c r="F213" s="7"/>
      <c r="G213" s="7"/>
      <c r="H213" s="7"/>
      <c r="I213" s="7"/>
      <c r="J213" s="7"/>
      <c r="K213" s="7">
        <v>132120000</v>
      </c>
      <c r="L213" s="134">
        <f t="shared" si="26"/>
        <v>0.9306137610334082</v>
      </c>
      <c r="M213" s="7" t="str">
        <f t="shared" si="22"/>
        <v>B</v>
      </c>
      <c r="N213" s="7">
        <f t="shared" si="23"/>
        <v>0</v>
      </c>
      <c r="O213" s="7" t="str">
        <f t="shared" si="24"/>
        <v>Z</v>
      </c>
      <c r="P213" s="7" t="str">
        <f t="shared" si="25"/>
        <v>BZ</v>
      </c>
      <c r="S213" s="6" t="s">
        <v>339</v>
      </c>
      <c r="T213" s="25">
        <v>1</v>
      </c>
      <c r="U213" s="7" t="str">
        <v>CZ</v>
      </c>
      <c r="Y213" t="e">
        <v>#N/A</v>
      </c>
      <c r="Z213" s="104"/>
    </row>
    <row r="214" spans="1:26">
      <c r="A214" s="133" t="s">
        <v>370</v>
      </c>
      <c r="B214" s="7"/>
      <c r="C214" s="7"/>
      <c r="D214" s="7"/>
      <c r="E214" s="7"/>
      <c r="F214" s="7"/>
      <c r="G214" s="7"/>
      <c r="H214" s="7"/>
      <c r="I214" s="7"/>
      <c r="J214" s="7">
        <v>130407953</v>
      </c>
      <c r="K214" s="7">
        <v>130407953</v>
      </c>
      <c r="L214" s="134">
        <f t="shared" si="26"/>
        <v>0.93104732799557133</v>
      </c>
      <c r="M214" s="7" t="str">
        <f t="shared" si="22"/>
        <v>B</v>
      </c>
      <c r="N214" s="7">
        <f t="shared" si="23"/>
        <v>0</v>
      </c>
      <c r="O214" s="7" t="str">
        <f t="shared" si="24"/>
        <v>Z</v>
      </c>
      <c r="P214" s="7" t="str">
        <f t="shared" si="25"/>
        <v>BZ</v>
      </c>
      <c r="S214" s="6" t="s">
        <v>339</v>
      </c>
      <c r="T214" s="25">
        <v>3</v>
      </c>
      <c r="U214" s="7" t="str">
        <v>CZ</v>
      </c>
      <c r="Y214" t="e">
        <v>#N/A</v>
      </c>
      <c r="Z214" s="104"/>
    </row>
    <row r="215" spans="1:26">
      <c r="A215" s="133" t="s">
        <v>500</v>
      </c>
      <c r="B215" s="7">
        <v>75925000</v>
      </c>
      <c r="C215" s="7"/>
      <c r="D215" s="7">
        <v>13800000</v>
      </c>
      <c r="E215" s="7">
        <v>21390000</v>
      </c>
      <c r="F215" s="7">
        <v>1380000</v>
      </c>
      <c r="G215" s="7">
        <v>12730000</v>
      </c>
      <c r="H215" s="7">
        <v>3880000</v>
      </c>
      <c r="I215" s="7"/>
      <c r="J215" s="7"/>
      <c r="K215" s="7">
        <v>129105000</v>
      </c>
      <c r="L215" s="134">
        <f t="shared" si="26"/>
        <v>0.93147656303348403</v>
      </c>
      <c r="M215" s="7" t="str">
        <f t="shared" si="22"/>
        <v>B</v>
      </c>
      <c r="N215" s="7">
        <f t="shared" si="23"/>
        <v>1.1716518207333237</v>
      </c>
      <c r="O215" s="7" t="str">
        <f t="shared" si="24"/>
        <v>Z</v>
      </c>
      <c r="P215" s="7" t="str">
        <f t="shared" si="25"/>
        <v>BZ</v>
      </c>
      <c r="S215" s="6" t="s">
        <v>341</v>
      </c>
      <c r="T215" s="25">
        <v>1</v>
      </c>
      <c r="U215" s="7" t="str">
        <v>CZ</v>
      </c>
      <c r="Y215" t="e">
        <v>#N/A</v>
      </c>
      <c r="Z215" s="104"/>
    </row>
    <row r="216" spans="1:26">
      <c r="A216" s="133" t="s">
        <v>244</v>
      </c>
      <c r="B216" s="7"/>
      <c r="C216" s="7"/>
      <c r="D216" s="7"/>
      <c r="E216" s="7"/>
      <c r="F216" s="7"/>
      <c r="G216" s="7">
        <v>42500000</v>
      </c>
      <c r="H216" s="7"/>
      <c r="I216" s="7"/>
      <c r="J216" s="7">
        <v>85000000</v>
      </c>
      <c r="K216" s="7">
        <v>127500000</v>
      </c>
      <c r="L216" s="134">
        <f t="shared" si="26"/>
        <v>0.93190046193231724</v>
      </c>
      <c r="M216" s="7" t="str">
        <f t="shared" si="22"/>
        <v>B</v>
      </c>
      <c r="N216" s="7">
        <f t="shared" si="23"/>
        <v>0.33333333333333331</v>
      </c>
      <c r="O216" s="7" t="str">
        <f t="shared" si="24"/>
        <v>Y</v>
      </c>
      <c r="P216" s="7" t="str">
        <f t="shared" si="25"/>
        <v>BY</v>
      </c>
      <c r="S216" s="6" t="s">
        <v>341</v>
      </c>
      <c r="T216" s="25">
        <v>2</v>
      </c>
      <c r="U216" s="7" t="str">
        <v>CZ</v>
      </c>
      <c r="Y216" t="e">
        <v>#N/A</v>
      </c>
      <c r="Z216" s="104"/>
    </row>
    <row r="217" spans="1:26">
      <c r="A217" s="133" t="s">
        <v>368</v>
      </c>
      <c r="B217" s="7"/>
      <c r="C217" s="7"/>
      <c r="D217" s="7"/>
      <c r="E217" s="7"/>
      <c r="F217" s="7"/>
      <c r="G217" s="7"/>
      <c r="H217" s="7"/>
      <c r="I217" s="7"/>
      <c r="J217" s="7">
        <v>126883208</v>
      </c>
      <c r="K217" s="7">
        <v>126883208</v>
      </c>
      <c r="L217" s="134">
        <f t="shared" si="26"/>
        <v>0.93232231018448686</v>
      </c>
      <c r="M217" s="7" t="str">
        <f t="shared" si="22"/>
        <v>B</v>
      </c>
      <c r="N217" s="7">
        <f t="shared" si="23"/>
        <v>0</v>
      </c>
      <c r="O217" s="7" t="str">
        <f t="shared" si="24"/>
        <v>Z</v>
      </c>
      <c r="P217" s="7" t="str">
        <f t="shared" si="25"/>
        <v>BZ</v>
      </c>
      <c r="S217" s="6" t="s">
        <v>341</v>
      </c>
      <c r="T217" s="25">
        <v>3</v>
      </c>
      <c r="U217" s="7" t="str">
        <v>CZ</v>
      </c>
      <c r="Y217" t="e">
        <v>#N/A</v>
      </c>
      <c r="Z217" s="104"/>
    </row>
    <row r="218" spans="1:26">
      <c r="A218" s="133" t="s">
        <v>501</v>
      </c>
      <c r="B218" s="7"/>
      <c r="C218" s="7"/>
      <c r="D218" s="7"/>
      <c r="E218" s="7"/>
      <c r="F218" s="7"/>
      <c r="G218" s="7"/>
      <c r="H218" s="7"/>
      <c r="I218" s="7">
        <v>33048000</v>
      </c>
      <c r="J218" s="7">
        <v>93564000</v>
      </c>
      <c r="K218" s="7">
        <v>126612000</v>
      </c>
      <c r="L218" s="134">
        <f t="shared" si="26"/>
        <v>0.93274325675216585</v>
      </c>
      <c r="M218" s="7" t="str">
        <f t="shared" si="22"/>
        <v>B</v>
      </c>
      <c r="N218" s="7">
        <f t="shared" si="23"/>
        <v>0.47796417401194202</v>
      </c>
      <c r="O218" s="7" t="str">
        <f t="shared" si="24"/>
        <v>Y</v>
      </c>
      <c r="P218" s="7" t="str">
        <f t="shared" si="25"/>
        <v>BY</v>
      </c>
      <c r="S218" s="6" t="s">
        <v>502</v>
      </c>
      <c r="T218" s="25">
        <v>1</v>
      </c>
      <c r="U218" s="7" t="str">
        <v>CX</v>
      </c>
      <c r="Y218" t="e">
        <v>#N/A</v>
      </c>
      <c r="Z218" s="104"/>
    </row>
    <row r="219" spans="1:26">
      <c r="A219" s="133" t="s">
        <v>503</v>
      </c>
      <c r="B219" s="7"/>
      <c r="C219" s="7"/>
      <c r="D219" s="7"/>
      <c r="E219" s="7"/>
      <c r="F219" s="7"/>
      <c r="G219" s="7"/>
      <c r="H219" s="7"/>
      <c r="I219" s="7"/>
      <c r="J219" s="7">
        <v>126500000</v>
      </c>
      <c r="K219" s="7">
        <v>126500000</v>
      </c>
      <c r="L219" s="134">
        <f t="shared" si="26"/>
        <v>0.93316383095375333</v>
      </c>
      <c r="M219" s="7" t="str">
        <f t="shared" si="22"/>
        <v>B</v>
      </c>
      <c r="N219" s="7">
        <f t="shared" si="23"/>
        <v>0</v>
      </c>
      <c r="O219" s="7" t="str">
        <f t="shared" si="24"/>
        <v>Z</v>
      </c>
      <c r="P219" s="7" t="str">
        <f t="shared" si="25"/>
        <v>BZ</v>
      </c>
      <c r="S219" s="6" t="s">
        <v>343</v>
      </c>
      <c r="T219" s="25">
        <v>1</v>
      </c>
      <c r="U219" s="7" t="str">
        <v>CZ</v>
      </c>
      <c r="Y219" t="e">
        <v>#N/A</v>
      </c>
      <c r="Z219" s="104"/>
    </row>
    <row r="220" spans="1:26">
      <c r="A220" s="133" t="s">
        <v>351</v>
      </c>
      <c r="B220" s="7"/>
      <c r="C220" s="7"/>
      <c r="D220" s="7"/>
      <c r="E220" s="7">
        <v>4484000</v>
      </c>
      <c r="F220" s="7">
        <v>19582500</v>
      </c>
      <c r="G220" s="7">
        <v>7833000</v>
      </c>
      <c r="H220" s="7">
        <v>7833000</v>
      </c>
      <c r="I220" s="7">
        <v>31332000</v>
      </c>
      <c r="J220" s="7">
        <v>54831000</v>
      </c>
      <c r="K220" s="7">
        <v>125895500</v>
      </c>
      <c r="L220" s="134">
        <f t="shared" si="26"/>
        <v>0.93358239537585574</v>
      </c>
      <c r="M220" s="7" t="str">
        <f t="shared" si="22"/>
        <v>B</v>
      </c>
      <c r="N220" s="7">
        <f t="shared" si="23"/>
        <v>0.84200087982002791</v>
      </c>
      <c r="O220" s="7" t="str">
        <f t="shared" si="24"/>
        <v>Z</v>
      </c>
      <c r="P220" s="7" t="str">
        <f t="shared" si="25"/>
        <v>BZ</v>
      </c>
      <c r="S220" s="6" t="s">
        <v>343</v>
      </c>
      <c r="T220" s="25">
        <v>1</v>
      </c>
      <c r="U220" s="7" t="str">
        <v>CZ</v>
      </c>
      <c r="Y220" t="e">
        <v>#N/A</v>
      </c>
      <c r="Z220" s="104"/>
    </row>
    <row r="221" spans="1:26">
      <c r="A221" s="133" t="s">
        <v>198</v>
      </c>
      <c r="B221" s="7"/>
      <c r="C221" s="7"/>
      <c r="D221" s="7"/>
      <c r="E221" s="7"/>
      <c r="F221" s="7"/>
      <c r="G221" s="7"/>
      <c r="H221" s="7">
        <v>27975000</v>
      </c>
      <c r="I221" s="7">
        <v>60385400</v>
      </c>
      <c r="J221" s="7">
        <v>34527000</v>
      </c>
      <c r="K221" s="7">
        <v>122887400</v>
      </c>
      <c r="L221" s="134">
        <f t="shared" si="26"/>
        <v>0.93399095877617322</v>
      </c>
      <c r="M221" s="7" t="str">
        <f t="shared" si="22"/>
        <v>B</v>
      </c>
      <c r="N221" s="7">
        <f t="shared" si="23"/>
        <v>0.34158438524106344</v>
      </c>
      <c r="O221" s="7" t="str">
        <f t="shared" si="24"/>
        <v>Y</v>
      </c>
      <c r="P221" s="7" t="str">
        <f t="shared" si="25"/>
        <v>BY</v>
      </c>
      <c r="S221" s="6" t="s">
        <v>343</v>
      </c>
      <c r="T221" s="25">
        <v>4</v>
      </c>
      <c r="U221" s="7" t="str">
        <v>CZ</v>
      </c>
      <c r="Y221" t="e">
        <v>#N/A</v>
      </c>
      <c r="Z221" s="104"/>
    </row>
    <row r="222" spans="1:26">
      <c r="A222" s="133" t="s">
        <v>504</v>
      </c>
      <c r="B222" s="7"/>
      <c r="C222" s="7"/>
      <c r="D222" s="7"/>
      <c r="E222" s="7"/>
      <c r="F222" s="7"/>
      <c r="G222" s="7">
        <v>120262610</v>
      </c>
      <c r="H222" s="7">
        <v>150</v>
      </c>
      <c r="I222" s="7"/>
      <c r="J222" s="7"/>
      <c r="K222" s="7">
        <v>120262760</v>
      </c>
      <c r="L222" s="134">
        <f t="shared" si="26"/>
        <v>0.93439079604311159</v>
      </c>
      <c r="M222" s="7" t="str">
        <f t="shared" si="22"/>
        <v>B</v>
      </c>
      <c r="N222" s="7">
        <f t="shared" si="23"/>
        <v>0.99999750546220623</v>
      </c>
      <c r="O222" s="7" t="str">
        <f t="shared" si="24"/>
        <v>Z</v>
      </c>
      <c r="P222" s="7" t="str">
        <f t="shared" si="25"/>
        <v>BZ</v>
      </c>
      <c r="S222" s="6" t="s">
        <v>505</v>
      </c>
      <c r="T222" s="25">
        <v>1</v>
      </c>
      <c r="U222" s="7" t="str">
        <v>CZ</v>
      </c>
      <c r="Y222" t="e">
        <v>#N/A</v>
      </c>
      <c r="Z222" s="104"/>
    </row>
    <row r="223" spans="1:26">
      <c r="A223" s="133" t="s">
        <v>250</v>
      </c>
      <c r="B223" s="7"/>
      <c r="C223" s="7"/>
      <c r="D223" s="7">
        <v>8500000</v>
      </c>
      <c r="E223" s="7">
        <v>9350000</v>
      </c>
      <c r="F223" s="7"/>
      <c r="G223" s="7">
        <v>19278000</v>
      </c>
      <c r="H223" s="7">
        <v>19278000</v>
      </c>
      <c r="I223" s="7">
        <v>28917000</v>
      </c>
      <c r="J223" s="7">
        <v>34700400</v>
      </c>
      <c r="K223" s="7">
        <v>120023400</v>
      </c>
      <c r="L223" s="134">
        <f t="shared" si="26"/>
        <v>0.93478983751051725</v>
      </c>
      <c r="M223" s="7" t="str">
        <f t="shared" si="22"/>
        <v>B</v>
      </c>
      <c r="N223" s="7">
        <f t="shared" si="23"/>
        <v>0.47527105388928231</v>
      </c>
      <c r="O223" s="7" t="str">
        <f t="shared" si="24"/>
        <v>Y</v>
      </c>
      <c r="P223" s="7" t="str">
        <f t="shared" si="25"/>
        <v>BY</v>
      </c>
      <c r="S223" s="6" t="s">
        <v>506</v>
      </c>
      <c r="T223" s="25">
        <v>2</v>
      </c>
      <c r="U223" s="7" t="str">
        <v>BZ</v>
      </c>
      <c r="Y223" t="e">
        <v>#N/A</v>
      </c>
      <c r="Z223" s="104"/>
    </row>
    <row r="224" spans="1:26">
      <c r="A224" s="133" t="s">
        <v>506</v>
      </c>
      <c r="B224" s="7"/>
      <c r="C224" s="7"/>
      <c r="D224" s="7">
        <v>27600000</v>
      </c>
      <c r="E224" s="7">
        <v>18400000</v>
      </c>
      <c r="F224" s="7"/>
      <c r="G224" s="7"/>
      <c r="H224" s="7">
        <v>74000000</v>
      </c>
      <c r="I224" s="7"/>
      <c r="J224" s="7"/>
      <c r="K224" s="7">
        <v>120000000</v>
      </c>
      <c r="L224" s="134">
        <f t="shared" si="26"/>
        <v>0.93518880118000736</v>
      </c>
      <c r="M224" s="7" t="str">
        <f t="shared" si="22"/>
        <v>B</v>
      </c>
      <c r="N224" s="7">
        <f t="shared" si="23"/>
        <v>0.60833105022402623</v>
      </c>
      <c r="O224" s="7" t="str">
        <f t="shared" si="24"/>
        <v>Z</v>
      </c>
      <c r="P224" s="7" t="str">
        <f t="shared" si="25"/>
        <v>BZ</v>
      </c>
      <c r="S224" s="6" t="s">
        <v>507</v>
      </c>
      <c r="T224" s="25">
        <v>1</v>
      </c>
      <c r="U224" s="7" t="str">
        <v>CX</v>
      </c>
      <c r="Y224" t="e">
        <v>#N/A</v>
      </c>
      <c r="Z224" s="104"/>
    </row>
    <row r="225" spans="1:26">
      <c r="A225" s="133" t="s">
        <v>447</v>
      </c>
      <c r="B225" s="7">
        <v>120000000</v>
      </c>
      <c r="C225" s="7"/>
      <c r="D225" s="7"/>
      <c r="E225" s="7"/>
      <c r="F225" s="7"/>
      <c r="G225" s="7"/>
      <c r="H225" s="7"/>
      <c r="I225" s="7"/>
      <c r="J225" s="7"/>
      <c r="K225" s="7">
        <v>120000000</v>
      </c>
      <c r="L225" s="134">
        <f t="shared" si="26"/>
        <v>0.93558776484949746</v>
      </c>
      <c r="M225" s="7" t="str">
        <f t="shared" si="22"/>
        <v>B</v>
      </c>
      <c r="N225" s="7">
        <f t="shared" si="23"/>
        <v>0</v>
      </c>
      <c r="O225" s="7" t="str">
        <f t="shared" si="24"/>
        <v>Z</v>
      </c>
      <c r="P225" s="7" t="str">
        <f t="shared" si="25"/>
        <v>BZ</v>
      </c>
      <c r="S225" s="6" t="s">
        <v>297</v>
      </c>
      <c r="T225" s="25">
        <v>1</v>
      </c>
      <c r="U225" s="7" t="str">
        <v>BZ</v>
      </c>
      <c r="Y225" t="e">
        <v>#N/A</v>
      </c>
      <c r="Z225" s="104"/>
    </row>
    <row r="226" spans="1:26">
      <c r="A226" s="133" t="s">
        <v>484</v>
      </c>
      <c r="B226" s="7"/>
      <c r="C226" s="7"/>
      <c r="D226" s="7"/>
      <c r="E226" s="7"/>
      <c r="F226" s="7">
        <v>119850000</v>
      </c>
      <c r="G226" s="7"/>
      <c r="H226" s="7"/>
      <c r="I226" s="7"/>
      <c r="J226" s="7"/>
      <c r="K226" s="7">
        <v>119850000</v>
      </c>
      <c r="L226" s="134">
        <f t="shared" si="26"/>
        <v>0.93598622981440072</v>
      </c>
      <c r="M226" s="7" t="str">
        <f t="shared" si="22"/>
        <v>B</v>
      </c>
      <c r="N226" s="7">
        <f t="shared" si="23"/>
        <v>0</v>
      </c>
      <c r="O226" s="7" t="str">
        <f t="shared" si="24"/>
        <v>Z</v>
      </c>
      <c r="P226" s="7" t="str">
        <f t="shared" si="25"/>
        <v>BZ</v>
      </c>
      <c r="S226" s="6" t="s">
        <v>297</v>
      </c>
      <c r="T226" s="25">
        <v>1</v>
      </c>
      <c r="U226" s="7" t="str">
        <v>BZ</v>
      </c>
      <c r="Y226" t="e">
        <v>#N/A</v>
      </c>
      <c r="Z226" s="104"/>
    </row>
    <row r="227" spans="1:26">
      <c r="A227" s="133" t="s">
        <v>508</v>
      </c>
      <c r="B227" s="7"/>
      <c r="C227" s="7"/>
      <c r="D227" s="7"/>
      <c r="E227" s="7">
        <v>60000000</v>
      </c>
      <c r="F227" s="7"/>
      <c r="G227" s="7"/>
      <c r="H227" s="7"/>
      <c r="I227" s="7">
        <v>59400000</v>
      </c>
      <c r="J227" s="7"/>
      <c r="K227" s="7">
        <v>119400000</v>
      </c>
      <c r="L227" s="134">
        <f t="shared" si="26"/>
        <v>0.93638319866554343</v>
      </c>
      <c r="M227" s="7" t="str">
        <f t="shared" si="22"/>
        <v>B</v>
      </c>
      <c r="N227" s="7">
        <f t="shared" si="23"/>
        <v>5.0251256281407036E-3</v>
      </c>
      <c r="O227" s="7" t="str">
        <f t="shared" si="24"/>
        <v>X</v>
      </c>
      <c r="P227" s="7" t="str">
        <f t="shared" si="25"/>
        <v>BX</v>
      </c>
      <c r="S227" s="6" t="s">
        <v>297</v>
      </c>
      <c r="T227" s="25">
        <v>8</v>
      </c>
      <c r="U227" s="7" t="str">
        <v>BZ</v>
      </c>
      <c r="Y227" t="e">
        <v>#N/A</v>
      </c>
      <c r="Z227" s="104"/>
    </row>
    <row r="228" spans="1:26">
      <c r="A228" s="133" t="s">
        <v>509</v>
      </c>
      <c r="B228" s="7"/>
      <c r="C228" s="7"/>
      <c r="D228" s="7"/>
      <c r="E228" s="7">
        <v>58400000</v>
      </c>
      <c r="F228" s="7"/>
      <c r="G228" s="7">
        <v>60444000</v>
      </c>
      <c r="H228" s="7"/>
      <c r="I228" s="7"/>
      <c r="J228" s="7"/>
      <c r="K228" s="7">
        <v>118844000</v>
      </c>
      <c r="L228" s="134">
        <f t="shared" si="26"/>
        <v>0.9367783189850174</v>
      </c>
      <c r="M228" s="7" t="str">
        <f t="shared" si="22"/>
        <v>B</v>
      </c>
      <c r="N228" s="7">
        <f t="shared" si="23"/>
        <v>1.7199017199017199E-2</v>
      </c>
      <c r="O228" s="7" t="str">
        <f t="shared" si="24"/>
        <v>X</v>
      </c>
      <c r="P228" s="7" t="str">
        <f t="shared" si="25"/>
        <v>BX</v>
      </c>
      <c r="S228" s="6" t="s">
        <v>297</v>
      </c>
      <c r="T228" s="25">
        <v>5</v>
      </c>
      <c r="U228" s="7" t="str">
        <v>BZ</v>
      </c>
      <c r="Y228" t="e">
        <v>#N/A</v>
      </c>
      <c r="Z228" s="104"/>
    </row>
    <row r="229" spans="1:26">
      <c r="A229" s="133" t="s">
        <v>184</v>
      </c>
      <c r="B229" s="7"/>
      <c r="C229" s="7"/>
      <c r="D229" s="7"/>
      <c r="E229" s="7"/>
      <c r="F229" s="7"/>
      <c r="G229" s="7"/>
      <c r="H229" s="7">
        <v>37200000</v>
      </c>
      <c r="I229" s="7">
        <v>18600000</v>
      </c>
      <c r="J229" s="7">
        <v>62000000</v>
      </c>
      <c r="K229" s="7">
        <v>117800000</v>
      </c>
      <c r="L229" s="134">
        <f t="shared" si="26"/>
        <v>0.93716996832056687</v>
      </c>
      <c r="M229" s="7" t="str">
        <f t="shared" si="22"/>
        <v>B</v>
      </c>
      <c r="N229" s="7">
        <f t="shared" si="23"/>
        <v>0.45275396142329621</v>
      </c>
      <c r="O229" s="7" t="str">
        <f t="shared" si="24"/>
        <v>Y</v>
      </c>
      <c r="P229" s="7" t="str">
        <f t="shared" si="25"/>
        <v>BY</v>
      </c>
      <c r="S229" s="6" t="s">
        <v>510</v>
      </c>
      <c r="T229" s="25">
        <v>1</v>
      </c>
      <c r="U229" s="7" t="str">
        <v>CZ</v>
      </c>
      <c r="Y229" t="e">
        <v>#N/A</v>
      </c>
      <c r="Z229" s="104"/>
    </row>
    <row r="230" spans="1:26">
      <c r="A230" s="133" t="s">
        <v>511</v>
      </c>
      <c r="B230" s="7"/>
      <c r="C230" s="7"/>
      <c r="D230" s="7"/>
      <c r="E230" s="7"/>
      <c r="F230" s="7"/>
      <c r="G230" s="7"/>
      <c r="H230" s="7"/>
      <c r="I230" s="7">
        <v>117500000</v>
      </c>
      <c r="J230" s="7"/>
      <c r="K230" s="7">
        <v>117500000</v>
      </c>
      <c r="L230" s="134">
        <f t="shared" si="26"/>
        <v>0.93756062024694264</v>
      </c>
      <c r="M230" s="7" t="str">
        <f t="shared" si="22"/>
        <v>B</v>
      </c>
      <c r="N230" s="7">
        <f t="shared" si="23"/>
        <v>0</v>
      </c>
      <c r="O230" s="7" t="str">
        <f t="shared" si="24"/>
        <v>Z</v>
      </c>
      <c r="P230" s="7" t="str">
        <f t="shared" si="25"/>
        <v>BZ</v>
      </c>
      <c r="S230" s="6" t="s">
        <v>512</v>
      </c>
      <c r="T230" s="25">
        <v>1</v>
      </c>
      <c r="U230" s="7" t="str">
        <v>CY</v>
      </c>
      <c r="Y230" t="e">
        <v>#N/A</v>
      </c>
      <c r="Z230" s="104"/>
    </row>
    <row r="231" spans="1:26">
      <c r="A231" s="133" t="s">
        <v>513</v>
      </c>
      <c r="B231" s="7"/>
      <c r="C231" s="7"/>
      <c r="D231" s="7"/>
      <c r="E231" s="7">
        <v>42000000</v>
      </c>
      <c r="F231" s="7"/>
      <c r="G231" s="7"/>
      <c r="H231" s="7">
        <v>29400000</v>
      </c>
      <c r="I231" s="7">
        <v>44800000</v>
      </c>
      <c r="J231" s="7"/>
      <c r="K231" s="7">
        <v>116200000</v>
      </c>
      <c r="L231" s="134">
        <f t="shared" si="26"/>
        <v>0.93794695006689888</v>
      </c>
      <c r="M231" s="7" t="str">
        <f t="shared" si="22"/>
        <v>B</v>
      </c>
      <c r="N231" s="7">
        <f t="shared" si="23"/>
        <v>0.1729240975229798</v>
      </c>
      <c r="O231" s="7" t="str">
        <f t="shared" si="24"/>
        <v>X</v>
      </c>
      <c r="P231" s="7" t="str">
        <f t="shared" si="25"/>
        <v>BX</v>
      </c>
      <c r="S231" s="6" t="s">
        <v>512</v>
      </c>
      <c r="T231" s="25">
        <v>1</v>
      </c>
      <c r="U231" s="7" t="str">
        <v>CY</v>
      </c>
      <c r="Y231" t="e">
        <v>#N/A</v>
      </c>
      <c r="Z231" s="104"/>
    </row>
    <row r="232" spans="1:26">
      <c r="A232" s="133" t="s">
        <v>265</v>
      </c>
      <c r="B232" s="7"/>
      <c r="C232" s="7"/>
      <c r="D232" s="7">
        <v>10120277</v>
      </c>
      <c r="E232" s="7"/>
      <c r="F232" s="7"/>
      <c r="G232" s="7">
        <v>42870000</v>
      </c>
      <c r="H232" s="7"/>
      <c r="I232" s="7"/>
      <c r="J232" s="7">
        <v>62320000</v>
      </c>
      <c r="K232" s="7">
        <v>115310277</v>
      </c>
      <c r="L232" s="134">
        <f t="shared" si="26"/>
        <v>0.93833032182724752</v>
      </c>
      <c r="M232" s="7" t="str">
        <f t="shared" si="22"/>
        <v>B</v>
      </c>
      <c r="N232" s="7">
        <f t="shared" si="23"/>
        <v>0.56039524553391296</v>
      </c>
      <c r="O232" s="7" t="str">
        <f t="shared" si="24"/>
        <v>Y</v>
      </c>
      <c r="P232" s="7" t="str">
        <f t="shared" si="25"/>
        <v>BY</v>
      </c>
      <c r="S232" s="6" t="s">
        <v>512</v>
      </c>
      <c r="T232" s="25">
        <v>2</v>
      </c>
      <c r="U232" s="7" t="str">
        <v>CY</v>
      </c>
      <c r="Y232" t="e">
        <v>#N/A</v>
      </c>
      <c r="Z232" s="104"/>
    </row>
    <row r="233" spans="1:26">
      <c r="A233" s="133" t="s">
        <v>273</v>
      </c>
      <c r="B233" s="7"/>
      <c r="C233" s="7"/>
      <c r="D233" s="7"/>
      <c r="E233" s="7">
        <v>3900000</v>
      </c>
      <c r="F233" s="7"/>
      <c r="G233" s="7">
        <v>15600000</v>
      </c>
      <c r="H233" s="7">
        <v>54600000</v>
      </c>
      <c r="I233" s="7"/>
      <c r="J233" s="7">
        <v>39000000</v>
      </c>
      <c r="K233" s="7">
        <v>113100000</v>
      </c>
      <c r="L233" s="134">
        <f t="shared" si="26"/>
        <v>0.93870634508574191</v>
      </c>
      <c r="M233" s="7" t="str">
        <f t="shared" si="22"/>
        <v>B</v>
      </c>
      <c r="N233" s="7">
        <f t="shared" si="23"/>
        <v>0.69907361836942383</v>
      </c>
      <c r="O233" s="7" t="str">
        <f t="shared" si="24"/>
        <v>Z</v>
      </c>
      <c r="P233" s="7" t="str">
        <f t="shared" si="25"/>
        <v>BZ</v>
      </c>
      <c r="S233" s="6" t="s">
        <v>514</v>
      </c>
      <c r="T233" s="25">
        <v>1</v>
      </c>
      <c r="U233" s="7" t="str">
        <v>CZ</v>
      </c>
      <c r="Y233" t="e">
        <v>#N/A</v>
      </c>
      <c r="Z233" s="104"/>
    </row>
    <row r="234" spans="1:26">
      <c r="A234" s="133" t="s">
        <v>515</v>
      </c>
      <c r="B234" s="7"/>
      <c r="C234" s="7"/>
      <c r="D234" s="7"/>
      <c r="E234" s="7">
        <v>37500000</v>
      </c>
      <c r="F234" s="7"/>
      <c r="G234" s="7">
        <v>75000000</v>
      </c>
      <c r="H234" s="7"/>
      <c r="I234" s="7"/>
      <c r="J234" s="7"/>
      <c r="K234" s="7">
        <v>112500000</v>
      </c>
      <c r="L234" s="134">
        <f t="shared" si="26"/>
        <v>0.93908037352588891</v>
      </c>
      <c r="M234" s="7" t="str">
        <f t="shared" si="22"/>
        <v>B</v>
      </c>
      <c r="N234" s="7">
        <f t="shared" si="23"/>
        <v>0.33333333333333331</v>
      </c>
      <c r="O234" s="7" t="str">
        <f t="shared" si="24"/>
        <v>Y</v>
      </c>
      <c r="P234" s="7" t="str">
        <f t="shared" si="25"/>
        <v>BY</v>
      </c>
      <c r="S234" s="6" t="s">
        <v>345</v>
      </c>
      <c r="T234" s="25">
        <v>1</v>
      </c>
      <c r="U234" s="7" t="str">
        <v>CX</v>
      </c>
      <c r="Y234" t="e">
        <v>#N/A</v>
      </c>
      <c r="Z234" s="104"/>
    </row>
    <row r="235" spans="1:26">
      <c r="A235" s="133" t="s">
        <v>516</v>
      </c>
      <c r="B235" s="7"/>
      <c r="C235" s="7"/>
      <c r="D235" s="7"/>
      <c r="E235" s="7"/>
      <c r="F235" s="7"/>
      <c r="G235" s="7"/>
      <c r="H235" s="7"/>
      <c r="I235" s="7">
        <v>111500000</v>
      </c>
      <c r="J235" s="7"/>
      <c r="K235" s="7">
        <v>111500000</v>
      </c>
      <c r="L235" s="134">
        <f t="shared" si="26"/>
        <v>0.93945107726879018</v>
      </c>
      <c r="M235" s="7" t="str">
        <f t="shared" si="22"/>
        <v>B</v>
      </c>
      <c r="N235" s="7">
        <f t="shared" si="23"/>
        <v>0</v>
      </c>
      <c r="O235" s="7" t="str">
        <f t="shared" si="24"/>
        <v>Z</v>
      </c>
      <c r="P235" s="7" t="str">
        <f t="shared" si="25"/>
        <v>BZ</v>
      </c>
      <c r="S235" s="6" t="s">
        <v>517</v>
      </c>
      <c r="T235" s="25">
        <v>1</v>
      </c>
      <c r="U235" s="7" t="str">
        <v>CY</v>
      </c>
      <c r="Y235" t="e">
        <v>#N/A</v>
      </c>
      <c r="Z235" s="104"/>
    </row>
    <row r="236" spans="1:26">
      <c r="A236" s="133" t="s">
        <v>518</v>
      </c>
      <c r="B236" s="7"/>
      <c r="C236" s="7"/>
      <c r="D236" s="7"/>
      <c r="E236" s="7"/>
      <c r="F236" s="7"/>
      <c r="G236" s="7"/>
      <c r="H236" s="7"/>
      <c r="I236" s="7">
        <v>110909100</v>
      </c>
      <c r="J236" s="7"/>
      <c r="K236" s="7">
        <v>110909100</v>
      </c>
      <c r="L236" s="134">
        <f t="shared" si="26"/>
        <v>0.93981981644808887</v>
      </c>
      <c r="M236" s="7" t="str">
        <f t="shared" si="22"/>
        <v>B</v>
      </c>
      <c r="N236" s="7">
        <f t="shared" si="23"/>
        <v>0</v>
      </c>
      <c r="O236" s="7" t="str">
        <f t="shared" si="24"/>
        <v>Z</v>
      </c>
      <c r="P236" s="7" t="str">
        <f t="shared" si="25"/>
        <v>BZ</v>
      </c>
      <c r="S236" s="6" t="s">
        <v>517</v>
      </c>
      <c r="T236" s="25">
        <v>2</v>
      </c>
      <c r="U236" s="7" t="str">
        <v>CY</v>
      </c>
      <c r="Y236" t="e">
        <v>#N/A</v>
      </c>
      <c r="Z236" s="104"/>
    </row>
    <row r="237" spans="1:26">
      <c r="A237" s="133" t="s">
        <v>519</v>
      </c>
      <c r="B237" s="7"/>
      <c r="C237" s="7"/>
      <c r="D237" s="7"/>
      <c r="E237" s="7"/>
      <c r="F237" s="7">
        <v>109256472</v>
      </c>
      <c r="G237" s="7"/>
      <c r="H237" s="7"/>
      <c r="I237" s="7"/>
      <c r="J237" s="7"/>
      <c r="K237" s="7">
        <v>109256472</v>
      </c>
      <c r="L237" s="134">
        <f t="shared" si="26"/>
        <v>0.94018306113962768</v>
      </c>
      <c r="M237" s="7" t="str">
        <f t="shared" si="22"/>
        <v>B</v>
      </c>
      <c r="N237" s="7">
        <f t="shared" si="23"/>
        <v>0</v>
      </c>
      <c r="O237" s="7" t="str">
        <f t="shared" si="24"/>
        <v>Z</v>
      </c>
      <c r="P237" s="7" t="str">
        <f t="shared" si="25"/>
        <v>BZ</v>
      </c>
      <c r="S237" s="6" t="s">
        <v>520</v>
      </c>
      <c r="T237" s="25">
        <v>1</v>
      </c>
      <c r="U237" s="7" t="str">
        <v>CY</v>
      </c>
      <c r="Y237" t="e">
        <v>#N/A</v>
      </c>
      <c r="Z237" s="104"/>
    </row>
    <row r="238" spans="1:26">
      <c r="A238" s="133" t="s">
        <v>521</v>
      </c>
      <c r="B238" s="7"/>
      <c r="C238" s="7"/>
      <c r="D238" s="7"/>
      <c r="E238" s="7"/>
      <c r="F238" s="7"/>
      <c r="G238" s="7"/>
      <c r="H238" s="7"/>
      <c r="I238" s="7">
        <v>109080000</v>
      </c>
      <c r="J238" s="7"/>
      <c r="K238" s="7">
        <v>109080000</v>
      </c>
      <c r="L238" s="134">
        <f t="shared" si="26"/>
        <v>0.94054571911519425</v>
      </c>
      <c r="M238" s="7" t="str">
        <f t="shared" si="22"/>
        <v>B</v>
      </c>
      <c r="N238" s="7">
        <f t="shared" si="23"/>
        <v>0</v>
      </c>
      <c r="O238" s="7" t="str">
        <f t="shared" si="24"/>
        <v>Z</v>
      </c>
      <c r="P238" s="7" t="str">
        <f t="shared" si="25"/>
        <v>BZ</v>
      </c>
      <c r="S238" s="6" t="s">
        <v>522</v>
      </c>
      <c r="T238" s="25">
        <v>1</v>
      </c>
      <c r="U238" s="7" t="str">
        <v>CZ</v>
      </c>
      <c r="Y238" t="e">
        <v>#N/A</v>
      </c>
      <c r="Z238" s="104"/>
    </row>
    <row r="239" spans="1:26">
      <c r="A239" s="133" t="s">
        <v>523</v>
      </c>
      <c r="B239" s="7"/>
      <c r="C239" s="7"/>
      <c r="D239" s="7"/>
      <c r="E239" s="7"/>
      <c r="F239" s="7">
        <v>54000000</v>
      </c>
      <c r="G239" s="7"/>
      <c r="H239" s="7">
        <v>54000000</v>
      </c>
      <c r="I239" s="7"/>
      <c r="J239" s="7"/>
      <c r="K239" s="7">
        <v>108000000</v>
      </c>
      <c r="L239" s="134">
        <f t="shared" si="26"/>
        <v>0.94090478641773534</v>
      </c>
      <c r="M239" s="7" t="str">
        <f t="shared" si="22"/>
        <v>B</v>
      </c>
      <c r="N239" s="7">
        <f t="shared" si="23"/>
        <v>0</v>
      </c>
      <c r="O239" s="7" t="str">
        <f t="shared" si="24"/>
        <v>Z</v>
      </c>
      <c r="P239" s="7" t="str">
        <f t="shared" si="25"/>
        <v>BZ</v>
      </c>
      <c r="S239" s="6" t="s">
        <v>524</v>
      </c>
      <c r="T239" s="25">
        <v>1</v>
      </c>
      <c r="U239" s="7" t="str">
        <v>BZ</v>
      </c>
      <c r="Y239" t="e">
        <v>#N/A</v>
      </c>
      <c r="Z239" s="104"/>
    </row>
    <row r="240" spans="1:26">
      <c r="A240" s="133" t="s">
        <v>356</v>
      </c>
      <c r="B240" s="7"/>
      <c r="C240" s="7"/>
      <c r="D240" s="7"/>
      <c r="E240" s="7"/>
      <c r="F240" s="7">
        <v>54000000</v>
      </c>
      <c r="G240" s="7"/>
      <c r="H240" s="7">
        <v>54000000</v>
      </c>
      <c r="I240" s="7"/>
      <c r="J240" s="7"/>
      <c r="K240" s="7">
        <v>108000000</v>
      </c>
      <c r="L240" s="134">
        <f t="shared" si="26"/>
        <v>0.94126385372027643</v>
      </c>
      <c r="M240" s="7" t="str">
        <f t="shared" si="22"/>
        <v>B</v>
      </c>
      <c r="N240" s="7">
        <f t="shared" si="23"/>
        <v>0</v>
      </c>
      <c r="O240" s="7" t="str">
        <f t="shared" si="24"/>
        <v>Z</v>
      </c>
      <c r="P240" s="7" t="str">
        <f t="shared" si="25"/>
        <v>BZ</v>
      </c>
      <c r="S240" s="6" t="s">
        <v>525</v>
      </c>
      <c r="T240" s="25">
        <v>1</v>
      </c>
      <c r="U240" s="7" t="str">
        <v>CZ</v>
      </c>
      <c r="Y240" t="e">
        <v>#N/A</v>
      </c>
      <c r="Z240" s="104"/>
    </row>
    <row r="241" spans="1:26">
      <c r="A241" s="133" t="s">
        <v>301</v>
      </c>
      <c r="B241" s="7"/>
      <c r="C241" s="7"/>
      <c r="D241" s="7"/>
      <c r="E241" s="7">
        <v>11400000</v>
      </c>
      <c r="F241" s="7">
        <v>19000000</v>
      </c>
      <c r="G241" s="7">
        <v>57000000</v>
      </c>
      <c r="H241" s="7"/>
      <c r="I241" s="7">
        <v>19000000</v>
      </c>
      <c r="J241" s="7"/>
      <c r="K241" s="7">
        <v>106400000</v>
      </c>
      <c r="L241" s="134">
        <f t="shared" si="26"/>
        <v>0.94161760150722429</v>
      </c>
      <c r="M241" s="7" t="str">
        <f t="shared" si="22"/>
        <v>B</v>
      </c>
      <c r="N241" s="7">
        <f t="shared" si="23"/>
        <v>0.67005939426048988</v>
      </c>
      <c r="O241" s="7" t="str">
        <f t="shared" si="24"/>
        <v>Z</v>
      </c>
      <c r="P241" s="7" t="str">
        <f t="shared" si="25"/>
        <v>BZ</v>
      </c>
      <c r="S241" s="6" t="s">
        <v>526</v>
      </c>
      <c r="T241" s="25">
        <v>1</v>
      </c>
      <c r="U241" s="7" t="str">
        <v>CZ</v>
      </c>
      <c r="Y241" t="e">
        <v>#N/A</v>
      </c>
      <c r="Z241" s="104"/>
    </row>
    <row r="242" spans="1:26">
      <c r="A242" s="133" t="s">
        <v>527</v>
      </c>
      <c r="B242" s="7"/>
      <c r="C242" s="7"/>
      <c r="D242" s="7"/>
      <c r="E242" s="7"/>
      <c r="F242" s="7"/>
      <c r="G242" s="7"/>
      <c r="H242" s="7"/>
      <c r="I242" s="7"/>
      <c r="J242" s="7">
        <v>105718503.32099999</v>
      </c>
      <c r="K242" s="7">
        <v>105718503.32099999</v>
      </c>
      <c r="L242" s="134">
        <f t="shared" si="26"/>
        <v>0.94196908352404052</v>
      </c>
      <c r="M242" s="7" t="str">
        <f t="shared" si="22"/>
        <v>B</v>
      </c>
      <c r="N242" s="7">
        <f t="shared" si="23"/>
        <v>0</v>
      </c>
      <c r="O242" s="7" t="str">
        <f t="shared" si="24"/>
        <v>Z</v>
      </c>
      <c r="P242" s="7" t="str">
        <f t="shared" si="25"/>
        <v>BZ</v>
      </c>
      <c r="S242" s="6" t="s">
        <v>526</v>
      </c>
      <c r="T242" s="25">
        <v>2</v>
      </c>
      <c r="U242" s="7" t="str">
        <v>CZ</v>
      </c>
      <c r="Y242" t="e">
        <v>#N/A</v>
      </c>
      <c r="Z242" s="104"/>
    </row>
    <row r="243" spans="1:26">
      <c r="A243" s="133" t="s">
        <v>528</v>
      </c>
      <c r="B243" s="7">
        <v>100000000</v>
      </c>
      <c r="C243" s="7"/>
      <c r="D243" s="7"/>
      <c r="E243" s="7">
        <v>5500000</v>
      </c>
      <c r="F243" s="7"/>
      <c r="G243" s="7"/>
      <c r="H243" s="7"/>
      <c r="I243" s="7"/>
      <c r="J243" s="7"/>
      <c r="K243" s="7">
        <v>105500000</v>
      </c>
      <c r="L243" s="134">
        <f t="shared" si="26"/>
        <v>0.94231983908346728</v>
      </c>
      <c r="M243" s="7" t="str">
        <f t="shared" si="22"/>
        <v>B</v>
      </c>
      <c r="N243" s="7">
        <f t="shared" si="23"/>
        <v>0.89573459715639814</v>
      </c>
      <c r="O243" s="7" t="str">
        <f t="shared" si="24"/>
        <v>Z</v>
      </c>
      <c r="P243" s="7" t="str">
        <f t="shared" si="25"/>
        <v>BZ</v>
      </c>
      <c r="S243" s="6" t="s">
        <v>526</v>
      </c>
      <c r="T243" s="25">
        <v>1</v>
      </c>
      <c r="U243" s="7" t="str">
        <v>CZ</v>
      </c>
      <c r="Y243" t="e">
        <v>#N/A</v>
      </c>
      <c r="Z243" s="104"/>
    </row>
    <row r="244" spans="1:26">
      <c r="A244" s="133" t="s">
        <v>529</v>
      </c>
      <c r="B244" s="7"/>
      <c r="C244" s="7"/>
      <c r="D244" s="7"/>
      <c r="E244" s="7"/>
      <c r="F244" s="7"/>
      <c r="G244" s="7"/>
      <c r="H244" s="7">
        <v>1700</v>
      </c>
      <c r="I244" s="7">
        <v>69600000</v>
      </c>
      <c r="J244" s="7">
        <v>34800000</v>
      </c>
      <c r="K244" s="7">
        <v>104401700</v>
      </c>
      <c r="L244" s="134">
        <f t="shared" si="26"/>
        <v>0.942666943127909</v>
      </c>
      <c r="M244" s="7" t="str">
        <f t="shared" si="22"/>
        <v>B</v>
      </c>
      <c r="N244" s="7">
        <f t="shared" si="23"/>
        <v>0.8164633429441216</v>
      </c>
      <c r="O244" s="7" t="str">
        <f t="shared" si="24"/>
        <v>Z</v>
      </c>
      <c r="P244" s="7" t="str">
        <f t="shared" si="25"/>
        <v>BZ</v>
      </c>
      <c r="S244" s="6" t="s">
        <v>526</v>
      </c>
      <c r="T244" s="25">
        <v>2</v>
      </c>
      <c r="U244" s="7" t="str">
        <v>CZ</v>
      </c>
      <c r="Y244" t="e">
        <v>#N/A</v>
      </c>
      <c r="Z244" s="104"/>
    </row>
    <row r="245" spans="1:26">
      <c r="A245" s="133" t="s">
        <v>530</v>
      </c>
      <c r="B245" s="7"/>
      <c r="C245" s="7"/>
      <c r="D245" s="7"/>
      <c r="E245" s="7"/>
      <c r="F245" s="7"/>
      <c r="G245" s="7"/>
      <c r="H245" s="7"/>
      <c r="I245" s="7">
        <v>103680000</v>
      </c>
      <c r="J245" s="7"/>
      <c r="K245" s="7">
        <v>103680000</v>
      </c>
      <c r="L245" s="134">
        <f t="shared" si="26"/>
        <v>0.94301164773834845</v>
      </c>
      <c r="M245" s="7" t="str">
        <f t="shared" si="22"/>
        <v>B</v>
      </c>
      <c r="N245" s="7">
        <f t="shared" si="23"/>
        <v>0</v>
      </c>
      <c r="O245" s="7" t="str">
        <f t="shared" si="24"/>
        <v>Z</v>
      </c>
      <c r="P245" s="7" t="str">
        <f t="shared" si="25"/>
        <v>BZ</v>
      </c>
      <c r="S245" s="6" t="s">
        <v>531</v>
      </c>
      <c r="T245" s="25">
        <v>1</v>
      </c>
      <c r="U245" s="7" t="str">
        <v>CZ</v>
      </c>
      <c r="Y245" t="e">
        <v>#N/A</v>
      </c>
      <c r="Z245" s="104"/>
    </row>
    <row r="246" spans="1:26">
      <c r="A246" s="133" t="s">
        <v>344</v>
      </c>
      <c r="B246" s="7">
        <v>34400000</v>
      </c>
      <c r="C246" s="7"/>
      <c r="D246" s="7"/>
      <c r="E246" s="7"/>
      <c r="F246" s="7"/>
      <c r="G246" s="7"/>
      <c r="H246" s="7">
        <v>68800000</v>
      </c>
      <c r="I246" s="7"/>
      <c r="J246" s="7"/>
      <c r="K246" s="7">
        <v>103200000</v>
      </c>
      <c r="L246" s="134">
        <f t="shared" si="26"/>
        <v>0.94335475649410994</v>
      </c>
      <c r="M246" s="7" t="str">
        <f t="shared" si="22"/>
        <v>B</v>
      </c>
      <c r="N246" s="7">
        <f t="shared" si="23"/>
        <v>0.33333333333333331</v>
      </c>
      <c r="O246" s="7" t="str">
        <f t="shared" si="24"/>
        <v>Y</v>
      </c>
      <c r="P246" s="7" t="str">
        <f t="shared" si="25"/>
        <v>BY</v>
      </c>
      <c r="S246" s="6" t="s">
        <v>218</v>
      </c>
      <c r="T246" s="25">
        <v>5</v>
      </c>
      <c r="U246" s="7" t="str">
        <v>AY</v>
      </c>
      <c r="Y246" t="e">
        <v>#N/A</v>
      </c>
      <c r="Z246" s="104"/>
    </row>
    <row r="247" spans="1:26">
      <c r="A247" s="133" t="s">
        <v>226</v>
      </c>
      <c r="B247" s="7"/>
      <c r="C247" s="7"/>
      <c r="D247" s="7">
        <v>25600000</v>
      </c>
      <c r="E247" s="7"/>
      <c r="F247" s="7"/>
      <c r="G247" s="7">
        <v>25600000</v>
      </c>
      <c r="H247" s="7"/>
      <c r="I247" s="7">
        <v>51200000</v>
      </c>
      <c r="J247" s="7"/>
      <c r="K247" s="7">
        <v>102400000</v>
      </c>
      <c r="L247" s="134">
        <f t="shared" si="26"/>
        <v>0.94369520549207486</v>
      </c>
      <c r="M247" s="7" t="str">
        <f t="shared" si="22"/>
        <v>B</v>
      </c>
      <c r="N247" s="7">
        <f t="shared" si="23"/>
        <v>0.35355339059327373</v>
      </c>
      <c r="O247" s="7" t="str">
        <f t="shared" si="24"/>
        <v>Y</v>
      </c>
      <c r="P247" s="7" t="str">
        <f t="shared" si="25"/>
        <v>BY</v>
      </c>
      <c r="S247" s="6" t="s">
        <v>218</v>
      </c>
      <c r="T247" s="25">
        <v>4</v>
      </c>
      <c r="U247" s="7" t="str">
        <v>AY</v>
      </c>
      <c r="Y247" t="e">
        <v>#N/A</v>
      </c>
      <c r="Z247" s="104"/>
    </row>
    <row r="248" spans="1:26">
      <c r="A248" s="133" t="s">
        <v>532</v>
      </c>
      <c r="B248" s="7"/>
      <c r="C248" s="7"/>
      <c r="D248" s="7"/>
      <c r="E248" s="7"/>
      <c r="F248" s="7"/>
      <c r="G248" s="7">
        <v>101500000</v>
      </c>
      <c r="H248" s="7"/>
      <c r="I248" s="7"/>
      <c r="J248" s="7"/>
      <c r="K248" s="7">
        <v>101500000</v>
      </c>
      <c r="L248" s="134">
        <f t="shared" si="26"/>
        <v>0.94403266226251858</v>
      </c>
      <c r="M248" s="7" t="str">
        <f t="shared" si="22"/>
        <v>B</v>
      </c>
      <c r="N248" s="7">
        <f t="shared" si="23"/>
        <v>0</v>
      </c>
      <c r="O248" s="7" t="str">
        <f t="shared" si="24"/>
        <v>Z</v>
      </c>
      <c r="P248" s="7" t="str">
        <f t="shared" si="25"/>
        <v>BZ</v>
      </c>
      <c r="S248" s="6" t="s">
        <v>218</v>
      </c>
      <c r="T248" s="25">
        <v>2</v>
      </c>
      <c r="U248" s="7" t="str">
        <v>AY</v>
      </c>
      <c r="Y248" t="e">
        <v>#N/A</v>
      </c>
      <c r="Z248" s="104"/>
    </row>
    <row r="249" spans="1:26">
      <c r="A249" s="133" t="s">
        <v>533</v>
      </c>
      <c r="B249" s="7"/>
      <c r="C249" s="7"/>
      <c r="D249" s="7"/>
      <c r="E249" s="7"/>
      <c r="F249" s="7"/>
      <c r="G249" s="7"/>
      <c r="H249" s="7"/>
      <c r="I249" s="7">
        <v>101304000</v>
      </c>
      <c r="J249" s="7"/>
      <c r="K249" s="7">
        <v>101304000</v>
      </c>
      <c r="L249" s="134">
        <f t="shared" si="26"/>
        <v>0.9443694673923021</v>
      </c>
      <c r="M249" s="7" t="str">
        <f t="shared" si="22"/>
        <v>B</v>
      </c>
      <c r="N249" s="7">
        <f t="shared" si="23"/>
        <v>0</v>
      </c>
      <c r="O249" s="7" t="str">
        <f t="shared" si="24"/>
        <v>Z</v>
      </c>
      <c r="P249" s="7" t="str">
        <f t="shared" si="25"/>
        <v>BZ</v>
      </c>
      <c r="S249" s="6" t="s">
        <v>218</v>
      </c>
      <c r="T249" s="25">
        <v>1</v>
      </c>
      <c r="U249" s="7" t="str">
        <v>AY</v>
      </c>
      <c r="Y249" t="e">
        <v>#N/A</v>
      </c>
      <c r="Z249" s="104"/>
    </row>
    <row r="250" spans="1:26">
      <c r="A250" s="133" t="s">
        <v>437</v>
      </c>
      <c r="B250" s="7"/>
      <c r="C250" s="7"/>
      <c r="D250" s="7"/>
      <c r="E250" s="7"/>
      <c r="F250" s="7"/>
      <c r="G250" s="7"/>
      <c r="H250" s="7">
        <v>66990000</v>
      </c>
      <c r="I250" s="7">
        <v>33990000</v>
      </c>
      <c r="J250" s="7"/>
      <c r="K250" s="7">
        <v>100980000</v>
      </c>
      <c r="L250" s="134">
        <f t="shared" si="26"/>
        <v>0.94470519532017805</v>
      </c>
      <c r="M250" s="7" t="str">
        <f t="shared" si="22"/>
        <v>B</v>
      </c>
      <c r="N250" s="7">
        <f t="shared" si="23"/>
        <v>0.32679738562091504</v>
      </c>
      <c r="O250" s="7" t="str">
        <f t="shared" si="24"/>
        <v>Y</v>
      </c>
      <c r="P250" s="7" t="str">
        <f t="shared" si="25"/>
        <v>BY</v>
      </c>
      <c r="S250" s="6" t="s">
        <v>210</v>
      </c>
      <c r="T250" s="25">
        <v>1</v>
      </c>
      <c r="U250" s="7" t="str">
        <v>AY</v>
      </c>
      <c r="Y250" t="e">
        <v>#N/A</v>
      </c>
      <c r="Z250" s="104"/>
    </row>
    <row r="251" spans="1:26">
      <c r="A251" s="133" t="s">
        <v>534</v>
      </c>
      <c r="B251" s="7"/>
      <c r="C251" s="7"/>
      <c r="D251" s="7"/>
      <c r="E251" s="7"/>
      <c r="F251" s="7"/>
      <c r="G251" s="7"/>
      <c r="H251" s="7"/>
      <c r="I251" s="7">
        <v>100936000</v>
      </c>
      <c r="J251" s="7"/>
      <c r="K251" s="7">
        <v>100936000</v>
      </c>
      <c r="L251" s="134">
        <f t="shared" si="26"/>
        <v>0.94504077696137512</v>
      </c>
      <c r="M251" s="7" t="str">
        <f t="shared" si="22"/>
        <v>B</v>
      </c>
      <c r="N251" s="7">
        <f t="shared" si="23"/>
        <v>0</v>
      </c>
      <c r="O251" s="7" t="str">
        <f t="shared" si="24"/>
        <v>Z</v>
      </c>
      <c r="P251" s="7" t="str">
        <f t="shared" si="25"/>
        <v>BZ</v>
      </c>
      <c r="S251" s="6" t="s">
        <v>210</v>
      </c>
      <c r="T251" s="25">
        <v>5</v>
      </c>
      <c r="U251" s="7" t="str">
        <v>AY</v>
      </c>
      <c r="Y251" t="e">
        <v>#N/A</v>
      </c>
      <c r="Z251" s="104"/>
    </row>
    <row r="252" spans="1:26">
      <c r="A252" s="133" t="s">
        <v>535</v>
      </c>
      <c r="B252" s="7">
        <v>50400000</v>
      </c>
      <c r="C252" s="7"/>
      <c r="D252" s="7"/>
      <c r="E252" s="7"/>
      <c r="F252" s="7"/>
      <c r="G252" s="7"/>
      <c r="H252" s="7">
        <v>50400000</v>
      </c>
      <c r="I252" s="7"/>
      <c r="J252" s="7"/>
      <c r="K252" s="7">
        <v>100800000</v>
      </c>
      <c r="L252" s="134">
        <f t="shared" si="26"/>
        <v>0.94537590644374681</v>
      </c>
      <c r="M252" s="7" t="str">
        <f t="shared" si="22"/>
        <v>B</v>
      </c>
      <c r="N252" s="7">
        <f t="shared" si="23"/>
        <v>0</v>
      </c>
      <c r="O252" s="7" t="str">
        <f t="shared" si="24"/>
        <v>Z</v>
      </c>
      <c r="P252" s="7" t="str">
        <f t="shared" si="25"/>
        <v>BZ</v>
      </c>
      <c r="S252" s="6" t="s">
        <v>210</v>
      </c>
      <c r="T252" s="25">
        <v>1</v>
      </c>
      <c r="U252" s="7" t="str">
        <v>AY</v>
      </c>
      <c r="Y252" t="e">
        <v>#N/A</v>
      </c>
      <c r="Z252" s="104"/>
    </row>
    <row r="253" spans="1:26">
      <c r="A253" s="133" t="s">
        <v>536</v>
      </c>
      <c r="B253" s="7"/>
      <c r="C253" s="7"/>
      <c r="D253" s="7"/>
      <c r="E253" s="7"/>
      <c r="F253" s="7"/>
      <c r="G253" s="7"/>
      <c r="H253" s="7">
        <v>100800000</v>
      </c>
      <c r="I253" s="7"/>
      <c r="J253" s="7"/>
      <c r="K253" s="7">
        <v>100800000</v>
      </c>
      <c r="L253" s="134">
        <f t="shared" si="26"/>
        <v>0.94571103592611849</v>
      </c>
      <c r="M253" s="7" t="str">
        <f t="shared" si="22"/>
        <v>B</v>
      </c>
      <c r="N253" s="7">
        <f t="shared" si="23"/>
        <v>0</v>
      </c>
      <c r="O253" s="7" t="str">
        <f t="shared" si="24"/>
        <v>Z</v>
      </c>
      <c r="P253" s="7" t="str">
        <f t="shared" si="25"/>
        <v>BZ</v>
      </c>
      <c r="S253" s="6" t="s">
        <v>210</v>
      </c>
      <c r="T253" s="25">
        <v>3</v>
      </c>
      <c r="U253" s="7" t="str">
        <v>AY</v>
      </c>
      <c r="Y253" t="e">
        <v>#N/A</v>
      </c>
      <c r="Z253" s="104"/>
    </row>
    <row r="254" spans="1:26">
      <c r="A254" s="133" t="s">
        <v>537</v>
      </c>
      <c r="B254" s="7"/>
      <c r="C254" s="7"/>
      <c r="D254" s="7"/>
      <c r="E254" s="7"/>
      <c r="F254" s="7"/>
      <c r="G254" s="7"/>
      <c r="H254" s="7"/>
      <c r="I254" s="7"/>
      <c r="J254" s="7">
        <v>100001000</v>
      </c>
      <c r="K254" s="7">
        <v>100001000</v>
      </c>
      <c r="L254" s="134">
        <f t="shared" si="26"/>
        <v>0.9460435089753908</v>
      </c>
      <c r="M254" s="7" t="str">
        <f t="shared" si="22"/>
        <v>B</v>
      </c>
      <c r="N254" s="7">
        <f t="shared" si="23"/>
        <v>0</v>
      </c>
      <c r="O254" s="7" t="str">
        <f t="shared" si="24"/>
        <v>Z</v>
      </c>
      <c r="P254" s="7" t="str">
        <f t="shared" si="25"/>
        <v>BZ</v>
      </c>
      <c r="S254" s="6" t="s">
        <v>210</v>
      </c>
      <c r="T254" s="25">
        <v>3</v>
      </c>
      <c r="U254" s="7" t="str">
        <v>AY</v>
      </c>
      <c r="Y254" t="e">
        <v>#N/A</v>
      </c>
      <c r="Z254" s="104"/>
    </row>
    <row r="255" spans="1:26">
      <c r="A255" s="133" t="s">
        <v>383</v>
      </c>
      <c r="B255" s="7"/>
      <c r="C255" s="7"/>
      <c r="D255" s="7"/>
      <c r="E255" s="7"/>
      <c r="F255" s="7">
        <v>47000000</v>
      </c>
      <c r="G255" s="7">
        <v>53000000</v>
      </c>
      <c r="H255" s="7"/>
      <c r="I255" s="7"/>
      <c r="J255" s="7"/>
      <c r="K255" s="7">
        <v>100000000</v>
      </c>
      <c r="L255" s="134">
        <f t="shared" si="26"/>
        <v>0.94637597869996593</v>
      </c>
      <c r="M255" s="7" t="str">
        <f t="shared" si="22"/>
        <v>B</v>
      </c>
      <c r="N255" s="7">
        <f t="shared" si="23"/>
        <v>0.06</v>
      </c>
      <c r="O255" s="7" t="str">
        <f t="shared" si="24"/>
        <v>X</v>
      </c>
      <c r="P255" s="7" t="str">
        <f t="shared" si="25"/>
        <v>BX</v>
      </c>
      <c r="S255" s="6" t="s">
        <v>210</v>
      </c>
      <c r="T255" s="25">
        <v>1</v>
      </c>
      <c r="U255" s="7" t="str">
        <v>AY</v>
      </c>
      <c r="Y255" t="e">
        <v>#N/A</v>
      </c>
      <c r="Z255" s="104"/>
    </row>
    <row r="256" spans="1:26">
      <c r="A256" s="133" t="s">
        <v>288</v>
      </c>
      <c r="B256" s="7"/>
      <c r="C256" s="7"/>
      <c r="D256" s="7">
        <v>50713980</v>
      </c>
      <c r="E256" s="7"/>
      <c r="F256" s="7"/>
      <c r="G256" s="7"/>
      <c r="H256" s="7">
        <v>49000000</v>
      </c>
      <c r="I256" s="7"/>
      <c r="J256" s="7"/>
      <c r="K256" s="7">
        <v>99713980</v>
      </c>
      <c r="L256" s="134">
        <f t="shared" si="26"/>
        <v>0.94670749749463479</v>
      </c>
      <c r="M256" s="7" t="str">
        <f t="shared" si="22"/>
        <v>B</v>
      </c>
      <c r="N256" s="7">
        <f t="shared" si="23"/>
        <v>1.7188963874473769E-2</v>
      </c>
      <c r="O256" s="7" t="str">
        <f t="shared" si="24"/>
        <v>X</v>
      </c>
      <c r="P256" s="7" t="str">
        <f t="shared" si="25"/>
        <v>BX</v>
      </c>
      <c r="S256" s="6" t="s">
        <v>408</v>
      </c>
      <c r="T256" s="25">
        <v>2</v>
      </c>
      <c r="U256" s="7" t="str">
        <v>BX</v>
      </c>
      <c r="Y256" t="e">
        <v>#N/A</v>
      </c>
      <c r="Z256" s="104"/>
    </row>
    <row r="257" spans="1:26">
      <c r="A257" s="133" t="s">
        <v>538</v>
      </c>
      <c r="B257" s="7"/>
      <c r="C257" s="7"/>
      <c r="D257" s="7"/>
      <c r="E257" s="7"/>
      <c r="F257" s="7"/>
      <c r="G257" s="7"/>
      <c r="H257" s="7"/>
      <c r="I257" s="7"/>
      <c r="J257" s="7">
        <v>99640000</v>
      </c>
      <c r="K257" s="7">
        <v>99640000</v>
      </c>
      <c r="L257" s="134">
        <f t="shared" si="26"/>
        <v>0.94703877032820138</v>
      </c>
      <c r="M257" s="7" t="str">
        <f t="shared" si="22"/>
        <v>B</v>
      </c>
      <c r="N257" s="7">
        <f t="shared" si="23"/>
        <v>0</v>
      </c>
      <c r="O257" s="7" t="str">
        <f t="shared" si="24"/>
        <v>Z</v>
      </c>
      <c r="P257" s="7" t="str">
        <f t="shared" si="25"/>
        <v>BZ</v>
      </c>
      <c r="S257" s="6" t="s">
        <v>408</v>
      </c>
      <c r="T257" s="25">
        <v>2</v>
      </c>
      <c r="U257" s="7" t="str">
        <v>BX</v>
      </c>
      <c r="Y257" t="e">
        <v>#N/A</v>
      </c>
      <c r="Z257" s="104"/>
    </row>
    <row r="258" spans="1:26">
      <c r="A258" s="133" t="s">
        <v>524</v>
      </c>
      <c r="B258" s="7"/>
      <c r="C258" s="7"/>
      <c r="D258" s="7">
        <v>49500000</v>
      </c>
      <c r="E258" s="7"/>
      <c r="F258" s="7"/>
      <c r="G258" s="7"/>
      <c r="H258" s="7"/>
      <c r="I258" s="7">
        <v>49500000</v>
      </c>
      <c r="J258" s="7"/>
      <c r="K258" s="7">
        <v>99000000</v>
      </c>
      <c r="L258" s="134">
        <f t="shared" si="26"/>
        <v>0.94736791535553078</v>
      </c>
      <c r="M258" s="7" t="str">
        <f t="shared" si="22"/>
        <v>B</v>
      </c>
      <c r="N258" s="7">
        <f t="shared" si="23"/>
        <v>0</v>
      </c>
      <c r="O258" s="7" t="str">
        <f t="shared" si="24"/>
        <v>Z</v>
      </c>
      <c r="P258" s="7" t="str">
        <f t="shared" si="25"/>
        <v>BZ</v>
      </c>
      <c r="S258" s="6" t="s">
        <v>513</v>
      </c>
      <c r="T258" s="25">
        <v>1</v>
      </c>
      <c r="U258" s="7" t="str">
        <v>BX</v>
      </c>
      <c r="Y258" t="e">
        <v>#N/A</v>
      </c>
      <c r="Z258" s="104"/>
    </row>
    <row r="259" spans="1:26">
      <c r="A259" s="133" t="s">
        <v>539</v>
      </c>
      <c r="B259" s="7">
        <v>5712000</v>
      </c>
      <c r="C259" s="7">
        <v>6048000</v>
      </c>
      <c r="D259" s="7"/>
      <c r="E259" s="7">
        <v>8568000</v>
      </c>
      <c r="F259" s="7">
        <v>9996000</v>
      </c>
      <c r="G259" s="7">
        <v>12614000</v>
      </c>
      <c r="H259" s="7">
        <v>20230000</v>
      </c>
      <c r="I259" s="7">
        <v>14280000</v>
      </c>
      <c r="J259" s="7">
        <v>19754000</v>
      </c>
      <c r="K259" s="7">
        <v>97202000</v>
      </c>
      <c r="L259" s="134">
        <f t="shared" si="26"/>
        <v>0.94769108257721224</v>
      </c>
      <c r="M259" s="7" t="str">
        <f t="shared" si="22"/>
        <v>B</v>
      </c>
      <c r="N259" s="7">
        <f t="shared" si="23"/>
        <v>0.43551741997983795</v>
      </c>
      <c r="O259" s="7" t="str">
        <f t="shared" si="24"/>
        <v>Y</v>
      </c>
      <c r="P259" s="7" t="str">
        <f t="shared" si="25"/>
        <v>BY</v>
      </c>
      <c r="S259" s="6" t="s">
        <v>513</v>
      </c>
      <c r="T259" s="25">
        <v>2</v>
      </c>
      <c r="U259" s="7" t="str">
        <v>BX</v>
      </c>
      <c r="Y259" t="e">
        <v>#N/A</v>
      </c>
      <c r="Z259" s="104"/>
    </row>
    <row r="260" spans="1:26">
      <c r="A260" s="133" t="s">
        <v>170</v>
      </c>
      <c r="B260" s="7"/>
      <c r="C260" s="7"/>
      <c r="D260" s="7"/>
      <c r="E260" s="7"/>
      <c r="F260" s="7"/>
      <c r="G260" s="7"/>
      <c r="H260" s="7"/>
      <c r="I260" s="7"/>
      <c r="J260" s="7">
        <v>97000000</v>
      </c>
      <c r="K260" s="7">
        <v>97000000</v>
      </c>
      <c r="L260" s="134">
        <f t="shared" si="26"/>
        <v>0.94801357821005006</v>
      </c>
      <c r="M260" s="7" t="str">
        <f t="shared" si="22"/>
        <v>B</v>
      </c>
      <c r="N260" s="7">
        <f t="shared" si="23"/>
        <v>0</v>
      </c>
      <c r="O260" s="7" t="str">
        <f t="shared" si="24"/>
        <v>Z</v>
      </c>
      <c r="P260" s="7" t="str">
        <f t="shared" si="25"/>
        <v>BZ</v>
      </c>
      <c r="S260" s="6" t="s">
        <v>107</v>
      </c>
      <c r="T260" s="25">
        <v>1</v>
      </c>
      <c r="U260" s="7" t="str">
        <v>AX</v>
      </c>
      <c r="Y260" t="e">
        <v>#N/A</v>
      </c>
      <c r="Z260" s="104"/>
    </row>
    <row r="261" spans="1:26">
      <c r="A261" s="133" t="s">
        <v>540</v>
      </c>
      <c r="B261" s="7"/>
      <c r="C261" s="7"/>
      <c r="D261" s="7"/>
      <c r="E261" s="7"/>
      <c r="F261" s="7">
        <v>5000000</v>
      </c>
      <c r="G261" s="7">
        <v>20000000</v>
      </c>
      <c r="H261" s="7">
        <v>50000000</v>
      </c>
      <c r="I261" s="7"/>
      <c r="J261" s="7">
        <v>20000000</v>
      </c>
      <c r="K261" s="7">
        <v>95000000</v>
      </c>
      <c r="L261" s="134">
        <f t="shared" si="26"/>
        <v>0.94832942444839641</v>
      </c>
      <c r="M261" s="7" t="str">
        <f t="shared" ref="M261:M324" si="27">IF(L261&lt;=0.8,"A",IF(L261&lt;=0.95,"B","C"))</f>
        <v>B</v>
      </c>
      <c r="N261" s="7">
        <f t="shared" ref="N261:N324" si="28">STDEVP(B261:J261)/AVERAGE(B261:J261)</f>
        <v>0.68824720161168529</v>
      </c>
      <c r="O261" s="7" t="str">
        <f t="shared" ref="O261:O324" si="29">IF(N261=0,"Z",IF(N261&lt;=30%,"X",IF(N261&lt;=60%,"Y","Z")))</f>
        <v>Z</v>
      </c>
      <c r="P261" s="7" t="str">
        <f t="shared" ref="P261:P324" si="30">M261&amp;O261</f>
        <v>BZ</v>
      </c>
      <c r="S261" s="6" t="s">
        <v>169</v>
      </c>
      <c r="T261" s="25">
        <v>1</v>
      </c>
      <c r="U261" s="7" t="str">
        <v>AY</v>
      </c>
      <c r="Y261" t="e">
        <v>#N/A</v>
      </c>
      <c r="Z261" s="104"/>
    </row>
    <row r="262" spans="1:26">
      <c r="A262" s="133" t="s">
        <v>541</v>
      </c>
      <c r="B262" s="7"/>
      <c r="C262" s="7"/>
      <c r="D262" s="7"/>
      <c r="E262" s="7">
        <v>45000000</v>
      </c>
      <c r="F262" s="7">
        <v>9000000</v>
      </c>
      <c r="G262" s="7">
        <v>31500000</v>
      </c>
      <c r="H262" s="7">
        <v>9000000</v>
      </c>
      <c r="I262" s="7"/>
      <c r="J262" s="7"/>
      <c r="K262" s="7">
        <v>94500000</v>
      </c>
      <c r="L262" s="134">
        <f t="shared" ref="L262:L325" si="31">K262/$K$932+L261</f>
        <v>0.94864360833811989</v>
      </c>
      <c r="M262" s="7" t="str">
        <f t="shared" si="27"/>
        <v>B</v>
      </c>
      <c r="N262" s="7">
        <f t="shared" si="28"/>
        <v>0.65118068243701632</v>
      </c>
      <c r="O262" s="7" t="str">
        <f t="shared" si="29"/>
        <v>Z</v>
      </c>
      <c r="P262" s="7" t="str">
        <f t="shared" si="30"/>
        <v>BZ</v>
      </c>
      <c r="S262" s="6" t="s">
        <v>371</v>
      </c>
      <c r="T262" s="25">
        <v>1</v>
      </c>
      <c r="U262" s="7" t="str">
        <v>BZ</v>
      </c>
      <c r="Y262" t="e">
        <v>#N/A</v>
      </c>
      <c r="Z262" s="104"/>
    </row>
    <row r="263" spans="1:26">
      <c r="A263" s="133" t="s">
        <v>542</v>
      </c>
      <c r="B263" s="7"/>
      <c r="C263" s="7"/>
      <c r="D263" s="7"/>
      <c r="E263" s="7"/>
      <c r="F263" s="7">
        <v>47200000</v>
      </c>
      <c r="G263" s="7"/>
      <c r="H263" s="7">
        <v>47200000</v>
      </c>
      <c r="I263" s="7"/>
      <c r="J263" s="7"/>
      <c r="K263" s="7">
        <v>94400000</v>
      </c>
      <c r="L263" s="134">
        <f t="shared" si="31"/>
        <v>0.94895745975811874</v>
      </c>
      <c r="M263" s="7" t="str">
        <f t="shared" si="27"/>
        <v>B</v>
      </c>
      <c r="N263" s="7">
        <f t="shared" si="28"/>
        <v>0</v>
      </c>
      <c r="O263" s="7" t="str">
        <f t="shared" si="29"/>
        <v>Z</v>
      </c>
      <c r="P263" s="7" t="str">
        <f t="shared" si="30"/>
        <v>BZ</v>
      </c>
      <c r="S263" s="6" t="s">
        <v>371</v>
      </c>
      <c r="T263" s="25">
        <v>1</v>
      </c>
      <c r="U263" s="7" t="str">
        <v>BZ</v>
      </c>
      <c r="Y263" t="e">
        <v>#N/A</v>
      </c>
      <c r="Z263" s="104"/>
    </row>
    <row r="264" spans="1:26">
      <c r="A264" s="133" t="s">
        <v>236</v>
      </c>
      <c r="B264" s="7"/>
      <c r="C264" s="7">
        <v>41476000</v>
      </c>
      <c r="D264" s="7"/>
      <c r="E264" s="7"/>
      <c r="F264" s="7">
        <v>10369000</v>
      </c>
      <c r="G264" s="7"/>
      <c r="H264" s="7">
        <v>21438000</v>
      </c>
      <c r="I264" s="7"/>
      <c r="J264" s="7">
        <v>20738000</v>
      </c>
      <c r="K264" s="7">
        <v>94021000</v>
      </c>
      <c r="L264" s="134">
        <f t="shared" si="31"/>
        <v>0.94927005111786145</v>
      </c>
      <c r="M264" s="7" t="str">
        <f t="shared" si="27"/>
        <v>B</v>
      </c>
      <c r="N264" s="7">
        <f t="shared" si="28"/>
        <v>0.47917872538046236</v>
      </c>
      <c r="O264" s="7" t="str">
        <f t="shared" si="29"/>
        <v>Y</v>
      </c>
      <c r="P264" s="7" t="str">
        <f t="shared" si="30"/>
        <v>BY</v>
      </c>
      <c r="S264" s="6" t="s">
        <v>371</v>
      </c>
      <c r="T264" s="25">
        <v>1</v>
      </c>
      <c r="U264" s="7" t="str">
        <v>BZ</v>
      </c>
      <c r="Y264" t="e">
        <v>#N/A</v>
      </c>
      <c r="Z264" s="104"/>
    </row>
    <row r="265" spans="1:26">
      <c r="A265" s="133" t="s">
        <v>543</v>
      </c>
      <c r="B265" s="7"/>
      <c r="C265" s="7">
        <v>8400000</v>
      </c>
      <c r="D265" s="7"/>
      <c r="E265" s="7">
        <v>8400000</v>
      </c>
      <c r="F265" s="7"/>
      <c r="G265" s="7">
        <v>33600000</v>
      </c>
      <c r="H265" s="7"/>
      <c r="I265" s="7">
        <v>42000000</v>
      </c>
      <c r="J265" s="7"/>
      <c r="K265" s="7">
        <v>92400000</v>
      </c>
      <c r="L265" s="134">
        <f t="shared" si="31"/>
        <v>0.94957725314336883</v>
      </c>
      <c r="M265" s="7" t="str">
        <f t="shared" si="27"/>
        <v>B</v>
      </c>
      <c r="N265" s="7">
        <f t="shared" si="28"/>
        <v>0.6492207662311682</v>
      </c>
      <c r="O265" s="7" t="str">
        <f t="shared" si="29"/>
        <v>Z</v>
      </c>
      <c r="P265" s="7" t="str">
        <f t="shared" si="30"/>
        <v>BZ</v>
      </c>
      <c r="S265" s="6" t="s">
        <v>371</v>
      </c>
      <c r="T265" s="25">
        <v>3</v>
      </c>
      <c r="U265" s="7" t="str">
        <v>BZ</v>
      </c>
      <c r="Y265" t="e">
        <v>#N/A</v>
      </c>
      <c r="Z265" s="104"/>
    </row>
    <row r="266" spans="1:26">
      <c r="A266" s="133" t="s">
        <v>277</v>
      </c>
      <c r="B266" s="7"/>
      <c r="C266" s="7"/>
      <c r="D266" s="7"/>
      <c r="E266" s="7"/>
      <c r="F266" s="7"/>
      <c r="G266" s="7"/>
      <c r="H266" s="7">
        <v>91800000</v>
      </c>
      <c r="I266" s="7"/>
      <c r="J266" s="7"/>
      <c r="K266" s="7">
        <v>91800000</v>
      </c>
      <c r="L266" s="134">
        <f t="shared" si="31"/>
        <v>0.94988246035052881</v>
      </c>
      <c r="M266" s="7" t="str">
        <f t="shared" si="27"/>
        <v>B</v>
      </c>
      <c r="N266" s="7">
        <f t="shared" si="28"/>
        <v>0</v>
      </c>
      <c r="O266" s="7" t="str">
        <f t="shared" si="29"/>
        <v>Z</v>
      </c>
      <c r="P266" s="7" t="str">
        <f t="shared" si="30"/>
        <v>BZ</v>
      </c>
      <c r="S266" s="6" t="s">
        <v>351</v>
      </c>
      <c r="T266" s="25">
        <v>1</v>
      </c>
      <c r="U266" s="7" t="str">
        <v>BZ</v>
      </c>
      <c r="Y266" t="e">
        <v>#N/A</v>
      </c>
      <c r="Z266" s="104"/>
    </row>
    <row r="267" spans="1:26">
      <c r="A267" s="133" t="s">
        <v>544</v>
      </c>
      <c r="B267" s="7"/>
      <c r="C267" s="7"/>
      <c r="D267" s="7"/>
      <c r="E267" s="7"/>
      <c r="F267" s="7"/>
      <c r="G267" s="7">
        <v>5660000</v>
      </c>
      <c r="H267" s="7">
        <v>33960000</v>
      </c>
      <c r="I267" s="7">
        <v>50940000</v>
      </c>
      <c r="J267" s="7"/>
      <c r="K267" s="7">
        <v>90560000</v>
      </c>
      <c r="L267" s="134">
        <f t="shared" si="31"/>
        <v>0.95018354493310397</v>
      </c>
      <c r="M267" s="7" t="str">
        <f t="shared" si="27"/>
        <v>C</v>
      </c>
      <c r="N267" s="7">
        <f t="shared" si="28"/>
        <v>0.61871843353822908</v>
      </c>
      <c r="O267" s="7" t="str">
        <f t="shared" si="29"/>
        <v>Z</v>
      </c>
      <c r="P267" s="7" t="str">
        <f t="shared" si="30"/>
        <v>CZ</v>
      </c>
      <c r="S267" s="6" t="s">
        <v>351</v>
      </c>
      <c r="T267" s="25">
        <v>1</v>
      </c>
      <c r="U267" s="7" t="str">
        <v>BZ</v>
      </c>
      <c r="Y267" t="e">
        <v>#N/A</v>
      </c>
      <c r="Z267" s="104"/>
    </row>
    <row r="268" spans="1:26">
      <c r="A268" s="133" t="s">
        <v>438</v>
      </c>
      <c r="B268" s="7">
        <v>31250000</v>
      </c>
      <c r="C268" s="7"/>
      <c r="D268" s="7"/>
      <c r="E268" s="7">
        <v>58850000</v>
      </c>
      <c r="F268" s="7"/>
      <c r="G268" s="7"/>
      <c r="H268" s="7"/>
      <c r="I268" s="7"/>
      <c r="J268" s="7"/>
      <c r="K268" s="7">
        <v>90100000</v>
      </c>
      <c r="L268" s="134">
        <f t="shared" si="31"/>
        <v>0.95048310015494608</v>
      </c>
      <c r="M268" s="7" t="str">
        <f t="shared" si="27"/>
        <v>C</v>
      </c>
      <c r="N268" s="7">
        <f t="shared" si="28"/>
        <v>0.30632630410654826</v>
      </c>
      <c r="O268" s="7" t="str">
        <f t="shared" si="29"/>
        <v>Y</v>
      </c>
      <c r="P268" s="7" t="str">
        <f t="shared" si="30"/>
        <v>CY</v>
      </c>
      <c r="S268" s="6" t="s">
        <v>351</v>
      </c>
      <c r="T268" s="25">
        <v>1</v>
      </c>
      <c r="U268" s="7" t="str">
        <v>BZ</v>
      </c>
      <c r="Y268" t="e">
        <v>#N/A</v>
      </c>
      <c r="Z268" s="104"/>
    </row>
    <row r="269" spans="1:26">
      <c r="A269" s="133" t="s">
        <v>401</v>
      </c>
      <c r="B269" s="7"/>
      <c r="C269" s="7"/>
      <c r="D269" s="7"/>
      <c r="E269" s="7">
        <v>17750000</v>
      </c>
      <c r="F269" s="7">
        <v>71000000</v>
      </c>
      <c r="G269" s="7"/>
      <c r="H269" s="7"/>
      <c r="I269" s="7"/>
      <c r="J269" s="7"/>
      <c r="K269" s="7">
        <v>88750000</v>
      </c>
      <c r="L269" s="134">
        <f t="shared" si="31"/>
        <v>0.95077816703550644</v>
      </c>
      <c r="M269" s="7" t="str">
        <f t="shared" si="27"/>
        <v>C</v>
      </c>
      <c r="N269" s="7">
        <f t="shared" si="28"/>
        <v>0.6</v>
      </c>
      <c r="O269" s="7" t="str">
        <f t="shared" si="29"/>
        <v>Y</v>
      </c>
      <c r="P269" s="7" t="str">
        <f t="shared" si="30"/>
        <v>CY</v>
      </c>
      <c r="S269" s="6" t="s">
        <v>351</v>
      </c>
      <c r="T269" s="25">
        <v>4</v>
      </c>
      <c r="U269" s="7" t="str">
        <v>BZ</v>
      </c>
      <c r="Y269" t="e">
        <v>#N/A</v>
      </c>
      <c r="Z269" s="104"/>
    </row>
    <row r="270" spans="1:26">
      <c r="A270" s="133" t="s">
        <v>403</v>
      </c>
      <c r="B270" s="7">
        <v>5200000</v>
      </c>
      <c r="C270" s="7">
        <v>10400000</v>
      </c>
      <c r="D270" s="7"/>
      <c r="E270" s="7"/>
      <c r="F270" s="7"/>
      <c r="G270" s="7">
        <v>13000000</v>
      </c>
      <c r="H270" s="7">
        <v>60000000</v>
      </c>
      <c r="I270" s="7"/>
      <c r="J270" s="7"/>
      <c r="K270" s="7">
        <v>88600000</v>
      </c>
      <c r="L270" s="134">
        <f t="shared" si="31"/>
        <v>0.95107273521147995</v>
      </c>
      <c r="M270" s="7" t="str">
        <f t="shared" si="27"/>
        <v>C</v>
      </c>
      <c r="N270" s="7">
        <f t="shared" si="28"/>
        <v>0.99469161603662837</v>
      </c>
      <c r="O270" s="7" t="str">
        <f t="shared" si="29"/>
        <v>Z</v>
      </c>
      <c r="P270" s="7" t="str">
        <f t="shared" si="30"/>
        <v>CZ</v>
      </c>
      <c r="S270" s="6" t="s">
        <v>351</v>
      </c>
      <c r="T270" s="25">
        <v>4</v>
      </c>
      <c r="U270" s="7" t="str">
        <v>BZ</v>
      </c>
      <c r="Y270" t="e">
        <v>#N/A</v>
      </c>
      <c r="Z270" s="104"/>
    </row>
    <row r="271" spans="1:26">
      <c r="A271" s="133" t="s">
        <v>545</v>
      </c>
      <c r="B271" s="7"/>
      <c r="C271" s="7"/>
      <c r="D271" s="7"/>
      <c r="E271" s="7"/>
      <c r="F271" s="7"/>
      <c r="G271" s="7"/>
      <c r="H271" s="7"/>
      <c r="I271" s="7">
        <v>67800000</v>
      </c>
      <c r="J271" s="7">
        <v>20000000</v>
      </c>
      <c r="K271" s="7">
        <v>87800000</v>
      </c>
      <c r="L271" s="134">
        <f t="shared" si="31"/>
        <v>0.95136464362965689</v>
      </c>
      <c r="M271" s="7" t="str">
        <f t="shared" si="27"/>
        <v>C</v>
      </c>
      <c r="N271" s="7">
        <f t="shared" si="28"/>
        <v>0.54441913439635536</v>
      </c>
      <c r="O271" s="7" t="str">
        <f t="shared" si="29"/>
        <v>Y</v>
      </c>
      <c r="P271" s="7" t="str">
        <f t="shared" si="30"/>
        <v>CY</v>
      </c>
      <c r="S271" s="6" t="s">
        <v>373</v>
      </c>
      <c r="T271" s="25">
        <v>1</v>
      </c>
      <c r="U271" s="7" t="str">
        <v>BX</v>
      </c>
      <c r="Y271" t="e">
        <v>#N/A</v>
      </c>
      <c r="Z271" s="104"/>
    </row>
    <row r="272" spans="1:26">
      <c r="A272" s="133" t="s">
        <v>546</v>
      </c>
      <c r="B272" s="7">
        <v>43674000</v>
      </c>
      <c r="C272" s="7"/>
      <c r="D272" s="7">
        <v>43678893.119999997</v>
      </c>
      <c r="E272" s="7"/>
      <c r="F272" s="7"/>
      <c r="G272" s="7"/>
      <c r="H272" s="7"/>
      <c r="I272" s="7"/>
      <c r="J272" s="7"/>
      <c r="K272" s="7">
        <v>87352893.120000005</v>
      </c>
      <c r="L272" s="134">
        <f t="shared" si="31"/>
        <v>0.95165506555282131</v>
      </c>
      <c r="M272" s="7" t="str">
        <f t="shared" si="27"/>
        <v>C</v>
      </c>
      <c r="N272" s="7">
        <f t="shared" si="28"/>
        <v>5.6015545967956119E-5</v>
      </c>
      <c r="O272" s="7" t="str">
        <f t="shared" si="29"/>
        <v>X</v>
      </c>
      <c r="P272" s="7" t="str">
        <f t="shared" si="30"/>
        <v>CX</v>
      </c>
      <c r="S272" s="6" t="s">
        <v>373</v>
      </c>
      <c r="T272" s="25">
        <v>1</v>
      </c>
      <c r="U272" s="7" t="str">
        <v>BX</v>
      </c>
      <c r="Y272" t="e">
        <v>#N/A</v>
      </c>
      <c r="Z272" s="104"/>
    </row>
    <row r="273" spans="1:26">
      <c r="A273" s="133" t="s">
        <v>413</v>
      </c>
      <c r="B273" s="7"/>
      <c r="C273" s="7"/>
      <c r="D273" s="7"/>
      <c r="E273" s="7">
        <v>43500000</v>
      </c>
      <c r="F273" s="7">
        <v>43500000</v>
      </c>
      <c r="G273" s="7"/>
      <c r="H273" s="7"/>
      <c r="I273" s="7"/>
      <c r="J273" s="7"/>
      <c r="K273" s="7">
        <v>87000000</v>
      </c>
      <c r="L273" s="134">
        <f t="shared" si="31"/>
        <v>0.95194431421320169</v>
      </c>
      <c r="M273" s="7" t="str">
        <f t="shared" si="27"/>
        <v>C</v>
      </c>
      <c r="N273" s="7">
        <f t="shared" si="28"/>
        <v>0</v>
      </c>
      <c r="O273" s="7" t="str">
        <f t="shared" si="29"/>
        <v>Z</v>
      </c>
      <c r="P273" s="7" t="str">
        <f t="shared" si="30"/>
        <v>CZ</v>
      </c>
      <c r="S273" s="6" t="s">
        <v>373</v>
      </c>
      <c r="T273" s="25">
        <v>1</v>
      </c>
      <c r="U273" s="7" t="str">
        <v>BX</v>
      </c>
      <c r="Y273" t="e">
        <v>#N/A</v>
      </c>
      <c r="Z273" s="104"/>
    </row>
    <row r="274" spans="1:26">
      <c r="A274" s="133" t="s">
        <v>547</v>
      </c>
      <c r="B274" s="7"/>
      <c r="C274" s="7"/>
      <c r="D274" s="7"/>
      <c r="E274" s="7"/>
      <c r="F274" s="7"/>
      <c r="G274" s="7"/>
      <c r="H274" s="7"/>
      <c r="I274" s="7">
        <v>86004000</v>
      </c>
      <c r="J274" s="7"/>
      <c r="K274" s="7">
        <v>86004000</v>
      </c>
      <c r="L274" s="134">
        <f t="shared" si="31"/>
        <v>0.9522302514751253</v>
      </c>
      <c r="M274" s="7" t="str">
        <f t="shared" si="27"/>
        <v>C</v>
      </c>
      <c r="N274" s="7">
        <f t="shared" si="28"/>
        <v>0</v>
      </c>
      <c r="O274" s="7" t="str">
        <f t="shared" si="29"/>
        <v>Z</v>
      </c>
      <c r="P274" s="7" t="str">
        <f t="shared" si="30"/>
        <v>CZ</v>
      </c>
      <c r="S274" s="6" t="s">
        <v>373</v>
      </c>
      <c r="T274" s="25">
        <v>1</v>
      </c>
      <c r="U274" s="7" t="str">
        <v>BX</v>
      </c>
      <c r="Y274" t="e">
        <v>#N/A</v>
      </c>
      <c r="Z274" s="104"/>
    </row>
    <row r="275" spans="1:26">
      <c r="A275" s="133" t="s">
        <v>548</v>
      </c>
      <c r="B275" s="7"/>
      <c r="C275" s="7"/>
      <c r="D275" s="7"/>
      <c r="E275" s="7">
        <v>85000000</v>
      </c>
      <c r="F275" s="7"/>
      <c r="G275" s="7"/>
      <c r="H275" s="7"/>
      <c r="I275" s="7"/>
      <c r="J275" s="7"/>
      <c r="K275" s="7">
        <v>85000000</v>
      </c>
      <c r="L275" s="134">
        <f t="shared" si="31"/>
        <v>0.95251285074101411</v>
      </c>
      <c r="M275" s="7" t="str">
        <f t="shared" si="27"/>
        <v>C</v>
      </c>
      <c r="N275" s="7">
        <f t="shared" si="28"/>
        <v>0</v>
      </c>
      <c r="O275" s="7" t="str">
        <f t="shared" si="29"/>
        <v>Z</v>
      </c>
      <c r="P275" s="7" t="str">
        <f t="shared" si="30"/>
        <v>CZ</v>
      </c>
      <c r="S275" s="6" t="s">
        <v>549</v>
      </c>
      <c r="T275" s="25">
        <v>1</v>
      </c>
      <c r="U275" s="7" t="str">
        <v>CZ</v>
      </c>
      <c r="Y275" t="e">
        <v>#N/A</v>
      </c>
      <c r="Z275" s="104"/>
    </row>
    <row r="276" spans="1:26">
      <c r="A276" s="133" t="s">
        <v>550</v>
      </c>
      <c r="B276" s="7"/>
      <c r="C276" s="7"/>
      <c r="D276" s="7"/>
      <c r="E276" s="7"/>
      <c r="F276" s="7">
        <v>83300000</v>
      </c>
      <c r="G276" s="7"/>
      <c r="H276" s="7"/>
      <c r="I276" s="7"/>
      <c r="J276" s="7"/>
      <c r="K276" s="7">
        <v>83300000</v>
      </c>
      <c r="L276" s="134">
        <f t="shared" si="31"/>
        <v>0.95278979802158514</v>
      </c>
      <c r="M276" s="7" t="str">
        <f t="shared" si="27"/>
        <v>C</v>
      </c>
      <c r="N276" s="7">
        <f t="shared" si="28"/>
        <v>0</v>
      </c>
      <c r="O276" s="7" t="str">
        <f t="shared" si="29"/>
        <v>Z</v>
      </c>
      <c r="P276" s="7" t="str">
        <f t="shared" si="30"/>
        <v>CZ</v>
      </c>
      <c r="S276" s="6" t="s">
        <v>354</v>
      </c>
      <c r="T276" s="25">
        <v>1</v>
      </c>
      <c r="U276" s="7" t="str">
        <v>CY</v>
      </c>
      <c r="Y276" t="e">
        <v>#N/A</v>
      </c>
      <c r="Z276" s="104"/>
    </row>
    <row r="277" spans="1:26">
      <c r="A277" s="133" t="s">
        <v>51</v>
      </c>
      <c r="B277" s="7"/>
      <c r="C277" s="7">
        <v>7799789.9999999991</v>
      </c>
      <c r="D277" s="7">
        <v>7799940</v>
      </c>
      <c r="E277" s="7">
        <v>7800000</v>
      </c>
      <c r="F277" s="7"/>
      <c r="G277" s="7">
        <v>15600000</v>
      </c>
      <c r="H277" s="7">
        <v>13000000</v>
      </c>
      <c r="I277" s="7">
        <v>23400000</v>
      </c>
      <c r="J277" s="7">
        <v>7800000</v>
      </c>
      <c r="K277" s="7">
        <v>83199730</v>
      </c>
      <c r="L277" s="134">
        <f t="shared" si="31"/>
        <v>0.95306641193476338</v>
      </c>
      <c r="M277" s="7" t="str">
        <f t="shared" si="27"/>
        <v>C</v>
      </c>
      <c r="N277" s="7">
        <f t="shared" si="28"/>
        <v>0.46561842019388427</v>
      </c>
      <c r="O277" s="7" t="str">
        <f t="shared" si="29"/>
        <v>Y</v>
      </c>
      <c r="P277" s="7" t="str">
        <f t="shared" si="30"/>
        <v>CY</v>
      </c>
      <c r="S277" s="6" t="s">
        <v>354</v>
      </c>
      <c r="T277" s="25">
        <v>2</v>
      </c>
      <c r="U277" s="7" t="str">
        <v>CY</v>
      </c>
      <c r="Y277" t="e">
        <v>#N/A</v>
      </c>
      <c r="Z277" s="104"/>
    </row>
    <row r="278" spans="1:26">
      <c r="A278" s="133" t="s">
        <v>551</v>
      </c>
      <c r="B278" s="7"/>
      <c r="C278" s="7"/>
      <c r="D278" s="7"/>
      <c r="E278" s="7"/>
      <c r="F278" s="7"/>
      <c r="G278" s="7"/>
      <c r="H278" s="7"/>
      <c r="I278" s="7">
        <v>83000000</v>
      </c>
      <c r="J278" s="7"/>
      <c r="K278" s="7">
        <v>83000000</v>
      </c>
      <c r="L278" s="134">
        <f t="shared" si="31"/>
        <v>0.95334236180616072</v>
      </c>
      <c r="M278" s="7" t="str">
        <f t="shared" si="27"/>
        <v>C</v>
      </c>
      <c r="N278" s="7">
        <f t="shared" si="28"/>
        <v>0</v>
      </c>
      <c r="O278" s="7" t="str">
        <f t="shared" si="29"/>
        <v>Z</v>
      </c>
      <c r="P278" s="7" t="str">
        <f t="shared" si="30"/>
        <v>CZ</v>
      </c>
      <c r="S278" s="6" t="s">
        <v>354</v>
      </c>
      <c r="T278" s="25">
        <v>3</v>
      </c>
      <c r="U278" s="7" t="str">
        <v>CY</v>
      </c>
      <c r="Y278" t="e">
        <v>#N/A</v>
      </c>
      <c r="Z278" s="104"/>
    </row>
    <row r="279" spans="1:26">
      <c r="A279" s="133" t="s">
        <v>552</v>
      </c>
      <c r="B279" s="7"/>
      <c r="C279" s="7"/>
      <c r="D279" s="7"/>
      <c r="E279" s="7"/>
      <c r="F279" s="7"/>
      <c r="G279" s="7"/>
      <c r="H279" s="7"/>
      <c r="I279" s="7">
        <v>81472500</v>
      </c>
      <c r="J279" s="7"/>
      <c r="K279" s="7">
        <v>81472500</v>
      </c>
      <c r="L279" s="134">
        <f t="shared" si="31"/>
        <v>0.95361323320251512</v>
      </c>
      <c r="M279" s="7" t="str">
        <f t="shared" si="27"/>
        <v>C</v>
      </c>
      <c r="N279" s="7">
        <f t="shared" si="28"/>
        <v>0</v>
      </c>
      <c r="O279" s="7" t="str">
        <f t="shared" si="29"/>
        <v>Z</v>
      </c>
      <c r="P279" s="7" t="str">
        <f t="shared" si="30"/>
        <v>CZ</v>
      </c>
      <c r="S279" s="6" t="s">
        <v>509</v>
      </c>
      <c r="T279" s="25">
        <v>1</v>
      </c>
      <c r="U279" s="7" t="str">
        <v>BX</v>
      </c>
      <c r="Y279" t="e">
        <v>#N/A</v>
      </c>
      <c r="Z279" s="104"/>
    </row>
    <row r="280" spans="1:26">
      <c r="A280" s="133" t="s">
        <v>67</v>
      </c>
      <c r="B280" s="7">
        <v>6455500</v>
      </c>
      <c r="C280" s="7">
        <v>8788500</v>
      </c>
      <c r="D280" s="7">
        <v>2600000</v>
      </c>
      <c r="E280" s="7">
        <v>7238500</v>
      </c>
      <c r="F280" s="7">
        <v>13864000</v>
      </c>
      <c r="G280" s="7">
        <v>16537000</v>
      </c>
      <c r="H280" s="7">
        <v>6670000</v>
      </c>
      <c r="I280" s="7">
        <v>14789000</v>
      </c>
      <c r="J280" s="7">
        <v>2340000</v>
      </c>
      <c r="K280" s="7">
        <v>79282500</v>
      </c>
      <c r="L280" s="134">
        <f t="shared" si="31"/>
        <v>0.95387682351190139</v>
      </c>
      <c r="M280" s="7" t="str">
        <f t="shared" si="27"/>
        <v>C</v>
      </c>
      <c r="N280" s="7">
        <f t="shared" si="28"/>
        <v>0.55356327196333865</v>
      </c>
      <c r="O280" s="7" t="str">
        <f t="shared" si="29"/>
        <v>Y</v>
      </c>
      <c r="P280" s="7" t="str">
        <f t="shared" si="30"/>
        <v>CY</v>
      </c>
      <c r="S280" s="6" t="s">
        <v>553</v>
      </c>
      <c r="T280" s="25">
        <v>1</v>
      </c>
      <c r="U280" s="7" t="str">
        <v>CX</v>
      </c>
      <c r="Y280" t="e">
        <v>#N/A</v>
      </c>
      <c r="Z280" s="104"/>
    </row>
    <row r="281" spans="1:26">
      <c r="A281" s="133" t="s">
        <v>554</v>
      </c>
      <c r="B281" s="7"/>
      <c r="C281" s="7"/>
      <c r="D281" s="7"/>
      <c r="E281" s="7"/>
      <c r="F281" s="7"/>
      <c r="G281" s="7">
        <v>29400000</v>
      </c>
      <c r="H281" s="7">
        <v>19600000</v>
      </c>
      <c r="I281" s="7">
        <v>29400000</v>
      </c>
      <c r="J281" s="7"/>
      <c r="K281" s="7">
        <v>78400000</v>
      </c>
      <c r="L281" s="134">
        <f t="shared" si="31"/>
        <v>0.9541374797759683</v>
      </c>
      <c r="M281" s="7" t="str">
        <f t="shared" si="27"/>
        <v>C</v>
      </c>
      <c r="N281" s="7">
        <f t="shared" si="28"/>
        <v>0.17677669529663689</v>
      </c>
      <c r="O281" s="7" t="str">
        <f t="shared" si="29"/>
        <v>X</v>
      </c>
      <c r="P281" s="7" t="str">
        <f t="shared" si="30"/>
        <v>CX</v>
      </c>
      <c r="S281" s="6" t="s">
        <v>553</v>
      </c>
      <c r="T281" s="25">
        <v>1</v>
      </c>
      <c r="U281" s="7" t="str">
        <v>CX</v>
      </c>
      <c r="Y281" t="e">
        <v>#N/A</v>
      </c>
      <c r="Z281" s="104"/>
    </row>
    <row r="282" spans="1:26">
      <c r="A282" s="133" t="s">
        <v>555</v>
      </c>
      <c r="B282" s="7"/>
      <c r="C282" s="7"/>
      <c r="D282" s="7"/>
      <c r="E282" s="7">
        <v>40600000</v>
      </c>
      <c r="F282" s="7">
        <v>37700000</v>
      </c>
      <c r="G282" s="7"/>
      <c r="H282" s="7"/>
      <c r="I282" s="7"/>
      <c r="J282" s="7"/>
      <c r="K282" s="7">
        <v>78300000</v>
      </c>
      <c r="L282" s="134">
        <f t="shared" si="31"/>
        <v>0.95439780357031057</v>
      </c>
      <c r="M282" s="7" t="str">
        <f t="shared" si="27"/>
        <v>C</v>
      </c>
      <c r="N282" s="7">
        <f t="shared" si="28"/>
        <v>3.7037037037037035E-2</v>
      </c>
      <c r="O282" s="7" t="str">
        <f t="shared" si="29"/>
        <v>X</v>
      </c>
      <c r="P282" s="7" t="str">
        <f t="shared" si="30"/>
        <v>CX</v>
      </c>
      <c r="S282" s="6" t="s">
        <v>523</v>
      </c>
      <c r="T282" s="25">
        <v>1</v>
      </c>
      <c r="U282" s="7" t="str">
        <v>BZ</v>
      </c>
      <c r="Y282" t="e">
        <v>#N/A</v>
      </c>
      <c r="Z282" s="104"/>
    </row>
    <row r="283" spans="1:26">
      <c r="A283" s="133" t="s">
        <v>323</v>
      </c>
      <c r="B283" s="7"/>
      <c r="C283" s="7"/>
      <c r="D283" s="7"/>
      <c r="E283" s="7">
        <v>78000000</v>
      </c>
      <c r="F283" s="7"/>
      <c r="G283" s="7"/>
      <c r="H283" s="7"/>
      <c r="I283" s="7"/>
      <c r="J283" s="7"/>
      <c r="K283" s="7">
        <v>78000000</v>
      </c>
      <c r="L283" s="134">
        <f t="shared" si="31"/>
        <v>0.95465712995547913</v>
      </c>
      <c r="M283" s="7" t="str">
        <f t="shared" si="27"/>
        <v>C</v>
      </c>
      <c r="N283" s="7">
        <f t="shared" si="28"/>
        <v>0</v>
      </c>
      <c r="O283" s="7" t="str">
        <f t="shared" si="29"/>
        <v>Z</v>
      </c>
      <c r="P283" s="7" t="str">
        <f t="shared" si="30"/>
        <v>CZ</v>
      </c>
      <c r="S283" s="6" t="s">
        <v>523</v>
      </c>
      <c r="T283" s="25">
        <v>1</v>
      </c>
      <c r="U283" s="7" t="str">
        <v>BZ</v>
      </c>
      <c r="Y283" t="e">
        <v>#N/A</v>
      </c>
      <c r="Z283" s="104"/>
    </row>
    <row r="284" spans="1:26">
      <c r="A284" s="133" t="s">
        <v>556</v>
      </c>
      <c r="B284" s="7"/>
      <c r="C284" s="7"/>
      <c r="D284" s="7"/>
      <c r="E284" s="7"/>
      <c r="F284" s="7"/>
      <c r="G284" s="7">
        <v>78000000</v>
      </c>
      <c r="H284" s="7"/>
      <c r="I284" s="7"/>
      <c r="J284" s="7"/>
      <c r="K284" s="7">
        <v>78000000</v>
      </c>
      <c r="L284" s="134">
        <f t="shared" si="31"/>
        <v>0.9549164563406477</v>
      </c>
      <c r="M284" s="7" t="str">
        <f t="shared" si="27"/>
        <v>C</v>
      </c>
      <c r="N284" s="7">
        <f t="shared" si="28"/>
        <v>0</v>
      </c>
      <c r="O284" s="7" t="str">
        <f t="shared" si="29"/>
        <v>Z</v>
      </c>
      <c r="P284" s="7" t="str">
        <f t="shared" si="30"/>
        <v>CZ</v>
      </c>
      <c r="S284" s="6" t="s">
        <v>356</v>
      </c>
      <c r="T284" s="25">
        <v>1</v>
      </c>
      <c r="U284" s="7" t="str">
        <v>BZ</v>
      </c>
      <c r="Y284" t="e">
        <v>#N/A</v>
      </c>
      <c r="Z284" s="104"/>
    </row>
    <row r="285" spans="1:26">
      <c r="A285" s="133" t="s">
        <v>553</v>
      </c>
      <c r="B285" s="7"/>
      <c r="C285" s="7"/>
      <c r="D285" s="7"/>
      <c r="E285" s="7">
        <v>38250000</v>
      </c>
      <c r="F285" s="7"/>
      <c r="G285" s="7">
        <v>38938500</v>
      </c>
      <c r="H285" s="7"/>
      <c r="I285" s="7"/>
      <c r="J285" s="7"/>
      <c r="K285" s="7">
        <v>77188500</v>
      </c>
      <c r="L285" s="134">
        <f t="shared" si="31"/>
        <v>0.95517308473400131</v>
      </c>
      <c r="M285" s="7" t="str">
        <f t="shared" si="27"/>
        <v>C</v>
      </c>
      <c r="N285" s="7">
        <f t="shared" si="28"/>
        <v>8.9197224975222991E-3</v>
      </c>
      <c r="O285" s="7" t="str">
        <f t="shared" si="29"/>
        <v>X</v>
      </c>
      <c r="P285" s="7" t="str">
        <f t="shared" si="30"/>
        <v>CX</v>
      </c>
      <c r="S285" s="6" t="s">
        <v>390</v>
      </c>
      <c r="T285" s="25">
        <v>1</v>
      </c>
      <c r="U285" s="7" t="str">
        <v>BX</v>
      </c>
      <c r="Y285" t="e">
        <v>#N/A</v>
      </c>
      <c r="Z285" s="104"/>
    </row>
    <row r="286" spans="1:26">
      <c r="A286" s="133" t="s">
        <v>557</v>
      </c>
      <c r="B286" s="7"/>
      <c r="C286" s="7"/>
      <c r="D286" s="7"/>
      <c r="E286" s="7"/>
      <c r="F286" s="7"/>
      <c r="G286" s="7">
        <v>77000000</v>
      </c>
      <c r="H286" s="7"/>
      <c r="I286" s="7"/>
      <c r="J286" s="7"/>
      <c r="K286" s="7">
        <v>77000000</v>
      </c>
      <c r="L286" s="134">
        <f t="shared" si="31"/>
        <v>0.95542908642192415</v>
      </c>
      <c r="M286" s="7" t="str">
        <f t="shared" si="27"/>
        <v>C</v>
      </c>
      <c r="N286" s="7">
        <f t="shared" si="28"/>
        <v>0</v>
      </c>
      <c r="O286" s="7" t="str">
        <f t="shared" si="29"/>
        <v>Z</v>
      </c>
      <c r="P286" s="7" t="str">
        <f t="shared" si="30"/>
        <v>CZ</v>
      </c>
      <c r="S286" s="6" t="s">
        <v>390</v>
      </c>
      <c r="T286" s="25">
        <v>2</v>
      </c>
      <c r="U286" s="7" t="str">
        <v>BX</v>
      </c>
      <c r="Y286" t="e">
        <v>#N/A</v>
      </c>
      <c r="Z286" s="104"/>
    </row>
    <row r="287" spans="1:26">
      <c r="A287" s="133" t="s">
        <v>558</v>
      </c>
      <c r="B287" s="7"/>
      <c r="C287" s="7"/>
      <c r="D287" s="7">
        <v>76826400</v>
      </c>
      <c r="E287" s="7"/>
      <c r="F287" s="7"/>
      <c r="G287" s="7"/>
      <c r="H287" s="7"/>
      <c r="I287" s="7"/>
      <c r="J287" s="7"/>
      <c r="K287" s="7">
        <v>76826400</v>
      </c>
      <c r="L287" s="134">
        <f t="shared" si="31"/>
        <v>0.95568451094240514</v>
      </c>
      <c r="M287" s="7" t="str">
        <f t="shared" si="27"/>
        <v>C</v>
      </c>
      <c r="N287" s="7">
        <f t="shared" si="28"/>
        <v>0</v>
      </c>
      <c r="O287" s="7" t="str">
        <f t="shared" si="29"/>
        <v>Z</v>
      </c>
      <c r="P287" s="7" t="str">
        <f t="shared" si="30"/>
        <v>CZ</v>
      </c>
      <c r="S287" s="6" t="s">
        <v>358</v>
      </c>
      <c r="T287" s="25">
        <v>1</v>
      </c>
      <c r="U287" s="7" t="str">
        <v>CY</v>
      </c>
      <c r="Y287" t="e">
        <v>#N/A</v>
      </c>
      <c r="Z287" s="104"/>
    </row>
    <row r="288" spans="1:26">
      <c r="A288" s="133" t="s">
        <v>354</v>
      </c>
      <c r="B288" s="7"/>
      <c r="C288" s="7"/>
      <c r="D288" s="7"/>
      <c r="E288" s="7"/>
      <c r="F288" s="7">
        <v>16000000</v>
      </c>
      <c r="G288" s="7">
        <v>6070000</v>
      </c>
      <c r="H288" s="7">
        <v>20340000</v>
      </c>
      <c r="I288" s="7">
        <v>33900000</v>
      </c>
      <c r="J288" s="7"/>
      <c r="K288" s="7">
        <v>76310000</v>
      </c>
      <c r="L288" s="134">
        <f t="shared" si="31"/>
        <v>0.95593821858922845</v>
      </c>
      <c r="M288" s="7" t="str">
        <f t="shared" si="27"/>
        <v>C</v>
      </c>
      <c r="N288" s="7">
        <f t="shared" si="28"/>
        <v>0.52415572945715971</v>
      </c>
      <c r="O288" s="7" t="str">
        <f t="shared" si="29"/>
        <v>Y</v>
      </c>
      <c r="P288" s="7" t="str">
        <f t="shared" si="30"/>
        <v>CY</v>
      </c>
      <c r="S288" s="6" t="s">
        <v>358</v>
      </c>
      <c r="T288" s="25">
        <v>1</v>
      </c>
      <c r="U288" s="7" t="str">
        <v>CY</v>
      </c>
      <c r="Y288" t="e">
        <v>#N/A</v>
      </c>
      <c r="Z288" s="104"/>
    </row>
    <row r="289" spans="1:26">
      <c r="A289" s="133" t="s">
        <v>417</v>
      </c>
      <c r="B289" s="7">
        <v>21800000</v>
      </c>
      <c r="C289" s="7"/>
      <c r="D289" s="7"/>
      <c r="E289" s="7"/>
      <c r="F289" s="7"/>
      <c r="G289" s="7"/>
      <c r="H289" s="7"/>
      <c r="I289" s="7">
        <v>54500000</v>
      </c>
      <c r="J289" s="7"/>
      <c r="K289" s="7">
        <v>76300000</v>
      </c>
      <c r="L289" s="134">
        <f t="shared" si="31"/>
        <v>0.95619189298907925</v>
      </c>
      <c r="M289" s="7" t="str">
        <f t="shared" si="27"/>
        <v>C</v>
      </c>
      <c r="N289" s="7">
        <f t="shared" si="28"/>
        <v>0.42857142857142855</v>
      </c>
      <c r="O289" s="7" t="str">
        <f t="shared" si="29"/>
        <v>Y</v>
      </c>
      <c r="P289" s="7" t="str">
        <f t="shared" si="30"/>
        <v>CY</v>
      </c>
      <c r="S289" s="6" t="s">
        <v>358</v>
      </c>
      <c r="T289" s="25">
        <v>3</v>
      </c>
      <c r="U289" s="7" t="str">
        <v>CY</v>
      </c>
      <c r="Y289" t="e">
        <v>#N/A</v>
      </c>
      <c r="Z289" s="104"/>
    </row>
    <row r="290" spans="1:26">
      <c r="A290" s="133" t="s">
        <v>367</v>
      </c>
      <c r="B290" s="7"/>
      <c r="C290" s="7"/>
      <c r="D290" s="7"/>
      <c r="E290" s="7"/>
      <c r="F290" s="7">
        <v>37800000</v>
      </c>
      <c r="G290" s="7">
        <v>37800000</v>
      </c>
      <c r="H290" s="7"/>
      <c r="I290" s="7"/>
      <c r="J290" s="7"/>
      <c r="K290" s="7">
        <v>75600000</v>
      </c>
      <c r="L290" s="134">
        <f t="shared" si="31"/>
        <v>0.95644324010085802</v>
      </c>
      <c r="M290" s="7" t="str">
        <f t="shared" si="27"/>
        <v>C</v>
      </c>
      <c r="N290" s="7">
        <f t="shared" si="28"/>
        <v>0</v>
      </c>
      <c r="O290" s="7" t="str">
        <f t="shared" si="29"/>
        <v>Z</v>
      </c>
      <c r="P290" s="7" t="str">
        <f t="shared" si="30"/>
        <v>CZ</v>
      </c>
      <c r="S290" s="6" t="s">
        <v>392</v>
      </c>
      <c r="T290" s="25">
        <v>1</v>
      </c>
      <c r="U290" s="7" t="str">
        <v>BX</v>
      </c>
      <c r="Y290" t="e">
        <v>#N/A</v>
      </c>
      <c r="Z290" s="104"/>
    </row>
    <row r="291" spans="1:26">
      <c r="A291" s="133" t="s">
        <v>559</v>
      </c>
      <c r="B291" s="7">
        <v>75423000</v>
      </c>
      <c r="C291" s="7"/>
      <c r="D291" s="7"/>
      <c r="E291" s="7"/>
      <c r="F291" s="7"/>
      <c r="G291" s="7"/>
      <c r="H291" s="7"/>
      <c r="I291" s="7"/>
      <c r="J291" s="7"/>
      <c r="K291" s="7">
        <v>75423000</v>
      </c>
      <c r="L291" s="134">
        <f t="shared" si="31"/>
        <v>0.95669399874122429</v>
      </c>
      <c r="M291" s="7" t="str">
        <f t="shared" si="27"/>
        <v>C</v>
      </c>
      <c r="N291" s="7">
        <f t="shared" si="28"/>
        <v>0</v>
      </c>
      <c r="O291" s="7" t="str">
        <f t="shared" si="29"/>
        <v>Z</v>
      </c>
      <c r="P291" s="7" t="str">
        <f t="shared" si="30"/>
        <v>CZ</v>
      </c>
      <c r="S291" s="6" t="s">
        <v>392</v>
      </c>
      <c r="T291" s="25">
        <v>2</v>
      </c>
      <c r="U291" s="7" t="str">
        <v>BX</v>
      </c>
      <c r="Y291" t="e">
        <v>#N/A</v>
      </c>
      <c r="Z291" s="104"/>
    </row>
    <row r="292" spans="1:26">
      <c r="A292" s="133" t="s">
        <v>181</v>
      </c>
      <c r="B292" s="7"/>
      <c r="C292" s="7"/>
      <c r="D292" s="7"/>
      <c r="E292" s="7"/>
      <c r="F292" s="7">
        <v>18256511.100000001</v>
      </c>
      <c r="G292" s="7">
        <v>18900000</v>
      </c>
      <c r="H292" s="7">
        <v>18900000</v>
      </c>
      <c r="I292" s="7">
        <v>18900000</v>
      </c>
      <c r="J292" s="7"/>
      <c r="K292" s="7">
        <v>74956511.099999994</v>
      </c>
      <c r="L292" s="134">
        <f t="shared" si="31"/>
        <v>0.95694320644722952</v>
      </c>
      <c r="M292" s="7" t="str">
        <f t="shared" si="27"/>
        <v>C</v>
      </c>
      <c r="N292" s="7">
        <f t="shared" si="28"/>
        <v>1.4869361614492298E-2</v>
      </c>
      <c r="O292" s="7" t="str">
        <f t="shared" si="29"/>
        <v>X</v>
      </c>
      <c r="P292" s="7" t="str">
        <f t="shared" si="30"/>
        <v>CX</v>
      </c>
      <c r="S292" s="6" t="s">
        <v>508</v>
      </c>
      <c r="T292" s="25">
        <v>1</v>
      </c>
      <c r="U292" s="7" t="str">
        <v>BX</v>
      </c>
      <c r="Y292" t="e">
        <v>#N/A</v>
      </c>
      <c r="Z292" s="104"/>
    </row>
    <row r="293" spans="1:26">
      <c r="A293" s="133" t="s">
        <v>321</v>
      </c>
      <c r="B293" s="7"/>
      <c r="C293" s="7"/>
      <c r="D293" s="7"/>
      <c r="E293" s="7">
        <v>40770000</v>
      </c>
      <c r="F293" s="7">
        <v>33975000</v>
      </c>
      <c r="G293" s="7"/>
      <c r="H293" s="7"/>
      <c r="I293" s="7"/>
      <c r="J293" s="7"/>
      <c r="K293" s="7">
        <v>74745000</v>
      </c>
      <c r="L293" s="134">
        <f t="shared" si="31"/>
        <v>0.95719171094286315</v>
      </c>
      <c r="M293" s="7" t="str">
        <f t="shared" si="27"/>
        <v>C</v>
      </c>
      <c r="N293" s="7">
        <f t="shared" si="28"/>
        <v>9.0909090909090912E-2</v>
      </c>
      <c r="O293" s="7" t="str">
        <f t="shared" si="29"/>
        <v>X</v>
      </c>
      <c r="P293" s="7" t="str">
        <f t="shared" si="30"/>
        <v>CX</v>
      </c>
      <c r="S293" s="6" t="s">
        <v>324</v>
      </c>
      <c r="T293" s="25">
        <v>1</v>
      </c>
      <c r="U293" s="7" t="str">
        <v>BZ</v>
      </c>
      <c r="Y293" t="e">
        <v>#N/A</v>
      </c>
      <c r="Z293" s="104"/>
    </row>
    <row r="294" spans="1:26">
      <c r="A294" s="133" t="s">
        <v>232</v>
      </c>
      <c r="B294" s="7"/>
      <c r="C294" s="7"/>
      <c r="D294" s="7"/>
      <c r="E294" s="7"/>
      <c r="F294" s="7">
        <v>6818158.7999999998</v>
      </c>
      <c r="G294" s="7">
        <v>13636350</v>
      </c>
      <c r="H294" s="7"/>
      <c r="I294" s="7">
        <v>53988597.400000006</v>
      </c>
      <c r="J294" s="7"/>
      <c r="K294" s="7">
        <v>74443106.200000003</v>
      </c>
      <c r="L294" s="134">
        <f t="shared" si="31"/>
        <v>0.95743921173301139</v>
      </c>
      <c r="M294" s="7" t="str">
        <f t="shared" si="27"/>
        <v>C</v>
      </c>
      <c r="N294" s="7">
        <f t="shared" si="28"/>
        <v>0.83887840230205379</v>
      </c>
      <c r="O294" s="7" t="str">
        <f t="shared" si="29"/>
        <v>Z</v>
      </c>
      <c r="P294" s="7" t="str">
        <f t="shared" si="30"/>
        <v>CZ</v>
      </c>
      <c r="S294" s="6" t="s">
        <v>324</v>
      </c>
      <c r="T294" s="25">
        <v>7</v>
      </c>
      <c r="U294" s="7" t="str">
        <v>BZ</v>
      </c>
      <c r="Y294" t="e">
        <v>#N/A</v>
      </c>
      <c r="Z294" s="104"/>
    </row>
    <row r="295" spans="1:26">
      <c r="A295" s="133" t="s">
        <v>560</v>
      </c>
      <c r="B295" s="7"/>
      <c r="C295" s="7"/>
      <c r="D295" s="7"/>
      <c r="E295" s="7"/>
      <c r="F295" s="7"/>
      <c r="G295" s="7"/>
      <c r="H295" s="7"/>
      <c r="I295" s="7"/>
      <c r="J295" s="7">
        <v>74110000</v>
      </c>
      <c r="K295" s="7">
        <v>74110000</v>
      </c>
      <c r="L295" s="134">
        <f t="shared" si="31"/>
        <v>0.95768560504589395</v>
      </c>
      <c r="M295" s="7" t="str">
        <f t="shared" si="27"/>
        <v>C</v>
      </c>
      <c r="N295" s="7">
        <f t="shared" si="28"/>
        <v>0</v>
      </c>
      <c r="O295" s="7" t="str">
        <f t="shared" si="29"/>
        <v>Z</v>
      </c>
      <c r="P295" s="7" t="str">
        <f t="shared" si="30"/>
        <v>CZ</v>
      </c>
      <c r="S295" s="6" t="s">
        <v>324</v>
      </c>
      <c r="T295" s="25">
        <v>5</v>
      </c>
      <c r="U295" s="7" t="str">
        <v>BZ</v>
      </c>
      <c r="Y295" t="e">
        <v>#N/A</v>
      </c>
      <c r="Z295" s="104"/>
    </row>
    <row r="296" spans="1:26">
      <c r="A296" s="133" t="s">
        <v>561</v>
      </c>
      <c r="B296" s="7"/>
      <c r="C296" s="7"/>
      <c r="D296" s="7"/>
      <c r="E296" s="7"/>
      <c r="F296" s="7">
        <v>38400000</v>
      </c>
      <c r="G296" s="7"/>
      <c r="H296" s="7"/>
      <c r="I296" s="7">
        <v>35200000</v>
      </c>
      <c r="J296" s="7"/>
      <c r="K296" s="7">
        <v>73600000</v>
      </c>
      <c r="L296" s="134">
        <f t="shared" si="31"/>
        <v>0.95793030276318125</v>
      </c>
      <c r="M296" s="7" t="str">
        <f t="shared" si="27"/>
        <v>C</v>
      </c>
      <c r="N296" s="7">
        <f t="shared" si="28"/>
        <v>4.3478260869565216E-2</v>
      </c>
      <c r="O296" s="7" t="str">
        <f t="shared" si="29"/>
        <v>X</v>
      </c>
      <c r="P296" s="7" t="str">
        <f t="shared" si="30"/>
        <v>CX</v>
      </c>
      <c r="S296" s="6" t="s">
        <v>562</v>
      </c>
      <c r="T296" s="25">
        <v>1</v>
      </c>
      <c r="U296" s="7" t="str">
        <v>CZ</v>
      </c>
      <c r="Y296" t="e">
        <v>#N/A</v>
      </c>
      <c r="Z296" s="104"/>
    </row>
    <row r="297" spans="1:26">
      <c r="A297" s="133" t="s">
        <v>563</v>
      </c>
      <c r="B297" s="7"/>
      <c r="C297" s="7"/>
      <c r="D297" s="7"/>
      <c r="E297" s="7"/>
      <c r="F297" s="7">
        <v>38400000</v>
      </c>
      <c r="G297" s="7"/>
      <c r="H297" s="7"/>
      <c r="I297" s="7">
        <v>35200000</v>
      </c>
      <c r="J297" s="7"/>
      <c r="K297" s="7">
        <v>73600000</v>
      </c>
      <c r="L297" s="134">
        <f t="shared" si="31"/>
        <v>0.95817500048046855</v>
      </c>
      <c r="M297" s="7" t="str">
        <f t="shared" si="27"/>
        <v>C</v>
      </c>
      <c r="N297" s="7">
        <f t="shared" si="28"/>
        <v>4.3478260869565216E-2</v>
      </c>
      <c r="O297" s="7" t="str">
        <f t="shared" si="29"/>
        <v>X</v>
      </c>
      <c r="P297" s="7" t="str">
        <f t="shared" si="30"/>
        <v>CX</v>
      </c>
      <c r="S297" s="6" t="s">
        <v>564</v>
      </c>
      <c r="T297" s="25">
        <v>1</v>
      </c>
      <c r="U297" s="7" t="str">
        <v>CZ</v>
      </c>
      <c r="Y297" t="e">
        <v>#N/A</v>
      </c>
      <c r="Z297" s="104"/>
    </row>
    <row r="298" spans="1:26">
      <c r="A298" s="133" t="s">
        <v>115</v>
      </c>
      <c r="B298" s="7"/>
      <c r="C298" s="7"/>
      <c r="D298" s="7"/>
      <c r="E298" s="7"/>
      <c r="F298" s="7"/>
      <c r="G298" s="7"/>
      <c r="H298" s="7"/>
      <c r="I298" s="7"/>
      <c r="J298" s="7">
        <v>72727305</v>
      </c>
      <c r="K298" s="7">
        <v>72727305</v>
      </c>
      <c r="L298" s="134">
        <f t="shared" si="31"/>
        <v>0.95841679675109293</v>
      </c>
      <c r="M298" s="7" t="str">
        <f t="shared" si="27"/>
        <v>C</v>
      </c>
      <c r="N298" s="7">
        <f t="shared" si="28"/>
        <v>0</v>
      </c>
      <c r="O298" s="7" t="str">
        <f t="shared" si="29"/>
        <v>Z</v>
      </c>
      <c r="P298" s="7" t="str">
        <f t="shared" si="30"/>
        <v>CZ</v>
      </c>
      <c r="S298" s="6" t="s">
        <v>564</v>
      </c>
      <c r="T298" s="25">
        <v>2</v>
      </c>
      <c r="U298" s="7" t="str">
        <v>CZ</v>
      </c>
      <c r="Y298" t="e">
        <v>#N/A</v>
      </c>
      <c r="Z298" s="104"/>
    </row>
    <row r="299" spans="1:26">
      <c r="A299" s="133" t="s">
        <v>393</v>
      </c>
      <c r="B299" s="7"/>
      <c r="C299" s="7"/>
      <c r="D299" s="7"/>
      <c r="E299" s="7"/>
      <c r="F299" s="7"/>
      <c r="G299" s="7"/>
      <c r="H299" s="7">
        <v>28834000</v>
      </c>
      <c r="I299" s="7">
        <v>43840000</v>
      </c>
      <c r="J299" s="7"/>
      <c r="K299" s="7">
        <v>72674000</v>
      </c>
      <c r="L299" s="134">
        <f t="shared" si="31"/>
        <v>0.95865841579873068</v>
      </c>
      <c r="M299" s="7" t="str">
        <f t="shared" si="27"/>
        <v>C</v>
      </c>
      <c r="N299" s="7">
        <f t="shared" si="28"/>
        <v>0.20648374934639624</v>
      </c>
      <c r="O299" s="7" t="str">
        <f t="shared" si="29"/>
        <v>X</v>
      </c>
      <c r="P299" s="7" t="str">
        <f t="shared" si="30"/>
        <v>CX</v>
      </c>
      <c r="S299" s="6" t="s">
        <v>565</v>
      </c>
      <c r="T299" s="25">
        <v>2</v>
      </c>
      <c r="U299" s="7" t="str">
        <v>CY</v>
      </c>
      <c r="Y299" t="e">
        <v>#N/A</v>
      </c>
      <c r="Z299" s="104"/>
    </row>
    <row r="300" spans="1:26">
      <c r="A300" s="133" t="s">
        <v>507</v>
      </c>
      <c r="B300" s="7"/>
      <c r="C300" s="7"/>
      <c r="D300" s="7">
        <v>39600000</v>
      </c>
      <c r="E300" s="7"/>
      <c r="F300" s="7"/>
      <c r="G300" s="7"/>
      <c r="H300" s="7">
        <v>33000000</v>
      </c>
      <c r="I300" s="7"/>
      <c r="J300" s="7"/>
      <c r="K300" s="7">
        <v>72600000</v>
      </c>
      <c r="L300" s="134">
        <f t="shared" si="31"/>
        <v>0.95889978881877225</v>
      </c>
      <c r="M300" s="7" t="str">
        <f t="shared" si="27"/>
        <v>C</v>
      </c>
      <c r="N300" s="7">
        <f t="shared" si="28"/>
        <v>9.0909090909090912E-2</v>
      </c>
      <c r="O300" s="7" t="str">
        <f t="shared" si="29"/>
        <v>X</v>
      </c>
      <c r="P300" s="7" t="str">
        <f t="shared" si="30"/>
        <v>CX</v>
      </c>
      <c r="S300" s="6" t="s">
        <v>566</v>
      </c>
      <c r="T300" s="25">
        <v>1</v>
      </c>
      <c r="U300" s="7" t="str">
        <v>CZ</v>
      </c>
      <c r="Y300" t="e">
        <v>#N/A</v>
      </c>
      <c r="Z300" s="104"/>
    </row>
    <row r="301" spans="1:26">
      <c r="A301" s="133" t="s">
        <v>399</v>
      </c>
      <c r="B301" s="7"/>
      <c r="C301" s="7"/>
      <c r="D301" s="7"/>
      <c r="E301" s="7"/>
      <c r="F301" s="7"/>
      <c r="G301" s="7"/>
      <c r="H301" s="7">
        <v>72000000</v>
      </c>
      <c r="I301" s="7"/>
      <c r="J301" s="7"/>
      <c r="K301" s="7">
        <v>72000000</v>
      </c>
      <c r="L301" s="134">
        <f t="shared" si="31"/>
        <v>0.95913916702046631</v>
      </c>
      <c r="M301" s="7" t="str">
        <f t="shared" si="27"/>
        <v>C</v>
      </c>
      <c r="N301" s="7">
        <f t="shared" si="28"/>
        <v>0</v>
      </c>
      <c r="O301" s="7" t="str">
        <f t="shared" si="29"/>
        <v>Z</v>
      </c>
      <c r="P301" s="7" t="str">
        <f t="shared" si="30"/>
        <v>CZ</v>
      </c>
      <c r="S301" s="6" t="s">
        <v>566</v>
      </c>
      <c r="T301" s="25">
        <v>1</v>
      </c>
      <c r="U301" s="7" t="str">
        <v>CZ</v>
      </c>
      <c r="Y301" t="e">
        <v>#N/A</v>
      </c>
      <c r="Z301" s="104"/>
    </row>
    <row r="302" spans="1:26">
      <c r="A302" s="133" t="s">
        <v>130</v>
      </c>
      <c r="B302" s="7"/>
      <c r="C302" s="7"/>
      <c r="D302" s="7"/>
      <c r="E302" s="7">
        <v>3250000</v>
      </c>
      <c r="F302" s="7">
        <v>9750000</v>
      </c>
      <c r="G302" s="7">
        <v>13000000</v>
      </c>
      <c r="H302" s="7">
        <v>13000000</v>
      </c>
      <c r="I302" s="7"/>
      <c r="J302" s="7">
        <v>32500000</v>
      </c>
      <c r="K302" s="7">
        <v>71500000</v>
      </c>
      <c r="L302" s="134">
        <f t="shared" si="31"/>
        <v>0.95937688287353751</v>
      </c>
      <c r="M302" s="7" t="str">
        <f t="shared" si="27"/>
        <v>C</v>
      </c>
      <c r="N302" s="7">
        <f t="shared" si="28"/>
        <v>0.68333165356240488</v>
      </c>
      <c r="O302" s="7" t="str">
        <f t="shared" si="29"/>
        <v>Z</v>
      </c>
      <c r="P302" s="7" t="str">
        <f t="shared" si="30"/>
        <v>CZ</v>
      </c>
      <c r="S302" s="6" t="s">
        <v>359</v>
      </c>
      <c r="T302" s="25">
        <v>1</v>
      </c>
      <c r="U302" s="7" t="str">
        <v>CY</v>
      </c>
      <c r="Y302" t="e">
        <v>#N/A</v>
      </c>
      <c r="Z302" s="104"/>
    </row>
    <row r="303" spans="1:26">
      <c r="A303" s="133" t="s">
        <v>481</v>
      </c>
      <c r="B303" s="7"/>
      <c r="C303" s="7"/>
      <c r="D303" s="7"/>
      <c r="E303" s="7">
        <v>8800000</v>
      </c>
      <c r="F303" s="7"/>
      <c r="G303" s="7"/>
      <c r="H303" s="7">
        <v>35200000</v>
      </c>
      <c r="I303" s="7"/>
      <c r="J303" s="7">
        <v>27240000</v>
      </c>
      <c r="K303" s="7">
        <v>71240000</v>
      </c>
      <c r="L303" s="134">
        <f t="shared" si="31"/>
        <v>0.95961373430532482</v>
      </c>
      <c r="M303" s="7" t="str">
        <f t="shared" si="27"/>
        <v>C</v>
      </c>
      <c r="N303" s="7">
        <f t="shared" si="28"/>
        <v>0.4656317000676829</v>
      </c>
      <c r="O303" s="7" t="str">
        <f t="shared" si="29"/>
        <v>Y</v>
      </c>
      <c r="P303" s="7" t="str">
        <f t="shared" si="30"/>
        <v>CY</v>
      </c>
      <c r="S303" s="6" t="s">
        <v>567</v>
      </c>
      <c r="T303" s="25">
        <v>1</v>
      </c>
      <c r="U303" s="7" t="str">
        <v>CZ</v>
      </c>
      <c r="Y303" t="e">
        <v>#N/A</v>
      </c>
      <c r="Z303" s="104"/>
    </row>
    <row r="304" spans="1:26">
      <c r="A304" s="133" t="s">
        <v>568</v>
      </c>
      <c r="B304" s="7"/>
      <c r="C304" s="7"/>
      <c r="D304" s="7"/>
      <c r="E304" s="7"/>
      <c r="F304" s="7"/>
      <c r="G304" s="7"/>
      <c r="H304" s="7">
        <v>10000</v>
      </c>
      <c r="I304" s="7"/>
      <c r="J304" s="7">
        <v>71000000</v>
      </c>
      <c r="K304" s="7">
        <v>71010000</v>
      </c>
      <c r="L304" s="134">
        <f t="shared" si="31"/>
        <v>0.95984982105674554</v>
      </c>
      <c r="M304" s="7" t="str">
        <f t="shared" si="27"/>
        <v>C</v>
      </c>
      <c r="N304" s="7">
        <f t="shared" si="28"/>
        <v>0.99971834952823546</v>
      </c>
      <c r="O304" s="7" t="str">
        <f t="shared" si="29"/>
        <v>Z</v>
      </c>
      <c r="P304" s="7" t="str">
        <f t="shared" si="30"/>
        <v>CZ</v>
      </c>
      <c r="S304" s="6" t="s">
        <v>361</v>
      </c>
      <c r="T304" s="25">
        <v>1</v>
      </c>
      <c r="U304" s="7" t="str">
        <v>CX</v>
      </c>
      <c r="Y304" t="e">
        <v>#N/A</v>
      </c>
      <c r="Z304" s="104"/>
    </row>
    <row r="305" spans="1:26">
      <c r="A305" s="133" t="s">
        <v>428</v>
      </c>
      <c r="B305" s="7"/>
      <c r="C305" s="7">
        <v>66800000</v>
      </c>
      <c r="D305" s="7"/>
      <c r="E305" s="7"/>
      <c r="F305" s="7">
        <v>3340000</v>
      </c>
      <c r="G305" s="7"/>
      <c r="H305" s="7"/>
      <c r="I305" s="7"/>
      <c r="J305" s="7"/>
      <c r="K305" s="7">
        <v>70140000</v>
      </c>
      <c r="L305" s="134">
        <f t="shared" si="31"/>
        <v>0.96008301532156248</v>
      </c>
      <c r="M305" s="7" t="str">
        <f t="shared" si="27"/>
        <v>C</v>
      </c>
      <c r="N305" s="7">
        <f t="shared" si="28"/>
        <v>0.90476190476190477</v>
      </c>
      <c r="O305" s="7" t="str">
        <f t="shared" si="29"/>
        <v>Z</v>
      </c>
      <c r="P305" s="7" t="str">
        <f t="shared" si="30"/>
        <v>CZ</v>
      </c>
      <c r="S305" s="6" t="s">
        <v>361</v>
      </c>
      <c r="T305" s="25">
        <v>1</v>
      </c>
      <c r="U305" s="7" t="str">
        <v>CX</v>
      </c>
      <c r="Y305" t="e">
        <v>#N/A</v>
      </c>
      <c r="Z305" s="104"/>
    </row>
    <row r="306" spans="1:26">
      <c r="A306" s="133" t="s">
        <v>216</v>
      </c>
      <c r="B306" s="7"/>
      <c r="C306" s="7"/>
      <c r="D306" s="7"/>
      <c r="E306" s="7">
        <v>11600000</v>
      </c>
      <c r="F306" s="7"/>
      <c r="G306" s="7">
        <v>39000000</v>
      </c>
      <c r="H306" s="7"/>
      <c r="I306" s="7">
        <v>19500000</v>
      </c>
      <c r="J306" s="7"/>
      <c r="K306" s="7">
        <v>70100000</v>
      </c>
      <c r="L306" s="134">
        <f t="shared" si="31"/>
        <v>0.96031607659848961</v>
      </c>
      <c r="M306" s="7" t="str">
        <f t="shared" si="27"/>
        <v>C</v>
      </c>
      <c r="N306" s="7">
        <f t="shared" si="28"/>
        <v>0.49280900827719876</v>
      </c>
      <c r="O306" s="7" t="str">
        <f t="shared" si="29"/>
        <v>Y</v>
      </c>
      <c r="P306" s="7" t="str">
        <f t="shared" si="30"/>
        <v>CY</v>
      </c>
      <c r="S306" s="6" t="s">
        <v>363</v>
      </c>
      <c r="T306" s="25">
        <v>2</v>
      </c>
      <c r="U306" s="7" t="str">
        <v>CY</v>
      </c>
      <c r="Y306" t="e">
        <v>#N/A</v>
      </c>
      <c r="Z306" s="104"/>
    </row>
    <row r="307" spans="1:26">
      <c r="A307" s="133" t="s">
        <v>358</v>
      </c>
      <c r="B307" s="7"/>
      <c r="C307" s="7"/>
      <c r="D307" s="7"/>
      <c r="E307" s="7">
        <v>20027000</v>
      </c>
      <c r="F307" s="7">
        <v>14305000</v>
      </c>
      <c r="G307" s="7"/>
      <c r="H307" s="7">
        <v>5956000</v>
      </c>
      <c r="I307" s="7">
        <v>5956000</v>
      </c>
      <c r="J307" s="7">
        <v>23824000</v>
      </c>
      <c r="K307" s="7">
        <v>70068000</v>
      </c>
      <c r="L307" s="134">
        <f t="shared" si="31"/>
        <v>0.96054903148510484</v>
      </c>
      <c r="M307" s="7" t="str">
        <f t="shared" si="27"/>
        <v>C</v>
      </c>
      <c r="N307" s="7">
        <f t="shared" si="28"/>
        <v>0.51688897715720072</v>
      </c>
      <c r="O307" s="7" t="str">
        <f t="shared" si="29"/>
        <v>Y</v>
      </c>
      <c r="P307" s="7" t="str">
        <f t="shared" si="30"/>
        <v>CY</v>
      </c>
      <c r="S307" s="6" t="s">
        <v>363</v>
      </c>
      <c r="T307" s="25">
        <v>1</v>
      </c>
      <c r="U307" s="7" t="str">
        <v>CY</v>
      </c>
      <c r="Y307" t="e">
        <v>#N/A</v>
      </c>
      <c r="Z307" s="104"/>
    </row>
    <row r="308" spans="1:26">
      <c r="A308" s="133" t="s">
        <v>331</v>
      </c>
      <c r="B308" s="7"/>
      <c r="C308" s="7"/>
      <c r="D308" s="7"/>
      <c r="E308" s="7"/>
      <c r="F308" s="7"/>
      <c r="G308" s="7"/>
      <c r="H308" s="7">
        <v>40000</v>
      </c>
      <c r="I308" s="7">
        <v>70000000</v>
      </c>
      <c r="J308" s="7"/>
      <c r="K308" s="7">
        <v>70040000</v>
      </c>
      <c r="L308" s="134">
        <f t="shared" si="31"/>
        <v>0.96078189328019725</v>
      </c>
      <c r="M308" s="7" t="str">
        <f t="shared" si="27"/>
        <v>C</v>
      </c>
      <c r="N308" s="7">
        <f t="shared" si="28"/>
        <v>0.99885779554540266</v>
      </c>
      <c r="O308" s="7" t="str">
        <f t="shared" si="29"/>
        <v>Z</v>
      </c>
      <c r="P308" s="7" t="str">
        <f t="shared" si="30"/>
        <v>CZ</v>
      </c>
      <c r="S308" s="6" t="s">
        <v>569</v>
      </c>
      <c r="T308" s="25">
        <v>1</v>
      </c>
      <c r="U308" s="7" t="str">
        <v>CZ</v>
      </c>
      <c r="Y308" t="e">
        <v>#N/A</v>
      </c>
      <c r="Z308" s="104"/>
    </row>
    <row r="309" spans="1:26">
      <c r="A309" s="133" t="s">
        <v>570</v>
      </c>
      <c r="B309" s="7"/>
      <c r="C309" s="7"/>
      <c r="D309" s="7"/>
      <c r="E309" s="7">
        <v>69800000</v>
      </c>
      <c r="F309" s="7"/>
      <c r="G309" s="7"/>
      <c r="H309" s="7"/>
      <c r="I309" s="7"/>
      <c r="J309" s="7"/>
      <c r="K309" s="7">
        <v>69800000</v>
      </c>
      <c r="L309" s="134">
        <f t="shared" si="31"/>
        <v>0.96101395714795068</v>
      </c>
      <c r="M309" s="7" t="str">
        <f t="shared" si="27"/>
        <v>C</v>
      </c>
      <c r="N309" s="7">
        <f t="shared" si="28"/>
        <v>0</v>
      </c>
      <c r="O309" s="7" t="str">
        <f t="shared" si="29"/>
        <v>Z</v>
      </c>
      <c r="P309" s="7" t="str">
        <f t="shared" si="30"/>
        <v>CZ</v>
      </c>
      <c r="S309" s="6" t="s">
        <v>367</v>
      </c>
      <c r="T309" s="25">
        <v>1</v>
      </c>
      <c r="U309" s="7" t="str">
        <v>CZ</v>
      </c>
      <c r="Y309" t="e">
        <v>#N/A</v>
      </c>
      <c r="Z309" s="104"/>
    </row>
    <row r="310" spans="1:26">
      <c r="A310" s="133" t="s">
        <v>571</v>
      </c>
      <c r="B310" s="7"/>
      <c r="C310" s="7"/>
      <c r="D310" s="7">
        <v>68400000</v>
      </c>
      <c r="E310" s="7"/>
      <c r="F310" s="7"/>
      <c r="G310" s="7"/>
      <c r="H310" s="7"/>
      <c r="I310" s="7"/>
      <c r="J310" s="7"/>
      <c r="K310" s="7">
        <v>68400000</v>
      </c>
      <c r="L310" s="134">
        <f t="shared" si="31"/>
        <v>0.96124136643956004</v>
      </c>
      <c r="M310" s="7" t="str">
        <f t="shared" si="27"/>
        <v>C</v>
      </c>
      <c r="N310" s="7">
        <f t="shared" si="28"/>
        <v>0</v>
      </c>
      <c r="O310" s="7" t="str">
        <f t="shared" si="29"/>
        <v>Z</v>
      </c>
      <c r="P310" s="7" t="str">
        <f t="shared" si="30"/>
        <v>CZ</v>
      </c>
      <c r="S310" s="6" t="s">
        <v>572</v>
      </c>
      <c r="T310" s="25">
        <v>3</v>
      </c>
      <c r="U310" s="7" t="str">
        <v>CY</v>
      </c>
      <c r="Y310" t="e">
        <v>#N/A</v>
      </c>
      <c r="Z310" s="104"/>
    </row>
    <row r="311" spans="1:26">
      <c r="A311" s="133" t="s">
        <v>573</v>
      </c>
      <c r="B311" s="7"/>
      <c r="C311" s="7"/>
      <c r="D311" s="7"/>
      <c r="E311" s="7"/>
      <c r="F311" s="7"/>
      <c r="G311" s="7"/>
      <c r="H311" s="7"/>
      <c r="I311" s="7">
        <v>43360000</v>
      </c>
      <c r="J311" s="7">
        <v>24000000</v>
      </c>
      <c r="K311" s="7">
        <v>67360000</v>
      </c>
      <c r="L311" s="134">
        <f t="shared" si="31"/>
        <v>0.96146531804603386</v>
      </c>
      <c r="M311" s="7" t="str">
        <f t="shared" si="27"/>
        <v>C</v>
      </c>
      <c r="N311" s="7">
        <f t="shared" si="28"/>
        <v>0.28741092636579574</v>
      </c>
      <c r="O311" s="7" t="str">
        <f t="shared" si="29"/>
        <v>X</v>
      </c>
      <c r="P311" s="7" t="str">
        <f t="shared" si="30"/>
        <v>CX</v>
      </c>
      <c r="S311" s="6" t="s">
        <v>485</v>
      </c>
      <c r="T311" s="25">
        <v>2</v>
      </c>
      <c r="U311" s="7" t="str">
        <v>BX</v>
      </c>
      <c r="Y311" t="e">
        <v>#N/A</v>
      </c>
      <c r="Z311" s="104"/>
    </row>
    <row r="312" spans="1:26">
      <c r="A312" s="133" t="s">
        <v>574</v>
      </c>
      <c r="B312" s="7"/>
      <c r="C312" s="7"/>
      <c r="D312" s="7"/>
      <c r="E312" s="7">
        <v>67217000</v>
      </c>
      <c r="F312" s="7"/>
      <c r="G312" s="7"/>
      <c r="H312" s="7"/>
      <c r="I312" s="7"/>
      <c r="J312" s="7"/>
      <c r="K312" s="7">
        <v>67217000</v>
      </c>
      <c r="L312" s="134">
        <f t="shared" si="31"/>
        <v>0.96168879422080145</v>
      </c>
      <c r="M312" s="7" t="str">
        <f t="shared" si="27"/>
        <v>C</v>
      </c>
      <c r="N312" s="7">
        <f t="shared" si="28"/>
        <v>0</v>
      </c>
      <c r="O312" s="7" t="str">
        <f t="shared" si="29"/>
        <v>Z</v>
      </c>
      <c r="P312" s="7" t="str">
        <f t="shared" si="30"/>
        <v>CZ</v>
      </c>
      <c r="S312" s="6" t="s">
        <v>485</v>
      </c>
      <c r="T312" s="25">
        <v>1</v>
      </c>
      <c r="U312" s="7" t="str">
        <v>BX</v>
      </c>
      <c r="Y312" t="e">
        <v>#N/A</v>
      </c>
      <c r="Z312" s="104"/>
    </row>
    <row r="313" spans="1:26">
      <c r="A313" s="133" t="s">
        <v>575</v>
      </c>
      <c r="B313" s="7"/>
      <c r="C313" s="7"/>
      <c r="D313" s="7"/>
      <c r="E313" s="7"/>
      <c r="F313" s="7"/>
      <c r="G313" s="7"/>
      <c r="H313" s="7">
        <v>67200000</v>
      </c>
      <c r="I313" s="7"/>
      <c r="J313" s="7"/>
      <c r="K313" s="7">
        <v>67200000</v>
      </c>
      <c r="L313" s="134">
        <f t="shared" si="31"/>
        <v>0.9619122138757159</v>
      </c>
      <c r="M313" s="7" t="str">
        <f t="shared" si="27"/>
        <v>C</v>
      </c>
      <c r="N313" s="7">
        <f t="shared" si="28"/>
        <v>0</v>
      </c>
      <c r="O313" s="7" t="str">
        <f t="shared" si="29"/>
        <v>Z</v>
      </c>
      <c r="P313" s="7" t="str">
        <f t="shared" si="30"/>
        <v>CZ</v>
      </c>
      <c r="S313" s="6" t="s">
        <v>485</v>
      </c>
      <c r="T313" s="25">
        <v>1</v>
      </c>
      <c r="U313" s="7" t="str">
        <v>BX</v>
      </c>
      <c r="Y313" t="e">
        <v>#N/A</v>
      </c>
      <c r="Z313" s="104"/>
    </row>
    <row r="314" spans="1:26">
      <c r="A314" s="133" t="s">
        <v>415</v>
      </c>
      <c r="B314" s="7">
        <v>31096000</v>
      </c>
      <c r="C314" s="7"/>
      <c r="D314" s="7"/>
      <c r="E314" s="7"/>
      <c r="F314" s="7"/>
      <c r="G314" s="7"/>
      <c r="H314" s="7">
        <v>35880000</v>
      </c>
      <c r="I314" s="7"/>
      <c r="J314" s="7"/>
      <c r="K314" s="7">
        <v>66976000</v>
      </c>
      <c r="L314" s="134">
        <f t="shared" si="31"/>
        <v>0.96213488879844733</v>
      </c>
      <c r="M314" s="7" t="str">
        <f t="shared" si="27"/>
        <v>C</v>
      </c>
      <c r="N314" s="7">
        <f t="shared" si="28"/>
        <v>7.1428571428571425E-2</v>
      </c>
      <c r="O314" s="7" t="str">
        <f t="shared" si="29"/>
        <v>X</v>
      </c>
      <c r="P314" s="7" t="str">
        <f t="shared" si="30"/>
        <v>CX</v>
      </c>
      <c r="S314" s="6" t="s">
        <v>485</v>
      </c>
      <c r="T314" s="25">
        <v>2</v>
      </c>
      <c r="U314" s="7" t="str">
        <v>BX</v>
      </c>
      <c r="Y314" t="e">
        <v>#N/A</v>
      </c>
      <c r="Z314" s="104"/>
    </row>
    <row r="315" spans="1:26">
      <c r="A315" s="133" t="s">
        <v>572</v>
      </c>
      <c r="B315" s="7"/>
      <c r="C315" s="7"/>
      <c r="D315" s="7"/>
      <c r="E315" s="7"/>
      <c r="F315" s="7">
        <v>16000000</v>
      </c>
      <c r="G315" s="7"/>
      <c r="H315" s="7">
        <v>50750000</v>
      </c>
      <c r="I315" s="7"/>
      <c r="J315" s="7"/>
      <c r="K315" s="7">
        <v>66750000</v>
      </c>
      <c r="L315" s="134">
        <f t="shared" si="31"/>
        <v>0.96235681233960124</v>
      </c>
      <c r="M315" s="7" t="str">
        <f t="shared" si="27"/>
        <v>C</v>
      </c>
      <c r="N315" s="7">
        <f t="shared" si="28"/>
        <v>0.52059925093632964</v>
      </c>
      <c r="O315" s="7" t="str">
        <f t="shared" si="29"/>
        <v>Y</v>
      </c>
      <c r="P315" s="7" t="str">
        <f t="shared" si="30"/>
        <v>CY</v>
      </c>
      <c r="S315" s="6" t="s">
        <v>576</v>
      </c>
      <c r="T315" s="25">
        <v>1</v>
      </c>
      <c r="U315" s="7" t="str">
        <v>CX</v>
      </c>
      <c r="Y315" t="e">
        <v>#N/A</v>
      </c>
      <c r="Z315" s="104"/>
    </row>
    <row r="316" spans="1:26">
      <c r="A316" s="133" t="s">
        <v>517</v>
      </c>
      <c r="B316" s="7"/>
      <c r="C316" s="7"/>
      <c r="D316" s="7">
        <v>17100000</v>
      </c>
      <c r="E316" s="7"/>
      <c r="F316" s="7"/>
      <c r="G316" s="7">
        <v>15500000</v>
      </c>
      <c r="H316" s="7"/>
      <c r="I316" s="7">
        <v>34000000</v>
      </c>
      <c r="J316" s="7"/>
      <c r="K316" s="7">
        <v>66600000</v>
      </c>
      <c r="L316" s="134">
        <f t="shared" si="31"/>
        <v>0.96257823717616831</v>
      </c>
      <c r="M316" s="7" t="str">
        <f t="shared" si="27"/>
        <v>C</v>
      </c>
      <c r="N316" s="7">
        <f t="shared" si="28"/>
        <v>0.37699948952430701</v>
      </c>
      <c r="O316" s="7" t="str">
        <f t="shared" si="29"/>
        <v>Y</v>
      </c>
      <c r="P316" s="7" t="str">
        <f t="shared" si="30"/>
        <v>CY</v>
      </c>
      <c r="S316" s="6" t="s">
        <v>576</v>
      </c>
      <c r="T316" s="25">
        <v>2</v>
      </c>
      <c r="U316" s="7" t="str">
        <v>CX</v>
      </c>
      <c r="Y316" t="e">
        <v>#N/A</v>
      </c>
      <c r="Z316" s="104"/>
    </row>
    <row r="317" spans="1:26">
      <c r="A317" s="133" t="s">
        <v>577</v>
      </c>
      <c r="B317" s="7"/>
      <c r="C317" s="7"/>
      <c r="D317" s="7"/>
      <c r="E317" s="7"/>
      <c r="F317" s="7"/>
      <c r="G317" s="7"/>
      <c r="H317" s="7">
        <v>10500</v>
      </c>
      <c r="I317" s="7"/>
      <c r="J317" s="7">
        <v>66360000</v>
      </c>
      <c r="K317" s="7">
        <v>66370500</v>
      </c>
      <c r="L317" s="134">
        <f t="shared" si="31"/>
        <v>0.96279889899471738</v>
      </c>
      <c r="M317" s="7" t="str">
        <f t="shared" si="27"/>
        <v>C</v>
      </c>
      <c r="N317" s="7">
        <f t="shared" si="28"/>
        <v>0.99968359436797971</v>
      </c>
      <c r="O317" s="7" t="str">
        <f t="shared" si="29"/>
        <v>Z</v>
      </c>
      <c r="P317" s="7" t="str">
        <f t="shared" si="30"/>
        <v>CZ</v>
      </c>
      <c r="S317" s="6" t="s">
        <v>374</v>
      </c>
      <c r="T317" s="25">
        <v>1</v>
      </c>
      <c r="U317" s="7" t="str">
        <v>BY</v>
      </c>
      <c r="Y317" t="e">
        <v>#N/A</v>
      </c>
      <c r="Z317" s="104"/>
    </row>
    <row r="318" spans="1:26">
      <c r="A318" s="133" t="s">
        <v>578</v>
      </c>
      <c r="B318" s="7"/>
      <c r="C318" s="7"/>
      <c r="D318" s="7"/>
      <c r="E318" s="7">
        <v>60000000</v>
      </c>
      <c r="F318" s="7">
        <v>6300000</v>
      </c>
      <c r="G318" s="7"/>
      <c r="H318" s="7"/>
      <c r="I318" s="7"/>
      <c r="J318" s="7"/>
      <c r="K318" s="7">
        <v>66300000</v>
      </c>
      <c r="L318" s="134">
        <f t="shared" si="31"/>
        <v>0.96301932642211063</v>
      </c>
      <c r="M318" s="7" t="str">
        <f t="shared" si="27"/>
        <v>C</v>
      </c>
      <c r="N318" s="7">
        <f t="shared" si="28"/>
        <v>0.80995475113122173</v>
      </c>
      <c r="O318" s="7" t="str">
        <f t="shared" si="29"/>
        <v>Z</v>
      </c>
      <c r="P318" s="7" t="str">
        <f t="shared" si="30"/>
        <v>CZ</v>
      </c>
      <c r="S318" s="6" t="s">
        <v>374</v>
      </c>
      <c r="T318" s="25">
        <v>2</v>
      </c>
      <c r="U318" s="7" t="str">
        <v>BY</v>
      </c>
      <c r="Y318" t="e">
        <v>#N/A</v>
      </c>
      <c r="Z318" s="104"/>
    </row>
    <row r="319" spans="1:26">
      <c r="A319" s="133" t="s">
        <v>453</v>
      </c>
      <c r="B319" s="7"/>
      <c r="C319" s="7"/>
      <c r="D319" s="7"/>
      <c r="E319" s="7">
        <v>66000000</v>
      </c>
      <c r="F319" s="7"/>
      <c r="G319" s="7"/>
      <c r="H319" s="7"/>
      <c r="I319" s="7"/>
      <c r="J319" s="7"/>
      <c r="K319" s="7">
        <v>66000000</v>
      </c>
      <c r="L319" s="134">
        <f t="shared" si="31"/>
        <v>0.96323875644033019</v>
      </c>
      <c r="M319" s="7" t="str">
        <f t="shared" si="27"/>
        <v>C</v>
      </c>
      <c r="N319" s="7">
        <f t="shared" si="28"/>
        <v>0</v>
      </c>
      <c r="O319" s="7" t="str">
        <f t="shared" si="29"/>
        <v>Z</v>
      </c>
      <c r="P319" s="7" t="str">
        <f t="shared" si="30"/>
        <v>CZ</v>
      </c>
      <c r="S319" s="6" t="s">
        <v>374</v>
      </c>
      <c r="T319" s="25">
        <v>3</v>
      </c>
      <c r="U319" s="7" t="str">
        <v>BY</v>
      </c>
      <c r="Y319" t="e">
        <v>#N/A</v>
      </c>
      <c r="Z319" s="104"/>
    </row>
    <row r="320" spans="1:26">
      <c r="A320" s="133" t="s">
        <v>363</v>
      </c>
      <c r="B320" s="7"/>
      <c r="C320" s="7"/>
      <c r="D320" s="7"/>
      <c r="E320" s="7"/>
      <c r="F320" s="7">
        <v>17775000</v>
      </c>
      <c r="G320" s="7"/>
      <c r="H320" s="7">
        <v>32750000</v>
      </c>
      <c r="I320" s="7"/>
      <c r="J320" s="7">
        <v>15250000</v>
      </c>
      <c r="K320" s="7">
        <v>65775000</v>
      </c>
      <c r="L320" s="134">
        <f t="shared" si="31"/>
        <v>0.96345743840166942</v>
      </c>
      <c r="M320" s="7" t="str">
        <f t="shared" si="27"/>
        <v>C</v>
      </c>
      <c r="N320" s="7">
        <f t="shared" si="28"/>
        <v>0.35227047047254528</v>
      </c>
      <c r="O320" s="7" t="str">
        <f t="shared" si="29"/>
        <v>Y</v>
      </c>
      <c r="P320" s="7" t="str">
        <f t="shared" si="30"/>
        <v>CY</v>
      </c>
      <c r="S320" s="6" t="s">
        <v>561</v>
      </c>
      <c r="T320" s="25">
        <v>1</v>
      </c>
      <c r="U320" s="7" t="str">
        <v>CX</v>
      </c>
      <c r="Y320" t="e">
        <v>#N/A</v>
      </c>
      <c r="Z320" s="104"/>
    </row>
    <row r="321" spans="1:26">
      <c r="A321" s="133" t="s">
        <v>579</v>
      </c>
      <c r="B321" s="7"/>
      <c r="C321" s="7"/>
      <c r="D321" s="7"/>
      <c r="E321" s="7"/>
      <c r="F321" s="7"/>
      <c r="G321" s="7"/>
      <c r="H321" s="7"/>
      <c r="I321" s="7"/>
      <c r="J321" s="7">
        <v>65406598.389000006</v>
      </c>
      <c r="K321" s="7">
        <v>65406598.389000006</v>
      </c>
      <c r="L321" s="134">
        <f t="shared" si="31"/>
        <v>0.96367489553918728</v>
      </c>
      <c r="M321" s="7" t="str">
        <f t="shared" si="27"/>
        <v>C</v>
      </c>
      <c r="N321" s="7">
        <f t="shared" si="28"/>
        <v>0</v>
      </c>
      <c r="O321" s="7" t="str">
        <f t="shared" si="29"/>
        <v>Z</v>
      </c>
      <c r="P321" s="7" t="str">
        <f t="shared" si="30"/>
        <v>CZ</v>
      </c>
      <c r="S321" s="6" t="s">
        <v>561</v>
      </c>
      <c r="T321" s="25">
        <v>1</v>
      </c>
      <c r="U321" s="7" t="str">
        <v>CX</v>
      </c>
      <c r="Y321" t="e">
        <v>#N/A</v>
      </c>
      <c r="Z321" s="104"/>
    </row>
    <row r="322" spans="1:26">
      <c r="A322" s="133" t="s">
        <v>580</v>
      </c>
      <c r="B322" s="7"/>
      <c r="C322" s="7">
        <v>65055900</v>
      </c>
      <c r="D322" s="7"/>
      <c r="E322" s="7"/>
      <c r="F322" s="7"/>
      <c r="G322" s="7"/>
      <c r="H322" s="7"/>
      <c r="I322" s="7"/>
      <c r="J322" s="7"/>
      <c r="K322" s="7">
        <v>65055900</v>
      </c>
      <c r="L322" s="134">
        <f t="shared" si="31"/>
        <v>0.96389118671073715</v>
      </c>
      <c r="M322" s="7" t="str">
        <f t="shared" si="27"/>
        <v>C</v>
      </c>
      <c r="N322" s="7">
        <f t="shared" si="28"/>
        <v>0</v>
      </c>
      <c r="O322" s="7" t="str">
        <f t="shared" si="29"/>
        <v>Z</v>
      </c>
      <c r="P322" s="7" t="str">
        <f t="shared" si="30"/>
        <v>CZ</v>
      </c>
      <c r="S322" s="6" t="s">
        <v>563</v>
      </c>
      <c r="T322" s="25">
        <v>1</v>
      </c>
      <c r="U322" s="7" t="str">
        <v>CX</v>
      </c>
      <c r="Y322" t="e">
        <v>#N/A</v>
      </c>
      <c r="Z322" s="104"/>
    </row>
    <row r="323" spans="1:26">
      <c r="A323" s="133" t="s">
        <v>379</v>
      </c>
      <c r="B323" s="7"/>
      <c r="C323" s="7"/>
      <c r="D323" s="7"/>
      <c r="E323" s="7"/>
      <c r="F323" s="7"/>
      <c r="G323" s="7"/>
      <c r="H323" s="7">
        <v>26000000</v>
      </c>
      <c r="I323" s="7">
        <v>39000000</v>
      </c>
      <c r="J323" s="7"/>
      <c r="K323" s="7">
        <v>65000000</v>
      </c>
      <c r="L323" s="134">
        <f t="shared" si="31"/>
        <v>0.96410729203171097</v>
      </c>
      <c r="M323" s="7" t="str">
        <f t="shared" si="27"/>
        <v>C</v>
      </c>
      <c r="N323" s="7">
        <f t="shared" si="28"/>
        <v>0.2</v>
      </c>
      <c r="O323" s="7" t="str">
        <f t="shared" si="29"/>
        <v>X</v>
      </c>
      <c r="P323" s="7" t="str">
        <f t="shared" si="30"/>
        <v>CX</v>
      </c>
      <c r="S323" s="6" t="s">
        <v>563</v>
      </c>
      <c r="T323" s="25">
        <v>1</v>
      </c>
      <c r="U323" s="7" t="str">
        <v>CX</v>
      </c>
      <c r="Y323" t="e">
        <v>#N/A</v>
      </c>
      <c r="Z323" s="104"/>
    </row>
    <row r="324" spans="1:26">
      <c r="A324" s="133" t="s">
        <v>341</v>
      </c>
      <c r="B324" s="7"/>
      <c r="C324" s="7"/>
      <c r="D324" s="7">
        <v>5841000</v>
      </c>
      <c r="E324" s="7"/>
      <c r="F324" s="7"/>
      <c r="G324" s="7">
        <v>5841000</v>
      </c>
      <c r="H324" s="7">
        <v>29205000</v>
      </c>
      <c r="I324" s="7">
        <v>23364000</v>
      </c>
      <c r="J324" s="7"/>
      <c r="K324" s="7">
        <v>64251000</v>
      </c>
      <c r="L324" s="134">
        <f t="shared" si="31"/>
        <v>0.96432090715444774</v>
      </c>
      <c r="M324" s="7" t="str">
        <f t="shared" si="27"/>
        <v>C</v>
      </c>
      <c r="N324" s="7">
        <f t="shared" si="28"/>
        <v>0.6492207662311682</v>
      </c>
      <c r="O324" s="7" t="str">
        <f t="shared" si="29"/>
        <v>Z</v>
      </c>
      <c r="P324" s="7" t="str">
        <f t="shared" si="30"/>
        <v>CZ</v>
      </c>
      <c r="S324" s="6" t="s">
        <v>581</v>
      </c>
      <c r="T324" s="25">
        <v>1</v>
      </c>
      <c r="U324" s="7" t="str">
        <v>CZ</v>
      </c>
      <c r="Y324" t="e">
        <v>#N/A</v>
      </c>
      <c r="Z324" s="104"/>
    </row>
    <row r="325" spans="1:26">
      <c r="A325" s="133" t="s">
        <v>452</v>
      </c>
      <c r="B325" s="7"/>
      <c r="C325" s="7"/>
      <c r="D325" s="7"/>
      <c r="E325" s="7"/>
      <c r="F325" s="7"/>
      <c r="G325" s="7"/>
      <c r="H325" s="7">
        <v>22680000</v>
      </c>
      <c r="I325" s="7">
        <v>39121800</v>
      </c>
      <c r="J325" s="7"/>
      <c r="K325" s="7">
        <v>61801800</v>
      </c>
      <c r="L325" s="134">
        <f t="shared" si="31"/>
        <v>0.96452637942869024</v>
      </c>
      <c r="M325" s="7" t="str">
        <f t="shared" ref="M325:M388" si="32">IF(L325&lt;=0.8,"A",IF(L325&lt;=0.95,"B","C"))</f>
        <v>C</v>
      </c>
      <c r="N325" s="7">
        <f t="shared" ref="N325:N388" si="33">STDEVP(B325:J325)/AVERAGE(B325:J325)</f>
        <v>0.26604079492830307</v>
      </c>
      <c r="O325" s="7" t="str">
        <f t="shared" ref="O325:O388" si="34">IF(N325=0,"Z",IF(N325&lt;=30%,"X",IF(N325&lt;=60%,"Y","Z")))</f>
        <v>X</v>
      </c>
      <c r="P325" s="7" t="str">
        <f t="shared" ref="P325:P388" si="35">M325&amp;O325</f>
        <v>CX</v>
      </c>
      <c r="S325" s="6" t="s">
        <v>582</v>
      </c>
      <c r="T325" s="25">
        <v>1</v>
      </c>
      <c r="U325" s="7" t="str">
        <v>CZ</v>
      </c>
      <c r="Y325" t="e">
        <v>#N/A</v>
      </c>
      <c r="Z325" s="104"/>
    </row>
    <row r="326" spans="1:26">
      <c r="A326" s="133" t="s">
        <v>378</v>
      </c>
      <c r="B326" s="7"/>
      <c r="C326" s="7"/>
      <c r="D326" s="7"/>
      <c r="E326" s="7"/>
      <c r="F326" s="7">
        <v>14000000</v>
      </c>
      <c r="G326" s="7"/>
      <c r="H326" s="7">
        <v>15800000</v>
      </c>
      <c r="I326" s="7">
        <v>31600000</v>
      </c>
      <c r="J326" s="7"/>
      <c r="K326" s="7">
        <v>61400000</v>
      </c>
      <c r="L326" s="134">
        <f t="shared" ref="L326:L389" si="36">K326/$K$932+L325</f>
        <v>0.96473051583957936</v>
      </c>
      <c r="M326" s="7" t="str">
        <f t="shared" si="32"/>
        <v>C</v>
      </c>
      <c r="N326" s="7">
        <f t="shared" si="33"/>
        <v>0.38631976753727748</v>
      </c>
      <c r="O326" s="7" t="str">
        <f t="shared" si="34"/>
        <v>Y</v>
      </c>
      <c r="P326" s="7" t="str">
        <f t="shared" si="35"/>
        <v>CY</v>
      </c>
      <c r="S326" s="6" t="s">
        <v>544</v>
      </c>
      <c r="T326" s="25">
        <v>1</v>
      </c>
      <c r="U326" s="7" t="str">
        <v>CZ</v>
      </c>
      <c r="Y326" t="e">
        <v>#N/A</v>
      </c>
      <c r="Z326" s="104"/>
    </row>
    <row r="327" spans="1:26">
      <c r="A327" s="133" t="s">
        <v>431</v>
      </c>
      <c r="B327" s="7">
        <v>8727272</v>
      </c>
      <c r="C327" s="7">
        <v>4363636</v>
      </c>
      <c r="D327" s="7">
        <v>10909090</v>
      </c>
      <c r="E327" s="7">
        <v>10909090</v>
      </c>
      <c r="F327" s="7">
        <v>4363636</v>
      </c>
      <c r="G327" s="7">
        <v>17454544</v>
      </c>
      <c r="H327" s="7">
        <v>4363636</v>
      </c>
      <c r="I327" s="7"/>
      <c r="J327" s="7"/>
      <c r="K327" s="7">
        <v>61090904</v>
      </c>
      <c r="L327" s="134">
        <f t="shared" si="36"/>
        <v>0.96493362459984855</v>
      </c>
      <c r="M327" s="7" t="str">
        <f t="shared" si="32"/>
        <v>C</v>
      </c>
      <c r="N327" s="7">
        <f t="shared" si="33"/>
        <v>0.51754916950676566</v>
      </c>
      <c r="O327" s="7" t="str">
        <f t="shared" si="34"/>
        <v>Y</v>
      </c>
      <c r="P327" s="7" t="str">
        <f t="shared" si="35"/>
        <v>CY</v>
      </c>
      <c r="S327" s="6" t="s">
        <v>544</v>
      </c>
      <c r="T327" s="25">
        <v>3</v>
      </c>
      <c r="U327" s="7" t="str">
        <v>CZ</v>
      </c>
      <c r="Y327" t="e">
        <v>#N/A</v>
      </c>
      <c r="Z327" s="104"/>
    </row>
    <row r="328" spans="1:26">
      <c r="A328" s="133" t="s">
        <v>583</v>
      </c>
      <c r="B328" s="7">
        <v>12200000</v>
      </c>
      <c r="C328" s="7">
        <v>48800000</v>
      </c>
      <c r="D328" s="7"/>
      <c r="E328" s="7"/>
      <c r="F328" s="7"/>
      <c r="G328" s="7"/>
      <c r="H328" s="7"/>
      <c r="I328" s="7"/>
      <c r="J328" s="7"/>
      <c r="K328" s="7">
        <v>61000000</v>
      </c>
      <c r="L328" s="134">
        <f t="shared" si="36"/>
        <v>0.96513643113183933</v>
      </c>
      <c r="M328" s="7" t="str">
        <f t="shared" si="32"/>
        <v>C</v>
      </c>
      <c r="N328" s="7">
        <f t="shared" si="33"/>
        <v>0.6</v>
      </c>
      <c r="O328" s="7" t="str">
        <f t="shared" si="34"/>
        <v>Y</v>
      </c>
      <c r="P328" s="7" t="str">
        <f t="shared" si="35"/>
        <v>CY</v>
      </c>
      <c r="S328" s="6" t="s">
        <v>544</v>
      </c>
      <c r="T328" s="25">
        <v>5</v>
      </c>
      <c r="U328" s="7" t="str">
        <v>CZ</v>
      </c>
      <c r="Y328" t="e">
        <v>#N/A</v>
      </c>
      <c r="Z328" s="104"/>
    </row>
    <row r="329" spans="1:26">
      <c r="A329" s="133" t="s">
        <v>291</v>
      </c>
      <c r="B329" s="7"/>
      <c r="C329" s="7"/>
      <c r="D329" s="7"/>
      <c r="E329" s="7"/>
      <c r="F329" s="7"/>
      <c r="G329" s="7"/>
      <c r="H329" s="7">
        <v>60000000</v>
      </c>
      <c r="I329" s="7"/>
      <c r="J329" s="7"/>
      <c r="K329" s="7">
        <v>60000000</v>
      </c>
      <c r="L329" s="134">
        <f t="shared" si="36"/>
        <v>0.96533591296658439</v>
      </c>
      <c r="M329" s="7" t="str">
        <f t="shared" si="32"/>
        <v>C</v>
      </c>
      <c r="N329" s="7">
        <f t="shared" si="33"/>
        <v>0</v>
      </c>
      <c r="O329" s="7" t="str">
        <f t="shared" si="34"/>
        <v>Z</v>
      </c>
      <c r="P329" s="7" t="str">
        <f t="shared" si="35"/>
        <v>CZ</v>
      </c>
      <c r="S329" s="6" t="s">
        <v>584</v>
      </c>
      <c r="T329" s="25">
        <v>1</v>
      </c>
      <c r="U329" s="7" t="str">
        <v>CZ</v>
      </c>
      <c r="Y329" t="e">
        <v>#N/A</v>
      </c>
      <c r="Z329" s="104"/>
    </row>
    <row r="330" spans="1:26">
      <c r="A330" s="133" t="s">
        <v>585</v>
      </c>
      <c r="B330" s="7"/>
      <c r="C330" s="7"/>
      <c r="D330" s="7">
        <v>60000000</v>
      </c>
      <c r="E330" s="7"/>
      <c r="F330" s="7"/>
      <c r="G330" s="7"/>
      <c r="H330" s="7"/>
      <c r="I330" s="7"/>
      <c r="J330" s="7"/>
      <c r="K330" s="7">
        <v>60000000</v>
      </c>
      <c r="L330" s="134">
        <f t="shared" si="36"/>
        <v>0.96553539480132944</v>
      </c>
      <c r="M330" s="7" t="str">
        <f t="shared" si="32"/>
        <v>C</v>
      </c>
      <c r="N330" s="7">
        <f t="shared" si="33"/>
        <v>0</v>
      </c>
      <c r="O330" s="7" t="str">
        <f t="shared" si="34"/>
        <v>Z</v>
      </c>
      <c r="P330" s="7" t="str">
        <f t="shared" si="35"/>
        <v>CZ</v>
      </c>
      <c r="S330" s="6" t="s">
        <v>586</v>
      </c>
      <c r="T330" s="25">
        <v>1</v>
      </c>
      <c r="U330" s="7" t="str">
        <v>CZ</v>
      </c>
      <c r="Y330" t="e">
        <v>#N/A</v>
      </c>
      <c r="Z330" s="104"/>
    </row>
    <row r="331" spans="1:26">
      <c r="A331" s="133" t="s">
        <v>587</v>
      </c>
      <c r="B331" s="7"/>
      <c r="C331" s="7"/>
      <c r="D331" s="7">
        <v>60000000</v>
      </c>
      <c r="E331" s="7"/>
      <c r="F331" s="7"/>
      <c r="G331" s="7"/>
      <c r="H331" s="7"/>
      <c r="I331" s="7"/>
      <c r="J331" s="7"/>
      <c r="K331" s="7">
        <v>60000000</v>
      </c>
      <c r="L331" s="134">
        <f t="shared" si="36"/>
        <v>0.96573487663607449</v>
      </c>
      <c r="M331" s="7" t="str">
        <f t="shared" si="32"/>
        <v>C</v>
      </c>
      <c r="N331" s="7">
        <f t="shared" si="33"/>
        <v>0</v>
      </c>
      <c r="O331" s="7" t="str">
        <f t="shared" si="34"/>
        <v>Z</v>
      </c>
      <c r="P331" s="7" t="str">
        <f t="shared" si="35"/>
        <v>CZ</v>
      </c>
      <c r="S331" s="6" t="s">
        <v>588</v>
      </c>
      <c r="T331" s="25">
        <v>1</v>
      </c>
      <c r="U331" s="7" t="str">
        <v>CX</v>
      </c>
      <c r="Y331" t="e">
        <v>#N/A</v>
      </c>
      <c r="Z331" s="104"/>
    </row>
    <row r="332" spans="1:26">
      <c r="A332" s="133" t="s">
        <v>589</v>
      </c>
      <c r="B332" s="7"/>
      <c r="C332" s="7"/>
      <c r="D332" s="7"/>
      <c r="E332" s="7">
        <v>60000000</v>
      </c>
      <c r="F332" s="7"/>
      <c r="G332" s="7"/>
      <c r="H332" s="7"/>
      <c r="I332" s="7"/>
      <c r="J332" s="7"/>
      <c r="K332" s="7">
        <v>60000000</v>
      </c>
      <c r="L332" s="134">
        <f t="shared" si="36"/>
        <v>0.96593435847081954</v>
      </c>
      <c r="M332" s="7" t="str">
        <f t="shared" si="32"/>
        <v>C</v>
      </c>
      <c r="N332" s="7">
        <f t="shared" si="33"/>
        <v>0</v>
      </c>
      <c r="O332" s="7" t="str">
        <f t="shared" si="34"/>
        <v>Z</v>
      </c>
      <c r="P332" s="7" t="str">
        <f t="shared" si="35"/>
        <v>CZ</v>
      </c>
      <c r="S332" s="6" t="s">
        <v>588</v>
      </c>
      <c r="T332" s="25">
        <v>1</v>
      </c>
      <c r="U332" s="7" t="str">
        <v>CX</v>
      </c>
      <c r="Y332" t="e">
        <v>#N/A</v>
      </c>
      <c r="Z332" s="104"/>
    </row>
    <row r="333" spans="1:26">
      <c r="A333" s="133" t="s">
        <v>590</v>
      </c>
      <c r="B333" s="7"/>
      <c r="C333" s="7"/>
      <c r="D333" s="7"/>
      <c r="E333" s="7"/>
      <c r="F333" s="7">
        <v>60000000</v>
      </c>
      <c r="G333" s="7"/>
      <c r="H333" s="7"/>
      <c r="I333" s="7"/>
      <c r="J333" s="7"/>
      <c r="K333" s="7">
        <v>60000000</v>
      </c>
      <c r="L333" s="134">
        <f t="shared" si="36"/>
        <v>0.9661338403055646</v>
      </c>
      <c r="M333" s="7" t="str">
        <f t="shared" si="32"/>
        <v>C</v>
      </c>
      <c r="N333" s="7">
        <f t="shared" si="33"/>
        <v>0</v>
      </c>
      <c r="O333" s="7" t="str">
        <f t="shared" si="34"/>
        <v>Z</v>
      </c>
      <c r="P333" s="7" t="str">
        <f t="shared" si="35"/>
        <v>CZ</v>
      </c>
      <c r="S333" s="6" t="s">
        <v>591</v>
      </c>
      <c r="T333" s="25">
        <v>1</v>
      </c>
      <c r="U333" s="7" t="str">
        <v>CX</v>
      </c>
      <c r="Y333" t="e">
        <v>#N/A</v>
      </c>
      <c r="Z333" s="104"/>
    </row>
    <row r="334" spans="1:26">
      <c r="A334" s="133" t="s">
        <v>592</v>
      </c>
      <c r="B334" s="7"/>
      <c r="C334" s="7"/>
      <c r="D334" s="7"/>
      <c r="E334" s="7">
        <v>59500000</v>
      </c>
      <c r="F334" s="7"/>
      <c r="G334" s="7"/>
      <c r="H334" s="7"/>
      <c r="I334" s="7"/>
      <c r="J334" s="7"/>
      <c r="K334" s="7">
        <v>59500000</v>
      </c>
      <c r="L334" s="134">
        <f t="shared" si="36"/>
        <v>0.96633165979168678</v>
      </c>
      <c r="M334" s="7" t="str">
        <f t="shared" si="32"/>
        <v>C</v>
      </c>
      <c r="N334" s="7">
        <f t="shared" si="33"/>
        <v>0</v>
      </c>
      <c r="O334" s="7" t="str">
        <f t="shared" si="34"/>
        <v>Z</v>
      </c>
      <c r="P334" s="7" t="str">
        <f t="shared" si="35"/>
        <v>CZ</v>
      </c>
      <c r="S334" s="6" t="s">
        <v>591</v>
      </c>
      <c r="T334" s="25">
        <v>2</v>
      </c>
      <c r="U334" s="7" t="str">
        <v>CX</v>
      </c>
      <c r="Y334" t="e">
        <v>#N/A</v>
      </c>
      <c r="Z334" s="104"/>
    </row>
    <row r="335" spans="1:26">
      <c r="A335" s="133" t="s">
        <v>593</v>
      </c>
      <c r="B335" s="7"/>
      <c r="C335" s="7"/>
      <c r="D335" s="7"/>
      <c r="E335" s="7">
        <v>59150000</v>
      </c>
      <c r="F335" s="7"/>
      <c r="G335" s="7"/>
      <c r="H335" s="7"/>
      <c r="I335" s="7"/>
      <c r="J335" s="7"/>
      <c r="K335" s="7">
        <v>59150000</v>
      </c>
      <c r="L335" s="134">
        <f t="shared" si="36"/>
        <v>0.96652831563377295</v>
      </c>
      <c r="M335" s="7" t="str">
        <f t="shared" si="32"/>
        <v>C</v>
      </c>
      <c r="N335" s="7">
        <f t="shared" si="33"/>
        <v>0</v>
      </c>
      <c r="O335" s="7" t="str">
        <f t="shared" si="34"/>
        <v>Z</v>
      </c>
      <c r="P335" s="7" t="str">
        <f t="shared" si="35"/>
        <v>CZ</v>
      </c>
      <c r="S335" s="6" t="s">
        <v>594</v>
      </c>
      <c r="T335" s="25">
        <v>1</v>
      </c>
      <c r="U335" s="7" t="str">
        <v>CY</v>
      </c>
      <c r="Y335" t="e">
        <v>#N/A</v>
      </c>
      <c r="Z335" s="104"/>
    </row>
    <row r="336" spans="1:26">
      <c r="A336" s="133" t="s">
        <v>595</v>
      </c>
      <c r="B336" s="7">
        <v>11800000</v>
      </c>
      <c r="C336" s="7"/>
      <c r="D336" s="7"/>
      <c r="E336" s="7"/>
      <c r="F336" s="7">
        <v>47200000</v>
      </c>
      <c r="G336" s="7"/>
      <c r="H336" s="7"/>
      <c r="I336" s="7"/>
      <c r="J336" s="7"/>
      <c r="K336" s="7">
        <v>59000000</v>
      </c>
      <c r="L336" s="134">
        <f t="shared" si="36"/>
        <v>0.96672447277127227</v>
      </c>
      <c r="M336" s="7" t="str">
        <f t="shared" si="32"/>
        <v>C</v>
      </c>
      <c r="N336" s="7">
        <f t="shared" si="33"/>
        <v>0.6</v>
      </c>
      <c r="O336" s="7" t="str">
        <f t="shared" si="34"/>
        <v>Y</v>
      </c>
      <c r="P336" s="7" t="str">
        <f t="shared" si="35"/>
        <v>CY</v>
      </c>
      <c r="S336" s="6" t="s">
        <v>594</v>
      </c>
      <c r="T336" s="25">
        <v>1</v>
      </c>
      <c r="U336" s="7" t="str">
        <v>CY</v>
      </c>
      <c r="Y336" t="e">
        <v>#N/A</v>
      </c>
      <c r="Z336" s="104"/>
    </row>
    <row r="337" spans="1:26">
      <c r="A337" s="133" t="s">
        <v>171</v>
      </c>
      <c r="B337" s="7">
        <v>3600000</v>
      </c>
      <c r="C337" s="7">
        <v>6072116.6850000005</v>
      </c>
      <c r="D337" s="7">
        <v>2100000</v>
      </c>
      <c r="E337" s="7">
        <v>6060000</v>
      </c>
      <c r="F337" s="7">
        <v>2013000</v>
      </c>
      <c r="G337" s="7">
        <v>6885000</v>
      </c>
      <c r="H337" s="7">
        <v>10395000</v>
      </c>
      <c r="I337" s="7">
        <v>16020000</v>
      </c>
      <c r="J337" s="7">
        <v>5670000</v>
      </c>
      <c r="K337" s="7">
        <v>58815116.685000002</v>
      </c>
      <c r="L337" s="134">
        <f t="shared" si="36"/>
        <v>0.96692001522772342</v>
      </c>
      <c r="M337" s="7" t="str">
        <f t="shared" si="32"/>
        <v>C</v>
      </c>
      <c r="N337" s="7">
        <f t="shared" si="33"/>
        <v>0.63484591878793062</v>
      </c>
      <c r="O337" s="7" t="str">
        <f t="shared" si="34"/>
        <v>Z</v>
      </c>
      <c r="P337" s="7" t="str">
        <f t="shared" si="35"/>
        <v>CZ</v>
      </c>
      <c r="S337" s="6" t="s">
        <v>594</v>
      </c>
      <c r="T337" s="25">
        <v>1</v>
      </c>
      <c r="U337" s="7" t="str">
        <v>CY</v>
      </c>
      <c r="Y337" t="e">
        <v>#N/A</v>
      </c>
      <c r="Z337" s="104"/>
    </row>
    <row r="338" spans="1:26">
      <c r="A338" s="133" t="s">
        <v>596</v>
      </c>
      <c r="B338" s="7"/>
      <c r="C338" s="7"/>
      <c r="D338" s="7"/>
      <c r="E338" s="7">
        <v>14500000</v>
      </c>
      <c r="F338" s="7">
        <v>29400000</v>
      </c>
      <c r="G338" s="7">
        <v>14700000</v>
      </c>
      <c r="H338" s="7"/>
      <c r="I338" s="7"/>
      <c r="J338" s="7"/>
      <c r="K338" s="7">
        <v>58600000</v>
      </c>
      <c r="L338" s="134">
        <f t="shared" si="36"/>
        <v>0.9671148424863244</v>
      </c>
      <c r="M338" s="7" t="str">
        <f t="shared" si="32"/>
        <v>C</v>
      </c>
      <c r="N338" s="7">
        <f t="shared" si="33"/>
        <v>0.35719784980553126</v>
      </c>
      <c r="O338" s="7" t="str">
        <f t="shared" si="34"/>
        <v>Y</v>
      </c>
      <c r="P338" s="7" t="str">
        <f t="shared" si="35"/>
        <v>CY</v>
      </c>
      <c r="S338" s="6" t="s">
        <v>597</v>
      </c>
      <c r="T338" s="25">
        <v>1</v>
      </c>
      <c r="U338" s="7" t="str">
        <v>CZ</v>
      </c>
      <c r="Y338" t="e">
        <v>#N/A</v>
      </c>
      <c r="Z338" s="104"/>
    </row>
    <row r="339" spans="1:26">
      <c r="A339" s="133" t="s">
        <v>598</v>
      </c>
      <c r="B339" s="7"/>
      <c r="C339" s="7"/>
      <c r="D339" s="7"/>
      <c r="E339" s="7">
        <v>58400000</v>
      </c>
      <c r="F339" s="7"/>
      <c r="G339" s="7"/>
      <c r="H339" s="7"/>
      <c r="I339" s="7"/>
      <c r="J339" s="7"/>
      <c r="K339" s="7">
        <v>58400000</v>
      </c>
      <c r="L339" s="134">
        <f t="shared" si="36"/>
        <v>0.96730900480547621</v>
      </c>
      <c r="M339" s="7" t="str">
        <f t="shared" si="32"/>
        <v>C</v>
      </c>
      <c r="N339" s="7">
        <f t="shared" si="33"/>
        <v>0</v>
      </c>
      <c r="O339" s="7" t="str">
        <f t="shared" si="34"/>
        <v>Z</v>
      </c>
      <c r="P339" s="7" t="str">
        <f t="shared" si="35"/>
        <v>CZ</v>
      </c>
      <c r="S339" s="6" t="s">
        <v>597</v>
      </c>
      <c r="T339" s="25">
        <v>1</v>
      </c>
      <c r="U339" s="7" t="str">
        <v>CZ</v>
      </c>
      <c r="Y339" t="e">
        <v>#N/A</v>
      </c>
      <c r="Z339" s="104"/>
    </row>
    <row r="340" spans="1:26">
      <c r="A340" s="133" t="s">
        <v>279</v>
      </c>
      <c r="B340" s="7"/>
      <c r="C340" s="7">
        <v>21600000</v>
      </c>
      <c r="D340" s="7"/>
      <c r="E340" s="7"/>
      <c r="F340" s="7"/>
      <c r="G340" s="7"/>
      <c r="H340" s="7">
        <v>36000000</v>
      </c>
      <c r="I340" s="7"/>
      <c r="J340" s="7"/>
      <c r="K340" s="7">
        <v>57600000</v>
      </c>
      <c r="L340" s="134">
        <f t="shared" si="36"/>
        <v>0.96750050736683146</v>
      </c>
      <c r="M340" s="7" t="str">
        <f t="shared" si="32"/>
        <v>C</v>
      </c>
      <c r="N340" s="7">
        <f t="shared" si="33"/>
        <v>0.25</v>
      </c>
      <c r="O340" s="7" t="str">
        <f t="shared" si="34"/>
        <v>X</v>
      </c>
      <c r="P340" s="7" t="str">
        <f t="shared" si="35"/>
        <v>CX</v>
      </c>
      <c r="S340" s="6" t="s">
        <v>599</v>
      </c>
      <c r="T340" s="25">
        <v>1</v>
      </c>
      <c r="U340" s="7" t="str">
        <v>CZ</v>
      </c>
      <c r="Y340" t="e">
        <v>#N/A</v>
      </c>
      <c r="Z340" s="104"/>
    </row>
    <row r="341" spans="1:26">
      <c r="A341" s="133" t="s">
        <v>362</v>
      </c>
      <c r="B341" s="7"/>
      <c r="C341" s="7"/>
      <c r="D341" s="7"/>
      <c r="E341" s="7"/>
      <c r="F341" s="7"/>
      <c r="G341" s="7"/>
      <c r="H341" s="7">
        <v>7920000</v>
      </c>
      <c r="I341" s="7"/>
      <c r="J341" s="7">
        <v>49500000</v>
      </c>
      <c r="K341" s="7">
        <v>57420000</v>
      </c>
      <c r="L341" s="134">
        <f t="shared" si="36"/>
        <v>0.96769141148268245</v>
      </c>
      <c r="M341" s="7" t="str">
        <f t="shared" si="32"/>
        <v>C</v>
      </c>
      <c r="N341" s="7">
        <f t="shared" si="33"/>
        <v>0.72413793103448276</v>
      </c>
      <c r="O341" s="7" t="str">
        <f t="shared" si="34"/>
        <v>Z</v>
      </c>
      <c r="P341" s="7" t="str">
        <f t="shared" si="35"/>
        <v>CZ</v>
      </c>
      <c r="S341" s="6" t="s">
        <v>599</v>
      </c>
      <c r="T341" s="25">
        <v>1</v>
      </c>
      <c r="U341" s="7" t="str">
        <v>CZ</v>
      </c>
      <c r="Y341" t="e">
        <v>#N/A</v>
      </c>
      <c r="Z341" s="104"/>
    </row>
    <row r="342" spans="1:26">
      <c r="A342" s="133" t="s">
        <v>600</v>
      </c>
      <c r="B342" s="7"/>
      <c r="C342" s="7"/>
      <c r="D342" s="7"/>
      <c r="E342" s="7"/>
      <c r="F342" s="7"/>
      <c r="G342" s="7"/>
      <c r="H342" s="7"/>
      <c r="I342" s="7"/>
      <c r="J342" s="7">
        <v>57200000</v>
      </c>
      <c r="K342" s="7">
        <v>57200000</v>
      </c>
      <c r="L342" s="134">
        <f t="shared" si="36"/>
        <v>0.96788158416513936</v>
      </c>
      <c r="M342" s="7" t="str">
        <f t="shared" si="32"/>
        <v>C</v>
      </c>
      <c r="N342" s="7">
        <f t="shared" si="33"/>
        <v>0</v>
      </c>
      <c r="O342" s="7" t="str">
        <f t="shared" si="34"/>
        <v>Z</v>
      </c>
      <c r="P342" s="7" t="str">
        <f t="shared" si="35"/>
        <v>CZ</v>
      </c>
      <c r="S342" s="6" t="s">
        <v>492</v>
      </c>
      <c r="T342" s="25">
        <v>1</v>
      </c>
      <c r="U342" s="7" t="str">
        <v>BY</v>
      </c>
      <c r="Y342" t="e">
        <v>#N/A</v>
      </c>
      <c r="Z342" s="104"/>
    </row>
    <row r="343" spans="1:26">
      <c r="A343" s="133" t="s">
        <v>211</v>
      </c>
      <c r="B343" s="7"/>
      <c r="C343" s="7"/>
      <c r="D343" s="7"/>
      <c r="E343" s="7">
        <v>13542546.359999999</v>
      </c>
      <c r="F343" s="7"/>
      <c r="G343" s="7">
        <v>9672727</v>
      </c>
      <c r="H343" s="7"/>
      <c r="I343" s="7">
        <v>9672727</v>
      </c>
      <c r="J343" s="7">
        <v>24181817.5</v>
      </c>
      <c r="K343" s="7">
        <v>57069817.859999999</v>
      </c>
      <c r="L343" s="134">
        <f t="shared" si="36"/>
        <v>0.96807132403139406</v>
      </c>
      <c r="M343" s="7" t="str">
        <f t="shared" si="32"/>
        <v>C</v>
      </c>
      <c r="N343" s="7">
        <f t="shared" si="33"/>
        <v>0.41619750587177384</v>
      </c>
      <c r="O343" s="7" t="str">
        <f t="shared" si="34"/>
        <v>Y</v>
      </c>
      <c r="P343" s="7" t="str">
        <f t="shared" si="35"/>
        <v>CY</v>
      </c>
      <c r="S343" s="6" t="s">
        <v>492</v>
      </c>
      <c r="T343" s="25">
        <v>2</v>
      </c>
      <c r="U343" s="7" t="str">
        <v>BY</v>
      </c>
      <c r="Y343" t="e">
        <v>#N/A</v>
      </c>
      <c r="Z343" s="104"/>
    </row>
    <row r="344" spans="1:26">
      <c r="A344" s="133" t="s">
        <v>601</v>
      </c>
      <c r="B344" s="7"/>
      <c r="C344" s="7"/>
      <c r="D344" s="7"/>
      <c r="E344" s="7"/>
      <c r="F344" s="7">
        <v>2775000</v>
      </c>
      <c r="G344" s="7"/>
      <c r="H344" s="7">
        <v>3420000</v>
      </c>
      <c r="I344" s="7">
        <v>20520000</v>
      </c>
      <c r="J344" s="7">
        <v>30105000</v>
      </c>
      <c r="K344" s="7">
        <v>56820000</v>
      </c>
      <c r="L344" s="134">
        <f t="shared" si="36"/>
        <v>0.96826023332889766</v>
      </c>
      <c r="M344" s="7" t="str">
        <f t="shared" si="32"/>
        <v>C</v>
      </c>
      <c r="N344" s="7">
        <f t="shared" si="33"/>
        <v>0.81768305487049298</v>
      </c>
      <c r="O344" s="7" t="str">
        <f t="shared" si="34"/>
        <v>Z</v>
      </c>
      <c r="P344" s="7" t="str">
        <f t="shared" si="35"/>
        <v>CZ</v>
      </c>
      <c r="S344" s="6" t="s">
        <v>602</v>
      </c>
      <c r="T344" s="25">
        <v>1</v>
      </c>
      <c r="U344" s="7" t="str">
        <v>CZ</v>
      </c>
      <c r="Y344" t="e">
        <v>#N/A</v>
      </c>
      <c r="Z344" s="104"/>
    </row>
    <row r="345" spans="1:26">
      <c r="A345" s="133" t="s">
        <v>257</v>
      </c>
      <c r="B345" s="7">
        <v>6300000</v>
      </c>
      <c r="C345" s="7"/>
      <c r="D345" s="7"/>
      <c r="E345" s="7"/>
      <c r="F345" s="7"/>
      <c r="G345" s="7"/>
      <c r="H345" s="7"/>
      <c r="I345" s="7">
        <v>50400000</v>
      </c>
      <c r="J345" s="7"/>
      <c r="K345" s="7">
        <v>56700000</v>
      </c>
      <c r="L345" s="134">
        <f t="shared" si="36"/>
        <v>0.9684487436627317</v>
      </c>
      <c r="M345" s="7" t="str">
        <f t="shared" si="32"/>
        <v>C</v>
      </c>
      <c r="N345" s="7">
        <f t="shared" si="33"/>
        <v>0.77777777777777779</v>
      </c>
      <c r="O345" s="7" t="str">
        <f t="shared" si="34"/>
        <v>Z</v>
      </c>
      <c r="P345" s="7" t="str">
        <f t="shared" si="35"/>
        <v>CZ</v>
      </c>
      <c r="S345" s="6" t="s">
        <v>602</v>
      </c>
      <c r="T345" s="25">
        <v>1</v>
      </c>
      <c r="U345" s="7" t="str">
        <v>CZ</v>
      </c>
      <c r="Y345" t="e">
        <v>#N/A</v>
      </c>
      <c r="Z345" s="104"/>
    </row>
    <row r="346" spans="1:26">
      <c r="A346" s="133" t="s">
        <v>603</v>
      </c>
      <c r="B346" s="7"/>
      <c r="C346" s="7"/>
      <c r="D346" s="7"/>
      <c r="E346" s="7"/>
      <c r="F346" s="7"/>
      <c r="G346" s="7"/>
      <c r="H346" s="7"/>
      <c r="I346" s="7"/>
      <c r="J346" s="7">
        <v>56600000</v>
      </c>
      <c r="K346" s="7">
        <v>56600000</v>
      </c>
      <c r="L346" s="134">
        <f t="shared" si="36"/>
        <v>0.96863692152684122</v>
      </c>
      <c r="M346" s="7" t="str">
        <f t="shared" si="32"/>
        <v>C</v>
      </c>
      <c r="N346" s="7">
        <f t="shared" si="33"/>
        <v>0</v>
      </c>
      <c r="O346" s="7" t="str">
        <f t="shared" si="34"/>
        <v>Z</v>
      </c>
      <c r="P346" s="7" t="str">
        <f t="shared" si="35"/>
        <v>CZ</v>
      </c>
      <c r="S346" s="6" t="s">
        <v>604</v>
      </c>
      <c r="T346" s="25">
        <v>1</v>
      </c>
      <c r="U346" s="7" t="str">
        <v>CZ</v>
      </c>
      <c r="Y346" t="e">
        <v>#N/A</v>
      </c>
      <c r="Z346" s="104"/>
    </row>
    <row r="347" spans="1:26">
      <c r="A347" s="133" t="s">
        <v>440</v>
      </c>
      <c r="B347" s="7">
        <v>5400000</v>
      </c>
      <c r="C347" s="7"/>
      <c r="D347" s="7"/>
      <c r="E347" s="7">
        <v>35963200</v>
      </c>
      <c r="F347" s="7">
        <v>3785600</v>
      </c>
      <c r="G347" s="7">
        <v>11356800</v>
      </c>
      <c r="H347" s="7"/>
      <c r="I347" s="7"/>
      <c r="J347" s="7"/>
      <c r="K347" s="7">
        <v>56505600</v>
      </c>
      <c r="L347" s="134">
        <f t="shared" si="36"/>
        <v>0.96882478553953078</v>
      </c>
      <c r="M347" s="7" t="str">
        <f t="shared" si="32"/>
        <v>C</v>
      </c>
      <c r="N347" s="7">
        <f t="shared" si="33"/>
        <v>0.91452641174599802</v>
      </c>
      <c r="O347" s="7" t="str">
        <f t="shared" si="34"/>
        <v>Z</v>
      </c>
      <c r="P347" s="7" t="str">
        <f t="shared" si="35"/>
        <v>CZ</v>
      </c>
      <c r="S347" s="6" t="s">
        <v>504</v>
      </c>
      <c r="T347" s="25">
        <v>1</v>
      </c>
      <c r="U347" s="7" t="str">
        <v>BZ</v>
      </c>
      <c r="Y347" t="e">
        <v>#N/A</v>
      </c>
      <c r="Z347" s="104"/>
    </row>
    <row r="348" spans="1:26">
      <c r="A348" s="133" t="s">
        <v>586</v>
      </c>
      <c r="B348" s="7"/>
      <c r="C348" s="7"/>
      <c r="D348" s="7"/>
      <c r="E348" s="7"/>
      <c r="F348" s="7"/>
      <c r="G348" s="7"/>
      <c r="H348" s="7"/>
      <c r="I348" s="7"/>
      <c r="J348" s="7">
        <v>56500000</v>
      </c>
      <c r="K348" s="7">
        <v>56500000</v>
      </c>
      <c r="L348" s="134">
        <f t="shared" si="36"/>
        <v>0.96901263093391565</v>
      </c>
      <c r="M348" s="7" t="str">
        <f t="shared" si="32"/>
        <v>C</v>
      </c>
      <c r="N348" s="7">
        <f t="shared" si="33"/>
        <v>0</v>
      </c>
      <c r="O348" s="7" t="str">
        <f t="shared" si="34"/>
        <v>Z</v>
      </c>
      <c r="P348" s="7" t="str">
        <f t="shared" si="35"/>
        <v>CZ</v>
      </c>
      <c r="S348" s="6" t="s">
        <v>504</v>
      </c>
      <c r="T348" s="25">
        <v>1</v>
      </c>
      <c r="U348" s="7" t="str">
        <v>BZ</v>
      </c>
      <c r="Y348" t="e">
        <v>#N/A</v>
      </c>
      <c r="Z348" s="104"/>
    </row>
    <row r="349" spans="1:26">
      <c r="A349" s="133" t="s">
        <v>605</v>
      </c>
      <c r="B349" s="7"/>
      <c r="C349" s="7"/>
      <c r="D349" s="7"/>
      <c r="E349" s="7"/>
      <c r="F349" s="7"/>
      <c r="G349" s="7"/>
      <c r="H349" s="7"/>
      <c r="I349" s="7"/>
      <c r="J349" s="7">
        <v>56500000</v>
      </c>
      <c r="K349" s="7">
        <v>56500000</v>
      </c>
      <c r="L349" s="134">
        <f t="shared" si="36"/>
        <v>0.96920047632830053</v>
      </c>
      <c r="M349" s="7" t="str">
        <f t="shared" si="32"/>
        <v>C</v>
      </c>
      <c r="N349" s="7">
        <f t="shared" si="33"/>
        <v>0</v>
      </c>
      <c r="O349" s="7" t="str">
        <f t="shared" si="34"/>
        <v>Z</v>
      </c>
      <c r="P349" s="7" t="str">
        <f t="shared" si="35"/>
        <v>CZ</v>
      </c>
      <c r="S349" s="6" t="s">
        <v>335</v>
      </c>
      <c r="T349" s="25">
        <v>1</v>
      </c>
      <c r="U349" s="7" t="str">
        <v>BZ</v>
      </c>
      <c r="Y349" t="e">
        <v>#N/A</v>
      </c>
      <c r="Z349" s="104"/>
    </row>
    <row r="350" spans="1:26">
      <c r="A350" s="133" t="s">
        <v>389</v>
      </c>
      <c r="B350" s="7"/>
      <c r="C350" s="7"/>
      <c r="D350" s="7"/>
      <c r="E350" s="7"/>
      <c r="F350" s="7"/>
      <c r="G350" s="7"/>
      <c r="H350" s="7">
        <v>9948000</v>
      </c>
      <c r="I350" s="7">
        <v>46000000</v>
      </c>
      <c r="J350" s="7"/>
      <c r="K350" s="7">
        <v>55948000</v>
      </c>
      <c r="L350" s="134">
        <f t="shared" si="36"/>
        <v>0.96938648648980585</v>
      </c>
      <c r="M350" s="7" t="str">
        <f t="shared" si="32"/>
        <v>C</v>
      </c>
      <c r="N350" s="7">
        <f t="shared" si="33"/>
        <v>0.64438407092299987</v>
      </c>
      <c r="O350" s="7" t="str">
        <f t="shared" si="34"/>
        <v>Z</v>
      </c>
      <c r="P350" s="7" t="str">
        <f t="shared" si="35"/>
        <v>CZ</v>
      </c>
      <c r="S350" s="6" t="s">
        <v>335</v>
      </c>
      <c r="T350" s="25">
        <v>3</v>
      </c>
      <c r="U350" s="7" t="str">
        <v>BZ</v>
      </c>
      <c r="Y350" t="e">
        <v>#N/A</v>
      </c>
      <c r="Z350" s="104"/>
    </row>
    <row r="351" spans="1:26">
      <c r="A351" s="133" t="s">
        <v>606</v>
      </c>
      <c r="B351" s="7">
        <v>55176000</v>
      </c>
      <c r="C351" s="7"/>
      <c r="D351" s="7"/>
      <c r="E351" s="7"/>
      <c r="F351" s="7"/>
      <c r="G351" s="7"/>
      <c r="H351" s="7"/>
      <c r="I351" s="7"/>
      <c r="J351" s="7"/>
      <c r="K351" s="7">
        <v>55176000</v>
      </c>
      <c r="L351" s="134">
        <f t="shared" si="36"/>
        <v>0.96956992998503744</v>
      </c>
      <c r="M351" s="7" t="str">
        <f t="shared" si="32"/>
        <v>C</v>
      </c>
      <c r="N351" s="7">
        <f t="shared" si="33"/>
        <v>0</v>
      </c>
      <c r="O351" s="7" t="str">
        <f t="shared" si="34"/>
        <v>Z</v>
      </c>
      <c r="P351" s="7" t="str">
        <f t="shared" si="35"/>
        <v>CZ</v>
      </c>
      <c r="S351" s="6" t="s">
        <v>335</v>
      </c>
      <c r="T351" s="25">
        <v>3</v>
      </c>
      <c r="U351" s="7" t="str">
        <v>BZ</v>
      </c>
      <c r="Y351" t="e">
        <v>#N/A</v>
      </c>
      <c r="Z351" s="104"/>
    </row>
    <row r="352" spans="1:26">
      <c r="A352" s="133" t="s">
        <v>607</v>
      </c>
      <c r="B352" s="7"/>
      <c r="C352" s="7"/>
      <c r="D352" s="7"/>
      <c r="E352" s="7"/>
      <c r="F352" s="7">
        <v>55000000</v>
      </c>
      <c r="G352" s="7"/>
      <c r="H352" s="7"/>
      <c r="I352" s="7"/>
      <c r="J352" s="7"/>
      <c r="K352" s="7">
        <v>55000000</v>
      </c>
      <c r="L352" s="134">
        <f t="shared" si="36"/>
        <v>0.96975278833355372</v>
      </c>
      <c r="M352" s="7" t="str">
        <f t="shared" si="32"/>
        <v>C</v>
      </c>
      <c r="N352" s="7">
        <f t="shared" si="33"/>
        <v>0</v>
      </c>
      <c r="O352" s="7" t="str">
        <f t="shared" si="34"/>
        <v>Z</v>
      </c>
      <c r="P352" s="7" t="str">
        <f t="shared" si="35"/>
        <v>CZ</v>
      </c>
      <c r="S352" s="6" t="s">
        <v>318</v>
      </c>
      <c r="T352" s="25">
        <v>1</v>
      </c>
      <c r="U352" s="7" t="str">
        <v>BZ</v>
      </c>
      <c r="Y352" t="e">
        <v>#N/A</v>
      </c>
      <c r="Z352" s="104"/>
    </row>
    <row r="353" spans="1:26">
      <c r="A353" s="133" t="s">
        <v>608</v>
      </c>
      <c r="B353" s="7"/>
      <c r="C353" s="7"/>
      <c r="D353" s="7"/>
      <c r="E353" s="7"/>
      <c r="F353" s="7">
        <v>55000000</v>
      </c>
      <c r="G353" s="7"/>
      <c r="H353" s="7"/>
      <c r="I353" s="7"/>
      <c r="J353" s="7"/>
      <c r="K353" s="7">
        <v>55000000</v>
      </c>
      <c r="L353" s="134">
        <f t="shared" si="36"/>
        <v>0.96993564668207</v>
      </c>
      <c r="M353" s="7" t="str">
        <f t="shared" si="32"/>
        <v>C</v>
      </c>
      <c r="N353" s="7">
        <f t="shared" si="33"/>
        <v>0</v>
      </c>
      <c r="O353" s="7" t="str">
        <f t="shared" si="34"/>
        <v>Z</v>
      </c>
      <c r="P353" s="7" t="str">
        <f t="shared" si="35"/>
        <v>CZ</v>
      </c>
      <c r="S353" s="6" t="s">
        <v>318</v>
      </c>
      <c r="T353" s="25">
        <v>3</v>
      </c>
      <c r="U353" s="7" t="str">
        <v>BZ</v>
      </c>
      <c r="Y353" t="e">
        <v>#N/A</v>
      </c>
      <c r="Z353" s="104"/>
    </row>
    <row r="354" spans="1:26">
      <c r="A354" s="133" t="s">
        <v>353</v>
      </c>
      <c r="B354" s="7"/>
      <c r="C354" s="7"/>
      <c r="D354" s="7"/>
      <c r="E354" s="7"/>
      <c r="F354" s="7"/>
      <c r="G354" s="7"/>
      <c r="H354" s="7">
        <v>5445000</v>
      </c>
      <c r="I354" s="7"/>
      <c r="J354" s="7">
        <v>49500000</v>
      </c>
      <c r="K354" s="7">
        <v>54945000</v>
      </c>
      <c r="L354" s="134">
        <f t="shared" si="36"/>
        <v>0.97011832217223781</v>
      </c>
      <c r="M354" s="7" t="str">
        <f t="shared" si="32"/>
        <v>C</v>
      </c>
      <c r="N354" s="7">
        <f t="shared" si="33"/>
        <v>0.80180180180180183</v>
      </c>
      <c r="O354" s="7" t="str">
        <f t="shared" si="34"/>
        <v>Z</v>
      </c>
      <c r="P354" s="7" t="str">
        <f t="shared" si="35"/>
        <v>CZ</v>
      </c>
      <c r="S354" s="6" t="s">
        <v>318</v>
      </c>
      <c r="T354" s="25">
        <v>3</v>
      </c>
      <c r="U354" s="7" t="str">
        <v>BZ</v>
      </c>
      <c r="Y354" t="e">
        <v>#N/A</v>
      </c>
      <c r="Z354" s="104"/>
    </row>
    <row r="355" spans="1:26">
      <c r="A355" s="133" t="s">
        <v>609</v>
      </c>
      <c r="B355" s="7"/>
      <c r="C355" s="7"/>
      <c r="D355" s="7"/>
      <c r="E355" s="7"/>
      <c r="F355" s="7">
        <v>54600000</v>
      </c>
      <c r="G355" s="7"/>
      <c r="H355" s="7"/>
      <c r="I355" s="7"/>
      <c r="J355" s="7"/>
      <c r="K355" s="7">
        <v>54600000</v>
      </c>
      <c r="L355" s="134">
        <f t="shared" si="36"/>
        <v>0.97029985064185587</v>
      </c>
      <c r="M355" s="7" t="str">
        <f t="shared" si="32"/>
        <v>C</v>
      </c>
      <c r="N355" s="7">
        <f t="shared" si="33"/>
        <v>0</v>
      </c>
      <c r="O355" s="7" t="str">
        <f t="shared" si="34"/>
        <v>Z</v>
      </c>
      <c r="P355" s="7" t="str">
        <f t="shared" si="35"/>
        <v>CZ</v>
      </c>
      <c r="S355" s="6" t="s">
        <v>318</v>
      </c>
      <c r="T355" s="25">
        <v>1</v>
      </c>
      <c r="U355" s="7" t="str">
        <v>BZ</v>
      </c>
      <c r="Y355" t="e">
        <v>#N/A</v>
      </c>
      <c r="Z355" s="104"/>
    </row>
    <row r="356" spans="1:26">
      <c r="A356" s="133" t="s">
        <v>610</v>
      </c>
      <c r="B356" s="7"/>
      <c r="C356" s="7"/>
      <c r="D356" s="7"/>
      <c r="E356" s="7"/>
      <c r="F356" s="7">
        <v>54450000</v>
      </c>
      <c r="G356" s="7"/>
      <c r="H356" s="7"/>
      <c r="I356" s="7"/>
      <c r="J356" s="7"/>
      <c r="K356" s="7">
        <v>54450000</v>
      </c>
      <c r="L356" s="134">
        <f t="shared" si="36"/>
        <v>0.97048088040688696</v>
      </c>
      <c r="M356" s="7" t="str">
        <f t="shared" si="32"/>
        <v>C</v>
      </c>
      <c r="N356" s="7">
        <f t="shared" si="33"/>
        <v>0</v>
      </c>
      <c r="O356" s="7" t="str">
        <f t="shared" si="34"/>
        <v>Z</v>
      </c>
      <c r="P356" s="7" t="str">
        <f t="shared" si="35"/>
        <v>CZ</v>
      </c>
      <c r="S356" s="6" t="s">
        <v>303</v>
      </c>
      <c r="T356" s="25">
        <v>1</v>
      </c>
      <c r="U356" s="7" t="str">
        <v>BZ</v>
      </c>
      <c r="Y356" t="e">
        <v>#N/A</v>
      </c>
      <c r="Z356" s="104"/>
    </row>
    <row r="357" spans="1:26">
      <c r="A357" s="133" t="s">
        <v>486</v>
      </c>
      <c r="B357" s="7"/>
      <c r="C357" s="7"/>
      <c r="D357" s="7"/>
      <c r="E357" s="7"/>
      <c r="F357" s="7">
        <v>54450000</v>
      </c>
      <c r="G357" s="7"/>
      <c r="H357" s="7"/>
      <c r="I357" s="7"/>
      <c r="J357" s="7"/>
      <c r="K357" s="7">
        <v>54450000</v>
      </c>
      <c r="L357" s="134">
        <f t="shared" si="36"/>
        <v>0.97066191017191805</v>
      </c>
      <c r="M357" s="7" t="str">
        <f t="shared" si="32"/>
        <v>C</v>
      </c>
      <c r="N357" s="7">
        <f t="shared" si="33"/>
        <v>0</v>
      </c>
      <c r="O357" s="7" t="str">
        <f t="shared" si="34"/>
        <v>Z</v>
      </c>
      <c r="P357" s="7" t="str">
        <f t="shared" si="35"/>
        <v>CZ</v>
      </c>
      <c r="S357" s="6" t="s">
        <v>303</v>
      </c>
      <c r="T357" s="25">
        <v>3</v>
      </c>
      <c r="U357" s="7" t="str">
        <v>BZ</v>
      </c>
      <c r="Y357" t="e">
        <v>#N/A</v>
      </c>
      <c r="Z357" s="104"/>
    </row>
    <row r="358" spans="1:26">
      <c r="A358" s="133" t="s">
        <v>611</v>
      </c>
      <c r="B358" s="7">
        <v>54007899.999999993</v>
      </c>
      <c r="C358" s="7"/>
      <c r="D358" s="7"/>
      <c r="E358" s="7"/>
      <c r="F358" s="7"/>
      <c r="G358" s="7"/>
      <c r="H358" s="7"/>
      <c r="I358" s="7"/>
      <c r="J358" s="7"/>
      <c r="K358" s="7">
        <v>54007899.999999993</v>
      </c>
      <c r="L358" s="134">
        <f t="shared" si="36"/>
        <v>0.9708414700882968</v>
      </c>
      <c r="M358" s="7" t="str">
        <f t="shared" si="32"/>
        <v>C</v>
      </c>
      <c r="N358" s="7">
        <f t="shared" si="33"/>
        <v>0</v>
      </c>
      <c r="O358" s="7" t="str">
        <f t="shared" si="34"/>
        <v>Z</v>
      </c>
      <c r="P358" s="7" t="str">
        <f t="shared" si="35"/>
        <v>CZ</v>
      </c>
      <c r="S358" s="6" t="s">
        <v>303</v>
      </c>
      <c r="T358" s="25">
        <v>3</v>
      </c>
      <c r="U358" s="7" t="str">
        <v>BZ</v>
      </c>
      <c r="Y358" t="e">
        <v>#N/A</v>
      </c>
      <c r="Z358" s="104"/>
    </row>
    <row r="359" spans="1:26">
      <c r="A359" s="133" t="s">
        <v>391</v>
      </c>
      <c r="B359" s="7"/>
      <c r="C359" s="7"/>
      <c r="D359" s="7"/>
      <c r="E359" s="7"/>
      <c r="F359" s="7"/>
      <c r="G359" s="7"/>
      <c r="H359" s="7"/>
      <c r="I359" s="7"/>
      <c r="J359" s="7">
        <v>54003000</v>
      </c>
      <c r="K359" s="7">
        <v>54003000</v>
      </c>
      <c r="L359" s="134">
        <f t="shared" si="36"/>
        <v>0.97102101371365912</v>
      </c>
      <c r="M359" s="7" t="str">
        <f t="shared" si="32"/>
        <v>C</v>
      </c>
      <c r="N359" s="7">
        <f t="shared" si="33"/>
        <v>0</v>
      </c>
      <c r="O359" s="7" t="str">
        <f t="shared" si="34"/>
        <v>Z</v>
      </c>
      <c r="P359" s="7" t="str">
        <f t="shared" si="35"/>
        <v>CZ</v>
      </c>
      <c r="S359" s="6" t="s">
        <v>303</v>
      </c>
      <c r="T359" s="25">
        <v>2</v>
      </c>
      <c r="U359" s="7" t="str">
        <v>BZ</v>
      </c>
      <c r="Y359" t="e">
        <v>#N/A</v>
      </c>
      <c r="Z359" s="104"/>
    </row>
    <row r="360" spans="1:26">
      <c r="A360" s="133" t="s">
        <v>584</v>
      </c>
      <c r="B360" s="7"/>
      <c r="C360" s="7"/>
      <c r="D360" s="7"/>
      <c r="E360" s="7"/>
      <c r="F360" s="7"/>
      <c r="G360" s="7">
        <v>54000000</v>
      </c>
      <c r="H360" s="7"/>
      <c r="I360" s="7"/>
      <c r="J360" s="7"/>
      <c r="K360" s="7">
        <v>54000000</v>
      </c>
      <c r="L360" s="134">
        <f t="shared" si="36"/>
        <v>0.97120054736492967</v>
      </c>
      <c r="M360" s="7" t="str">
        <f t="shared" si="32"/>
        <v>C</v>
      </c>
      <c r="N360" s="7">
        <f t="shared" si="33"/>
        <v>0</v>
      </c>
      <c r="O360" s="7" t="str">
        <f t="shared" si="34"/>
        <v>Z</v>
      </c>
      <c r="P360" s="7" t="str">
        <f t="shared" si="35"/>
        <v>CZ</v>
      </c>
      <c r="S360" s="6" t="s">
        <v>441</v>
      </c>
      <c r="T360" s="25">
        <v>1</v>
      </c>
      <c r="U360" s="7" t="str">
        <v>BZ</v>
      </c>
      <c r="Y360" t="e">
        <v>#N/A</v>
      </c>
      <c r="Z360" s="104"/>
    </row>
    <row r="361" spans="1:26">
      <c r="A361" s="133" t="s">
        <v>612</v>
      </c>
      <c r="B361" s="7"/>
      <c r="C361" s="7"/>
      <c r="D361" s="7"/>
      <c r="E361" s="7"/>
      <c r="F361" s="7"/>
      <c r="G361" s="7"/>
      <c r="H361" s="7"/>
      <c r="I361" s="7">
        <v>54000000</v>
      </c>
      <c r="J361" s="7"/>
      <c r="K361" s="7">
        <v>54000000</v>
      </c>
      <c r="L361" s="134">
        <f t="shared" si="36"/>
        <v>0.97138008101620021</v>
      </c>
      <c r="M361" s="7" t="str">
        <f t="shared" si="32"/>
        <v>C</v>
      </c>
      <c r="N361" s="7">
        <f t="shared" si="33"/>
        <v>0</v>
      </c>
      <c r="O361" s="7" t="str">
        <f t="shared" si="34"/>
        <v>Z</v>
      </c>
      <c r="P361" s="7" t="str">
        <f t="shared" si="35"/>
        <v>CZ</v>
      </c>
      <c r="S361" s="6" t="s">
        <v>441</v>
      </c>
      <c r="T361" s="25">
        <v>1</v>
      </c>
      <c r="U361" s="7" t="str">
        <v>BZ</v>
      </c>
      <c r="Y361" t="e">
        <v>#N/A</v>
      </c>
      <c r="Z361" s="104"/>
    </row>
    <row r="362" spans="1:26">
      <c r="A362" s="133" t="s">
        <v>613</v>
      </c>
      <c r="B362" s="7">
        <v>53460000</v>
      </c>
      <c r="C362" s="7"/>
      <c r="D362" s="7"/>
      <c r="E362" s="7"/>
      <c r="F362" s="7"/>
      <c r="G362" s="7"/>
      <c r="H362" s="7"/>
      <c r="I362" s="7"/>
      <c r="J362" s="7"/>
      <c r="K362" s="7">
        <v>53460000</v>
      </c>
      <c r="L362" s="134">
        <f t="shared" si="36"/>
        <v>0.97155781933095808</v>
      </c>
      <c r="M362" s="7" t="str">
        <f t="shared" si="32"/>
        <v>C</v>
      </c>
      <c r="N362" s="7">
        <f t="shared" si="33"/>
        <v>0</v>
      </c>
      <c r="O362" s="7" t="str">
        <f t="shared" si="34"/>
        <v>Z</v>
      </c>
      <c r="P362" s="7" t="str">
        <f t="shared" si="35"/>
        <v>CZ</v>
      </c>
      <c r="S362" s="6" t="s">
        <v>441</v>
      </c>
      <c r="T362" s="25">
        <v>1</v>
      </c>
      <c r="U362" s="7" t="str">
        <v>BZ</v>
      </c>
      <c r="Y362" t="e">
        <v>#N/A</v>
      </c>
      <c r="Z362" s="104"/>
    </row>
    <row r="363" spans="1:26">
      <c r="A363" s="133" t="s">
        <v>614</v>
      </c>
      <c r="B363" s="7">
        <v>25500000</v>
      </c>
      <c r="C363" s="7"/>
      <c r="D363" s="7"/>
      <c r="E363" s="7">
        <v>27744000</v>
      </c>
      <c r="F363" s="7"/>
      <c r="G363" s="7"/>
      <c r="H363" s="7"/>
      <c r="I363" s="7"/>
      <c r="J363" s="7"/>
      <c r="K363" s="7">
        <v>53244000</v>
      </c>
      <c r="L363" s="134">
        <f t="shared" si="36"/>
        <v>0.97173483951111084</v>
      </c>
      <c r="M363" s="7" t="str">
        <f t="shared" si="32"/>
        <v>C</v>
      </c>
      <c r="N363" s="7">
        <f t="shared" si="33"/>
        <v>4.2145593869731802E-2</v>
      </c>
      <c r="O363" s="7" t="str">
        <f t="shared" si="34"/>
        <v>X</v>
      </c>
      <c r="P363" s="7" t="str">
        <f t="shared" si="35"/>
        <v>CX</v>
      </c>
      <c r="S363" s="6" t="s">
        <v>333</v>
      </c>
      <c r="T363" s="25">
        <v>2</v>
      </c>
      <c r="U363" s="7" t="str">
        <v>BZ</v>
      </c>
      <c r="Y363" t="e">
        <v>#N/A</v>
      </c>
      <c r="Z363" s="104"/>
    </row>
    <row r="364" spans="1:26">
      <c r="A364" s="133" t="s">
        <v>615</v>
      </c>
      <c r="B364" s="7"/>
      <c r="C364" s="7">
        <v>43500000</v>
      </c>
      <c r="D364" s="7"/>
      <c r="E364" s="7"/>
      <c r="F364" s="7">
        <v>8700000</v>
      </c>
      <c r="G364" s="7"/>
      <c r="H364" s="7"/>
      <c r="I364" s="7"/>
      <c r="J364" s="7"/>
      <c r="K364" s="7">
        <v>52200000</v>
      </c>
      <c r="L364" s="134">
        <f t="shared" si="36"/>
        <v>0.97190838870733909</v>
      </c>
      <c r="M364" s="7" t="str">
        <f t="shared" si="32"/>
        <v>C</v>
      </c>
      <c r="N364" s="7">
        <f t="shared" si="33"/>
        <v>0.66666666666666663</v>
      </c>
      <c r="O364" s="7" t="str">
        <f t="shared" si="34"/>
        <v>Z</v>
      </c>
      <c r="P364" s="7" t="str">
        <f t="shared" si="35"/>
        <v>CZ</v>
      </c>
      <c r="S364" s="6" t="s">
        <v>333</v>
      </c>
      <c r="T364" s="25">
        <v>3</v>
      </c>
      <c r="U364" s="7" t="str">
        <v>BZ</v>
      </c>
      <c r="Y364" t="e">
        <v>#N/A</v>
      </c>
      <c r="Z364" s="104"/>
    </row>
    <row r="365" spans="1:26">
      <c r="A365" s="133" t="s">
        <v>616</v>
      </c>
      <c r="B365" s="7">
        <v>13000000</v>
      </c>
      <c r="C365" s="7">
        <v>39000000</v>
      </c>
      <c r="D365" s="7"/>
      <c r="E365" s="7"/>
      <c r="F365" s="7"/>
      <c r="G365" s="7"/>
      <c r="H365" s="7"/>
      <c r="I365" s="7"/>
      <c r="J365" s="7"/>
      <c r="K365" s="7">
        <v>52000000</v>
      </c>
      <c r="L365" s="134">
        <f t="shared" si="36"/>
        <v>0.97208127296411817</v>
      </c>
      <c r="M365" s="7" t="str">
        <f t="shared" si="32"/>
        <v>C</v>
      </c>
      <c r="N365" s="7">
        <f t="shared" si="33"/>
        <v>0.5</v>
      </c>
      <c r="O365" s="7" t="str">
        <f t="shared" si="34"/>
        <v>Y</v>
      </c>
      <c r="P365" s="7" t="str">
        <f t="shared" si="35"/>
        <v>CY</v>
      </c>
      <c r="S365" s="6" t="s">
        <v>617</v>
      </c>
      <c r="T365" s="25">
        <v>1</v>
      </c>
      <c r="U365" s="7" t="str">
        <v>CZ</v>
      </c>
      <c r="Y365" t="e">
        <v>#N/A</v>
      </c>
      <c r="Z365" s="104"/>
    </row>
    <row r="366" spans="1:26">
      <c r="A366" s="133" t="s">
        <v>602</v>
      </c>
      <c r="B366" s="7"/>
      <c r="C366" s="7"/>
      <c r="D366" s="7"/>
      <c r="E366" s="7"/>
      <c r="F366" s="7"/>
      <c r="G366" s="7">
        <v>25800000</v>
      </c>
      <c r="H366" s="7"/>
      <c r="I366" s="7">
        <v>25800000</v>
      </c>
      <c r="J366" s="7"/>
      <c r="K366" s="7">
        <v>51600000</v>
      </c>
      <c r="L366" s="134">
        <f t="shared" si="36"/>
        <v>0.97225282734199892</v>
      </c>
      <c r="M366" s="7" t="str">
        <f t="shared" si="32"/>
        <v>C</v>
      </c>
      <c r="N366" s="7">
        <f t="shared" si="33"/>
        <v>0</v>
      </c>
      <c r="O366" s="7" t="str">
        <f t="shared" si="34"/>
        <v>Z</v>
      </c>
      <c r="P366" s="7" t="str">
        <f t="shared" si="35"/>
        <v>CZ</v>
      </c>
      <c r="S366" s="6" t="s">
        <v>618</v>
      </c>
      <c r="T366" s="25">
        <v>1</v>
      </c>
      <c r="U366" s="7" t="str">
        <v>CZ</v>
      </c>
      <c r="Y366" t="e">
        <v>#N/A</v>
      </c>
      <c r="Z366" s="104"/>
    </row>
    <row r="367" spans="1:26">
      <c r="A367" s="133" t="s">
        <v>326</v>
      </c>
      <c r="B367" s="7"/>
      <c r="C367" s="7"/>
      <c r="D367" s="7"/>
      <c r="E367" s="7"/>
      <c r="F367" s="7">
        <v>12848000</v>
      </c>
      <c r="G367" s="7">
        <v>12848000</v>
      </c>
      <c r="H367" s="7"/>
      <c r="I367" s="7">
        <v>19272000</v>
      </c>
      <c r="J367" s="7">
        <v>6424000</v>
      </c>
      <c r="K367" s="7">
        <v>51392000</v>
      </c>
      <c r="L367" s="134">
        <f t="shared" si="36"/>
        <v>0.97242369018285257</v>
      </c>
      <c r="M367" s="7" t="str">
        <f t="shared" si="32"/>
        <v>C</v>
      </c>
      <c r="N367" s="7">
        <f t="shared" si="33"/>
        <v>0.35355339059327379</v>
      </c>
      <c r="O367" s="7" t="str">
        <f t="shared" si="34"/>
        <v>Y</v>
      </c>
      <c r="P367" s="7" t="str">
        <f t="shared" si="35"/>
        <v>CY</v>
      </c>
      <c r="S367" s="6" t="s">
        <v>619</v>
      </c>
      <c r="T367" s="25">
        <v>1</v>
      </c>
      <c r="U367" s="7" t="str">
        <v>CZ</v>
      </c>
      <c r="Y367" t="e">
        <v>#N/A</v>
      </c>
      <c r="Z367" s="104"/>
    </row>
    <row r="368" spans="1:26">
      <c r="A368" s="133" t="s">
        <v>620</v>
      </c>
      <c r="B368" s="7"/>
      <c r="C368" s="7"/>
      <c r="D368" s="7">
        <v>49500000</v>
      </c>
      <c r="E368" s="7">
        <v>1465200</v>
      </c>
      <c r="F368" s="7"/>
      <c r="G368" s="7"/>
      <c r="H368" s="7"/>
      <c r="I368" s="7"/>
      <c r="J368" s="7"/>
      <c r="K368" s="7">
        <v>50965200</v>
      </c>
      <c r="L368" s="134">
        <f t="shared" si="36"/>
        <v>0.97259313404292169</v>
      </c>
      <c r="M368" s="7" t="str">
        <f t="shared" si="32"/>
        <v>C</v>
      </c>
      <c r="N368" s="7">
        <f t="shared" si="33"/>
        <v>0.94250194250194252</v>
      </c>
      <c r="O368" s="7" t="str">
        <f t="shared" si="34"/>
        <v>Z</v>
      </c>
      <c r="P368" s="7" t="str">
        <f t="shared" si="35"/>
        <v>CZ</v>
      </c>
      <c r="S368" s="6" t="s">
        <v>621</v>
      </c>
      <c r="T368" s="25">
        <v>1</v>
      </c>
      <c r="U368" s="7" t="str">
        <v>CZ</v>
      </c>
      <c r="Y368" t="e">
        <v>#N/A</v>
      </c>
      <c r="Z368" s="104"/>
    </row>
    <row r="369" spans="1:26">
      <c r="A369" s="133" t="s">
        <v>622</v>
      </c>
      <c r="B369" s="7">
        <v>50225000</v>
      </c>
      <c r="C369" s="7"/>
      <c r="D369" s="7"/>
      <c r="E369" s="7"/>
      <c r="F369" s="7"/>
      <c r="G369" s="7"/>
      <c r="H369" s="7"/>
      <c r="I369" s="7"/>
      <c r="J369" s="7"/>
      <c r="K369" s="7">
        <v>50225000</v>
      </c>
      <c r="L369" s="134">
        <f t="shared" si="36"/>
        <v>0.97276011696208953</v>
      </c>
      <c r="M369" s="7" t="str">
        <f t="shared" si="32"/>
        <v>C</v>
      </c>
      <c r="N369" s="7">
        <f t="shared" si="33"/>
        <v>0</v>
      </c>
      <c r="O369" s="7" t="str">
        <f t="shared" si="34"/>
        <v>Z</v>
      </c>
      <c r="P369" s="7" t="str">
        <f t="shared" si="35"/>
        <v>CZ</v>
      </c>
      <c r="S369" s="6" t="s">
        <v>623</v>
      </c>
      <c r="T369" s="25">
        <v>1</v>
      </c>
      <c r="U369" s="7" t="str">
        <v>CZ</v>
      </c>
      <c r="Y369" t="e">
        <v>#N/A</v>
      </c>
      <c r="Z369" s="104"/>
    </row>
    <row r="370" spans="1:26">
      <c r="A370" s="133" t="s">
        <v>576</v>
      </c>
      <c r="B370" s="7"/>
      <c r="C370" s="7"/>
      <c r="D370" s="7"/>
      <c r="E370" s="7"/>
      <c r="F370" s="7">
        <v>28600000</v>
      </c>
      <c r="G370" s="7"/>
      <c r="H370" s="7"/>
      <c r="I370" s="7">
        <v>21450000</v>
      </c>
      <c r="J370" s="7"/>
      <c r="K370" s="7">
        <v>50050000</v>
      </c>
      <c r="L370" s="134">
        <f t="shared" si="36"/>
        <v>0.97292651805923935</v>
      </c>
      <c r="M370" s="7" t="str">
        <f t="shared" si="32"/>
        <v>C</v>
      </c>
      <c r="N370" s="7">
        <f t="shared" si="33"/>
        <v>0.14285714285714285</v>
      </c>
      <c r="O370" s="7" t="str">
        <f t="shared" si="34"/>
        <v>X</v>
      </c>
      <c r="P370" s="7" t="str">
        <f t="shared" si="35"/>
        <v>CX</v>
      </c>
      <c r="S370" s="6" t="s">
        <v>624</v>
      </c>
      <c r="T370" s="25">
        <v>1</v>
      </c>
      <c r="U370" s="7" t="str">
        <v>CZ</v>
      </c>
      <c r="Y370" t="e">
        <v>#N/A</v>
      </c>
      <c r="Z370" s="104"/>
    </row>
    <row r="371" spans="1:26">
      <c r="A371" s="133" t="s">
        <v>450</v>
      </c>
      <c r="B371" s="7"/>
      <c r="C371" s="7"/>
      <c r="D371" s="7"/>
      <c r="E371" s="7"/>
      <c r="F371" s="7"/>
      <c r="G371" s="7"/>
      <c r="H371" s="7">
        <v>49950000</v>
      </c>
      <c r="I371" s="7"/>
      <c r="J371" s="7"/>
      <c r="K371" s="7">
        <v>49950000</v>
      </c>
      <c r="L371" s="134">
        <f t="shared" si="36"/>
        <v>0.97309258668666465</v>
      </c>
      <c r="M371" s="7" t="str">
        <f t="shared" si="32"/>
        <v>C</v>
      </c>
      <c r="N371" s="7">
        <f t="shared" si="33"/>
        <v>0</v>
      </c>
      <c r="O371" s="7" t="str">
        <f t="shared" si="34"/>
        <v>Z</v>
      </c>
      <c r="P371" s="7" t="str">
        <f t="shared" si="35"/>
        <v>CZ</v>
      </c>
      <c r="S371" s="6" t="s">
        <v>625</v>
      </c>
      <c r="T371" s="25">
        <v>1</v>
      </c>
      <c r="U371" s="7" t="str">
        <v>CZ</v>
      </c>
      <c r="Y371" t="e">
        <v>#N/A</v>
      </c>
      <c r="Z371" s="104"/>
    </row>
    <row r="372" spans="1:26">
      <c r="A372" s="133" t="s">
        <v>626</v>
      </c>
      <c r="B372" s="7"/>
      <c r="C372" s="7"/>
      <c r="D372" s="7"/>
      <c r="E372" s="7"/>
      <c r="F372" s="7"/>
      <c r="G372" s="7"/>
      <c r="H372" s="7"/>
      <c r="I372" s="7">
        <v>49950000</v>
      </c>
      <c r="J372" s="7"/>
      <c r="K372" s="7">
        <v>49950000</v>
      </c>
      <c r="L372" s="134">
        <f t="shared" si="36"/>
        <v>0.97325865531408995</v>
      </c>
      <c r="M372" s="7" t="str">
        <f t="shared" si="32"/>
        <v>C</v>
      </c>
      <c r="N372" s="7">
        <f t="shared" si="33"/>
        <v>0</v>
      </c>
      <c r="O372" s="7" t="str">
        <f t="shared" si="34"/>
        <v>Z</v>
      </c>
      <c r="P372" s="7" t="str">
        <f t="shared" si="35"/>
        <v>CZ</v>
      </c>
      <c r="S372" s="6" t="s">
        <v>627</v>
      </c>
      <c r="T372" s="25">
        <v>1</v>
      </c>
      <c r="U372" s="7" t="str">
        <v>CZ</v>
      </c>
      <c r="Y372" t="e">
        <v>#N/A</v>
      </c>
      <c r="Z372" s="104"/>
    </row>
    <row r="373" spans="1:26">
      <c r="A373" s="133" t="s">
        <v>510</v>
      </c>
      <c r="B373" s="7"/>
      <c r="C373" s="7"/>
      <c r="D373" s="7"/>
      <c r="E373" s="7">
        <v>24900000</v>
      </c>
      <c r="F373" s="7"/>
      <c r="G373" s="7"/>
      <c r="H373" s="7">
        <v>24900000</v>
      </c>
      <c r="I373" s="7"/>
      <c r="J373" s="7"/>
      <c r="K373" s="7">
        <v>49800000</v>
      </c>
      <c r="L373" s="134">
        <f t="shared" si="36"/>
        <v>0.9734242252369284</v>
      </c>
      <c r="M373" s="7" t="str">
        <f t="shared" si="32"/>
        <v>C</v>
      </c>
      <c r="N373" s="7">
        <f t="shared" si="33"/>
        <v>0</v>
      </c>
      <c r="O373" s="7" t="str">
        <f t="shared" si="34"/>
        <v>Z</v>
      </c>
      <c r="P373" s="7" t="str">
        <f t="shared" si="35"/>
        <v>CZ</v>
      </c>
      <c r="S373" s="6" t="s">
        <v>628</v>
      </c>
      <c r="T373" s="25">
        <v>1</v>
      </c>
      <c r="U373" s="7" t="str">
        <v>CZ</v>
      </c>
      <c r="Y373" t="e">
        <v>#N/A</v>
      </c>
      <c r="Z373" s="104"/>
    </row>
    <row r="374" spans="1:26">
      <c r="A374" s="133" t="s">
        <v>469</v>
      </c>
      <c r="B374" s="7"/>
      <c r="C374" s="7"/>
      <c r="D374" s="7"/>
      <c r="E374" s="7"/>
      <c r="F374" s="7"/>
      <c r="G374" s="7"/>
      <c r="H374" s="7"/>
      <c r="I374" s="7">
        <v>49500000</v>
      </c>
      <c r="J374" s="7"/>
      <c r="K374" s="7">
        <v>49500000</v>
      </c>
      <c r="L374" s="134">
        <f t="shared" si="36"/>
        <v>0.97358879775059304</v>
      </c>
      <c r="M374" s="7" t="str">
        <f t="shared" si="32"/>
        <v>C</v>
      </c>
      <c r="N374" s="7">
        <f t="shared" si="33"/>
        <v>0</v>
      </c>
      <c r="O374" s="7" t="str">
        <f t="shared" si="34"/>
        <v>Z</v>
      </c>
      <c r="P374" s="7" t="str">
        <f t="shared" si="35"/>
        <v>CZ</v>
      </c>
      <c r="S374" s="6" t="s">
        <v>629</v>
      </c>
      <c r="T374" s="25">
        <v>1</v>
      </c>
      <c r="U374" s="7" t="str">
        <v>CX</v>
      </c>
      <c r="Y374" t="e">
        <v>#N/A</v>
      </c>
      <c r="Z374" s="104"/>
    </row>
    <row r="375" spans="1:26">
      <c r="A375" s="133" t="s">
        <v>525</v>
      </c>
      <c r="B375" s="7"/>
      <c r="C375" s="7"/>
      <c r="D375" s="7"/>
      <c r="E375" s="7"/>
      <c r="F375" s="7"/>
      <c r="G375" s="7"/>
      <c r="H375" s="7"/>
      <c r="I375" s="7">
        <v>49500000</v>
      </c>
      <c r="J375" s="7"/>
      <c r="K375" s="7">
        <v>49500000</v>
      </c>
      <c r="L375" s="134">
        <f t="shared" si="36"/>
        <v>0.97375337026425768</v>
      </c>
      <c r="M375" s="7" t="str">
        <f t="shared" si="32"/>
        <v>C</v>
      </c>
      <c r="N375" s="7">
        <f t="shared" si="33"/>
        <v>0</v>
      </c>
      <c r="O375" s="7" t="str">
        <f t="shared" si="34"/>
        <v>Z</v>
      </c>
      <c r="P375" s="7" t="str">
        <f t="shared" si="35"/>
        <v>CZ</v>
      </c>
      <c r="S375" s="6" t="s">
        <v>629</v>
      </c>
      <c r="T375" s="25">
        <v>1</v>
      </c>
      <c r="U375" s="7" t="str">
        <v>CX</v>
      </c>
      <c r="Y375" t="e">
        <v>#N/A</v>
      </c>
      <c r="Z375" s="104"/>
    </row>
    <row r="376" spans="1:26">
      <c r="A376" s="133" t="s">
        <v>630</v>
      </c>
      <c r="B376" s="7"/>
      <c r="C376" s="7"/>
      <c r="D376" s="7"/>
      <c r="E376" s="7"/>
      <c r="F376" s="7"/>
      <c r="G376" s="7"/>
      <c r="H376" s="7"/>
      <c r="I376" s="7">
        <v>49500000</v>
      </c>
      <c r="J376" s="7"/>
      <c r="K376" s="7">
        <v>49500000</v>
      </c>
      <c r="L376" s="134">
        <f t="shared" si="36"/>
        <v>0.97391794277792232</v>
      </c>
      <c r="M376" s="7" t="str">
        <f t="shared" si="32"/>
        <v>C</v>
      </c>
      <c r="N376" s="7">
        <f t="shared" si="33"/>
        <v>0</v>
      </c>
      <c r="O376" s="7" t="str">
        <f t="shared" si="34"/>
        <v>Z</v>
      </c>
      <c r="P376" s="7" t="str">
        <f t="shared" si="35"/>
        <v>CZ</v>
      </c>
      <c r="S376" s="6" t="s">
        <v>631</v>
      </c>
      <c r="T376" s="25">
        <v>1</v>
      </c>
      <c r="U376" s="7" t="str">
        <v>CZ</v>
      </c>
      <c r="Y376" t="e">
        <v>#N/A</v>
      </c>
      <c r="Z376" s="104"/>
    </row>
    <row r="377" spans="1:26">
      <c r="A377" s="133" t="s">
        <v>405</v>
      </c>
      <c r="B377" s="7">
        <v>24650000</v>
      </c>
      <c r="C377" s="7"/>
      <c r="D377" s="7"/>
      <c r="E377" s="7"/>
      <c r="F377" s="7"/>
      <c r="G377" s="7"/>
      <c r="H377" s="7">
        <v>24650000</v>
      </c>
      <c r="I377" s="7"/>
      <c r="J377" s="7"/>
      <c r="K377" s="7">
        <v>49300000</v>
      </c>
      <c r="L377" s="134">
        <f t="shared" si="36"/>
        <v>0.97408185035213779</v>
      </c>
      <c r="M377" s="7" t="str">
        <f t="shared" si="32"/>
        <v>C</v>
      </c>
      <c r="N377" s="7">
        <f t="shared" si="33"/>
        <v>0</v>
      </c>
      <c r="O377" s="7" t="str">
        <f t="shared" si="34"/>
        <v>Z</v>
      </c>
      <c r="P377" s="7" t="str">
        <f t="shared" si="35"/>
        <v>CZ</v>
      </c>
      <c r="S377" s="6" t="s">
        <v>445</v>
      </c>
      <c r="T377" s="25">
        <v>3</v>
      </c>
      <c r="U377" s="7" t="str">
        <v>BZ</v>
      </c>
      <c r="Y377" t="e">
        <v>#N/A</v>
      </c>
      <c r="Z377" s="104"/>
    </row>
    <row r="378" spans="1:26">
      <c r="A378" s="133" t="s">
        <v>632</v>
      </c>
      <c r="B378" s="7"/>
      <c r="C378" s="7"/>
      <c r="D378" s="7"/>
      <c r="E378" s="7"/>
      <c r="F378" s="7"/>
      <c r="G378" s="7"/>
      <c r="H378" s="7"/>
      <c r="I378" s="7"/>
      <c r="J378" s="7">
        <v>49176750</v>
      </c>
      <c r="K378" s="7">
        <v>49176750</v>
      </c>
      <c r="L378" s="134">
        <f t="shared" si="36"/>
        <v>0.97424534815741781</v>
      </c>
      <c r="M378" s="7" t="str">
        <f t="shared" si="32"/>
        <v>C</v>
      </c>
      <c r="N378" s="7">
        <f t="shared" si="33"/>
        <v>0</v>
      </c>
      <c r="O378" s="7" t="str">
        <f t="shared" si="34"/>
        <v>Z</v>
      </c>
      <c r="P378" s="7" t="str">
        <f t="shared" si="35"/>
        <v>CZ</v>
      </c>
      <c r="S378" s="6" t="s">
        <v>552</v>
      </c>
      <c r="T378" s="25">
        <v>3</v>
      </c>
      <c r="U378" s="7" t="str">
        <v>CZ</v>
      </c>
      <c r="Y378" t="e">
        <v>#N/A</v>
      </c>
      <c r="Z378" s="104"/>
    </row>
    <row r="379" spans="1:26">
      <c r="A379" s="133" t="s">
        <v>633</v>
      </c>
      <c r="B379" s="7"/>
      <c r="C379" s="7"/>
      <c r="D379" s="7"/>
      <c r="E379" s="7"/>
      <c r="F379" s="7"/>
      <c r="G379" s="7">
        <v>21000000</v>
      </c>
      <c r="H379" s="7">
        <v>28000000</v>
      </c>
      <c r="I379" s="7"/>
      <c r="J379" s="7"/>
      <c r="K379" s="7">
        <v>49000000</v>
      </c>
      <c r="L379" s="134">
        <f t="shared" si="36"/>
        <v>0.97440825832245959</v>
      </c>
      <c r="M379" s="7" t="str">
        <f t="shared" si="32"/>
        <v>C</v>
      </c>
      <c r="N379" s="7">
        <f t="shared" si="33"/>
        <v>0.14285714285714285</v>
      </c>
      <c r="O379" s="7" t="str">
        <f t="shared" si="34"/>
        <v>X</v>
      </c>
      <c r="P379" s="7" t="str">
        <f t="shared" si="35"/>
        <v>CX</v>
      </c>
      <c r="S379" s="6" t="s">
        <v>634</v>
      </c>
      <c r="T379" s="25">
        <v>2</v>
      </c>
      <c r="U379" s="7" t="str">
        <v>CZ</v>
      </c>
      <c r="Y379" t="e">
        <v>#N/A</v>
      </c>
      <c r="Z379" s="104"/>
    </row>
    <row r="380" spans="1:26">
      <c r="A380" s="133" t="s">
        <v>635</v>
      </c>
      <c r="B380" s="7">
        <v>8400000</v>
      </c>
      <c r="C380" s="7"/>
      <c r="D380" s="7">
        <v>39780000</v>
      </c>
      <c r="E380" s="7"/>
      <c r="F380" s="7"/>
      <c r="G380" s="7"/>
      <c r="H380" s="7"/>
      <c r="I380" s="7"/>
      <c r="J380" s="7"/>
      <c r="K380" s="7">
        <v>48180000</v>
      </c>
      <c r="L380" s="134">
        <f t="shared" si="36"/>
        <v>0.97456844223575989</v>
      </c>
      <c r="M380" s="7" t="str">
        <f t="shared" si="32"/>
        <v>C</v>
      </c>
      <c r="N380" s="7">
        <f t="shared" si="33"/>
        <v>0.65130759651307601</v>
      </c>
      <c r="O380" s="7" t="str">
        <f t="shared" si="34"/>
        <v>Z</v>
      </c>
      <c r="P380" s="7" t="str">
        <f t="shared" si="35"/>
        <v>CZ</v>
      </c>
      <c r="S380" s="6" t="s">
        <v>480</v>
      </c>
      <c r="T380" s="25">
        <v>2</v>
      </c>
      <c r="U380" s="7" t="str">
        <v>BZ</v>
      </c>
      <c r="Y380" t="e">
        <v>#N/A</v>
      </c>
      <c r="Z380" s="104"/>
    </row>
    <row r="381" spans="1:26">
      <c r="A381" s="133" t="s">
        <v>361</v>
      </c>
      <c r="B381" s="7"/>
      <c r="C381" s="7"/>
      <c r="D381" s="7"/>
      <c r="E381" s="7"/>
      <c r="F381" s="7">
        <v>17500000</v>
      </c>
      <c r="G381" s="7"/>
      <c r="H381" s="7">
        <v>15250000</v>
      </c>
      <c r="I381" s="7"/>
      <c r="J381" s="7">
        <v>15250000</v>
      </c>
      <c r="K381" s="7">
        <v>48000000</v>
      </c>
      <c r="L381" s="134">
        <f t="shared" si="36"/>
        <v>0.97472802770355593</v>
      </c>
      <c r="M381" s="7" t="str">
        <f t="shared" si="32"/>
        <v>C</v>
      </c>
      <c r="N381" s="7">
        <f t="shared" si="33"/>
        <v>6.6291260736238838E-2</v>
      </c>
      <c r="O381" s="7" t="str">
        <f t="shared" si="34"/>
        <v>X</v>
      </c>
      <c r="P381" s="7" t="str">
        <f t="shared" si="35"/>
        <v>CX</v>
      </c>
      <c r="S381" s="6" t="s">
        <v>480</v>
      </c>
      <c r="T381" s="25">
        <v>9</v>
      </c>
      <c r="U381" s="7" t="str">
        <v>BZ</v>
      </c>
      <c r="Y381" t="e">
        <v>#N/A</v>
      </c>
      <c r="Z381" s="104"/>
    </row>
    <row r="382" spans="1:26">
      <c r="A382" s="133" t="s">
        <v>636</v>
      </c>
      <c r="B382" s="7"/>
      <c r="C382" s="7"/>
      <c r="D382" s="7"/>
      <c r="E382" s="7"/>
      <c r="F382" s="7"/>
      <c r="G382" s="7"/>
      <c r="H382" s="7"/>
      <c r="I382" s="7"/>
      <c r="J382" s="7">
        <v>48000000</v>
      </c>
      <c r="K382" s="7">
        <v>48000000</v>
      </c>
      <c r="L382" s="134">
        <f t="shared" si="36"/>
        <v>0.97488761317135197</v>
      </c>
      <c r="M382" s="7" t="str">
        <f t="shared" si="32"/>
        <v>C</v>
      </c>
      <c r="N382" s="7">
        <f t="shared" si="33"/>
        <v>0</v>
      </c>
      <c r="O382" s="7" t="str">
        <f t="shared" si="34"/>
        <v>Z</v>
      </c>
      <c r="P382" s="7" t="str">
        <f t="shared" si="35"/>
        <v>CZ</v>
      </c>
      <c r="S382" s="6" t="s">
        <v>480</v>
      </c>
      <c r="T382" s="25">
        <v>3</v>
      </c>
      <c r="U382" s="7" t="str">
        <v>BZ</v>
      </c>
      <c r="Y382" t="e">
        <v>#N/A</v>
      </c>
      <c r="Z382" s="104"/>
    </row>
    <row r="383" spans="1:26">
      <c r="A383" s="133" t="s">
        <v>637</v>
      </c>
      <c r="B383" s="7">
        <v>10909600</v>
      </c>
      <c r="C383" s="7">
        <v>1560000</v>
      </c>
      <c r="D383" s="7">
        <v>5769400</v>
      </c>
      <c r="E383" s="7">
        <v>10400000</v>
      </c>
      <c r="F383" s="7">
        <v>9581780</v>
      </c>
      <c r="G383" s="7">
        <v>2532673</v>
      </c>
      <c r="H383" s="7"/>
      <c r="I383" s="7">
        <v>7119892</v>
      </c>
      <c r="J383" s="7"/>
      <c r="K383" s="7">
        <v>47873345</v>
      </c>
      <c r="L383" s="134">
        <f t="shared" si="36"/>
        <v>0.97504677754961833</v>
      </c>
      <c r="M383" s="7" t="str">
        <f t="shared" si="32"/>
        <v>C</v>
      </c>
      <c r="N383" s="7">
        <f t="shared" si="33"/>
        <v>0.50774839226811574</v>
      </c>
      <c r="O383" s="7" t="str">
        <f t="shared" si="34"/>
        <v>Y</v>
      </c>
      <c r="P383" s="7" t="str">
        <f t="shared" si="35"/>
        <v>CY</v>
      </c>
      <c r="S383" s="6" t="s">
        <v>529</v>
      </c>
      <c r="T383" s="25">
        <v>3</v>
      </c>
      <c r="U383" s="7" t="str">
        <v>BZ</v>
      </c>
      <c r="Y383" t="e">
        <v>#N/A</v>
      </c>
      <c r="Z383" s="104"/>
    </row>
    <row r="384" spans="1:26">
      <c r="A384" s="133" t="s">
        <v>471</v>
      </c>
      <c r="B384" s="7"/>
      <c r="C384" s="7"/>
      <c r="D384" s="7"/>
      <c r="E384" s="7">
        <v>47850000</v>
      </c>
      <c r="F384" s="7"/>
      <c r="G384" s="7"/>
      <c r="H384" s="7"/>
      <c r="I384" s="7"/>
      <c r="J384" s="7"/>
      <c r="K384" s="7">
        <v>47850000</v>
      </c>
      <c r="L384" s="134">
        <f t="shared" si="36"/>
        <v>0.97520586431282752</v>
      </c>
      <c r="M384" s="7" t="str">
        <f t="shared" si="32"/>
        <v>C</v>
      </c>
      <c r="N384" s="7">
        <f t="shared" si="33"/>
        <v>0</v>
      </c>
      <c r="O384" s="7" t="str">
        <f t="shared" si="34"/>
        <v>Z</v>
      </c>
      <c r="P384" s="7" t="str">
        <f t="shared" si="35"/>
        <v>CZ</v>
      </c>
      <c r="S384" s="6" t="s">
        <v>529</v>
      </c>
      <c r="T384" s="25">
        <v>2</v>
      </c>
      <c r="U384" s="7" t="str">
        <v>BZ</v>
      </c>
      <c r="Y384" t="e">
        <v>#N/A</v>
      </c>
      <c r="Z384" s="104"/>
    </row>
    <row r="385" spans="1:26">
      <c r="A385" s="133" t="s">
        <v>307</v>
      </c>
      <c r="B385" s="7">
        <v>17100000</v>
      </c>
      <c r="C385" s="7">
        <v>5700000</v>
      </c>
      <c r="D385" s="7"/>
      <c r="E385" s="7"/>
      <c r="F385" s="7">
        <v>6840000</v>
      </c>
      <c r="G385" s="7">
        <v>5910000</v>
      </c>
      <c r="H385" s="7">
        <v>11820000</v>
      </c>
      <c r="I385" s="7"/>
      <c r="J385" s="7"/>
      <c r="K385" s="7">
        <v>47370000</v>
      </c>
      <c r="L385" s="134">
        <f t="shared" si="36"/>
        <v>0.97536335522135875</v>
      </c>
      <c r="M385" s="7" t="str">
        <f t="shared" si="32"/>
        <v>C</v>
      </c>
      <c r="N385" s="7">
        <f t="shared" si="33"/>
        <v>0.46620727725519118</v>
      </c>
      <c r="O385" s="7" t="str">
        <f t="shared" si="34"/>
        <v>Y</v>
      </c>
      <c r="P385" s="7" t="str">
        <f t="shared" si="35"/>
        <v>CY</v>
      </c>
      <c r="S385" s="6" t="s">
        <v>529</v>
      </c>
      <c r="T385" s="25">
        <v>1</v>
      </c>
      <c r="U385" s="7" t="str">
        <v>BZ</v>
      </c>
      <c r="Y385" t="e">
        <v>#N/A</v>
      </c>
      <c r="Z385" s="104"/>
    </row>
    <row r="386" spans="1:26">
      <c r="A386" s="133" t="s">
        <v>488</v>
      </c>
      <c r="B386" s="7"/>
      <c r="C386" s="7"/>
      <c r="D386" s="7"/>
      <c r="E386" s="7"/>
      <c r="F386" s="7">
        <v>47190000</v>
      </c>
      <c r="G386" s="7"/>
      <c r="H386" s="7"/>
      <c r="I386" s="7"/>
      <c r="J386" s="7"/>
      <c r="K386" s="7">
        <v>47190000</v>
      </c>
      <c r="L386" s="134">
        <f t="shared" si="36"/>
        <v>0.97552024768438572</v>
      </c>
      <c r="M386" s="7" t="str">
        <f t="shared" si="32"/>
        <v>C</v>
      </c>
      <c r="N386" s="7">
        <f t="shared" si="33"/>
        <v>0</v>
      </c>
      <c r="O386" s="7" t="str">
        <f t="shared" si="34"/>
        <v>Z</v>
      </c>
      <c r="P386" s="7" t="str">
        <f t="shared" si="35"/>
        <v>CZ</v>
      </c>
      <c r="S386" s="6" t="s">
        <v>638</v>
      </c>
      <c r="T386" s="25">
        <v>1</v>
      </c>
      <c r="U386" s="7" t="str">
        <v>CZ</v>
      </c>
      <c r="Y386" t="e">
        <v>#N/A</v>
      </c>
      <c r="Z386" s="104"/>
    </row>
    <row r="387" spans="1:26">
      <c r="A387" s="133" t="s">
        <v>639</v>
      </c>
      <c r="B387" s="7"/>
      <c r="C387" s="7"/>
      <c r="D387" s="7"/>
      <c r="E387" s="7"/>
      <c r="F387" s="7"/>
      <c r="G387" s="7"/>
      <c r="H387" s="7">
        <v>11000000</v>
      </c>
      <c r="I387" s="7">
        <v>36050000</v>
      </c>
      <c r="J387" s="7"/>
      <c r="K387" s="7">
        <v>47050000</v>
      </c>
      <c r="L387" s="134">
        <f t="shared" si="36"/>
        <v>0.97567667468979835</v>
      </c>
      <c r="M387" s="7" t="str">
        <f t="shared" si="32"/>
        <v>C</v>
      </c>
      <c r="N387" s="7">
        <f t="shared" si="33"/>
        <v>0.53241232731137089</v>
      </c>
      <c r="O387" s="7" t="str">
        <f t="shared" si="34"/>
        <v>Y</v>
      </c>
      <c r="P387" s="7" t="str">
        <f t="shared" si="35"/>
        <v>CY</v>
      </c>
      <c r="S387" s="6" t="s">
        <v>638</v>
      </c>
      <c r="T387" s="25">
        <v>1</v>
      </c>
      <c r="U387" s="7" t="str">
        <v>CZ</v>
      </c>
      <c r="Y387" t="e">
        <v>#N/A</v>
      </c>
      <c r="Z387" s="104"/>
    </row>
    <row r="388" spans="1:26">
      <c r="A388" s="133" t="s">
        <v>526</v>
      </c>
      <c r="B388" s="7"/>
      <c r="C388" s="7"/>
      <c r="D388" s="7"/>
      <c r="E388" s="7">
        <v>8800000</v>
      </c>
      <c r="F388" s="7">
        <v>704000</v>
      </c>
      <c r="G388" s="7"/>
      <c r="H388" s="7">
        <v>18480000</v>
      </c>
      <c r="I388" s="7">
        <v>554400</v>
      </c>
      <c r="J388" s="7">
        <v>18480000</v>
      </c>
      <c r="K388" s="7">
        <v>47018400</v>
      </c>
      <c r="L388" s="134">
        <f t="shared" si="36"/>
        <v>0.97583299663477796</v>
      </c>
      <c r="M388" s="7" t="str">
        <f t="shared" si="32"/>
        <v>C</v>
      </c>
      <c r="N388" s="7">
        <f t="shared" si="33"/>
        <v>0.84955727274133674</v>
      </c>
      <c r="O388" s="7" t="str">
        <f t="shared" si="34"/>
        <v>Z</v>
      </c>
      <c r="P388" s="7" t="str">
        <f t="shared" si="35"/>
        <v>CZ</v>
      </c>
      <c r="S388" s="6" t="s">
        <v>640</v>
      </c>
      <c r="T388" s="25">
        <v>1</v>
      </c>
      <c r="U388" s="7" t="str">
        <v>CX</v>
      </c>
      <c r="Y388" t="e">
        <v>#N/A</v>
      </c>
      <c r="Z388" s="104"/>
    </row>
    <row r="389" spans="1:26">
      <c r="A389" s="133" t="s">
        <v>641</v>
      </c>
      <c r="B389" s="7"/>
      <c r="C389" s="7"/>
      <c r="D389" s="7"/>
      <c r="E389" s="7"/>
      <c r="F389" s="7">
        <v>47000000</v>
      </c>
      <c r="G389" s="7"/>
      <c r="H389" s="7"/>
      <c r="I389" s="7"/>
      <c r="J389" s="7"/>
      <c r="K389" s="7">
        <v>47000000</v>
      </c>
      <c r="L389" s="134">
        <f t="shared" si="36"/>
        <v>0.97598925740532827</v>
      </c>
      <c r="M389" s="7" t="str">
        <f t="shared" ref="M389:M452" si="37">IF(L389&lt;=0.8,"A",IF(L389&lt;=0.95,"B","C"))</f>
        <v>C</v>
      </c>
      <c r="N389" s="7">
        <f t="shared" ref="N389:N452" si="38">STDEVP(B389:J389)/AVERAGE(B389:J389)</f>
        <v>0</v>
      </c>
      <c r="O389" s="7" t="str">
        <f t="shared" ref="O389:O452" si="39">IF(N389=0,"Z",IF(N389&lt;=30%,"X",IF(N389&lt;=60%,"Y","Z")))</f>
        <v>Z</v>
      </c>
      <c r="P389" s="7" t="str">
        <f t="shared" ref="P389:P452" si="40">M389&amp;O389</f>
        <v>CZ</v>
      </c>
      <c r="S389" s="6" t="s">
        <v>640</v>
      </c>
      <c r="T389" s="25">
        <v>1</v>
      </c>
      <c r="U389" s="7" t="str">
        <v>CX</v>
      </c>
      <c r="Y389" t="e">
        <v>#N/A</v>
      </c>
      <c r="Z389" s="104"/>
    </row>
    <row r="390" spans="1:26">
      <c r="A390" s="133" t="s">
        <v>108</v>
      </c>
      <c r="B390" s="7"/>
      <c r="C390" s="7"/>
      <c r="D390" s="7"/>
      <c r="E390" s="7">
        <v>9400000</v>
      </c>
      <c r="F390" s="7">
        <v>9400000</v>
      </c>
      <c r="G390" s="7">
        <v>9400000</v>
      </c>
      <c r="H390" s="7">
        <v>18800000</v>
      </c>
      <c r="I390" s="7"/>
      <c r="J390" s="7"/>
      <c r="K390" s="7">
        <v>47000000</v>
      </c>
      <c r="L390" s="134">
        <f t="shared" ref="L390:L453" si="41">K390/$K$932+L389</f>
        <v>0.97614551817587858</v>
      </c>
      <c r="M390" s="7" t="str">
        <f t="shared" si="37"/>
        <v>C</v>
      </c>
      <c r="N390" s="7">
        <f t="shared" si="38"/>
        <v>0.34641016151377546</v>
      </c>
      <c r="O390" s="7" t="str">
        <f t="shared" si="39"/>
        <v>Y</v>
      </c>
      <c r="P390" s="7" t="str">
        <f t="shared" si="40"/>
        <v>CY</v>
      </c>
      <c r="S390" s="6" t="s">
        <v>511</v>
      </c>
      <c r="T390" s="25">
        <v>3</v>
      </c>
      <c r="U390" s="7" t="str">
        <v>BZ</v>
      </c>
      <c r="Y390" t="e">
        <v>#N/A</v>
      </c>
      <c r="Z390" s="104"/>
    </row>
    <row r="391" spans="1:26">
      <c r="A391" s="133" t="s">
        <v>642</v>
      </c>
      <c r="B391" s="7">
        <v>23000000</v>
      </c>
      <c r="C391" s="7">
        <v>23000000</v>
      </c>
      <c r="D391" s="7"/>
      <c r="E391" s="7"/>
      <c r="F391" s="7"/>
      <c r="G391" s="7"/>
      <c r="H391" s="7"/>
      <c r="I391" s="7"/>
      <c r="J391" s="7"/>
      <c r="K391" s="7">
        <v>46000000</v>
      </c>
      <c r="L391" s="134">
        <f t="shared" si="41"/>
        <v>0.97629845424918316</v>
      </c>
      <c r="M391" s="7" t="str">
        <f t="shared" si="37"/>
        <v>C</v>
      </c>
      <c r="N391" s="7">
        <f t="shared" si="38"/>
        <v>0</v>
      </c>
      <c r="O391" s="7" t="str">
        <f t="shared" si="39"/>
        <v>Z</v>
      </c>
      <c r="P391" s="7" t="str">
        <f t="shared" si="40"/>
        <v>CZ</v>
      </c>
      <c r="S391" s="6" t="s">
        <v>310</v>
      </c>
      <c r="T391" s="25">
        <v>1</v>
      </c>
      <c r="U391" s="7" t="str">
        <v>BZ</v>
      </c>
      <c r="Y391" t="e">
        <v>#N/A</v>
      </c>
      <c r="Z391" s="104"/>
    </row>
    <row r="392" spans="1:26">
      <c r="A392" s="133" t="s">
        <v>643</v>
      </c>
      <c r="B392" s="7"/>
      <c r="C392" s="7"/>
      <c r="D392" s="7"/>
      <c r="E392" s="7">
        <v>45500000</v>
      </c>
      <c r="F392" s="7"/>
      <c r="G392" s="7"/>
      <c r="H392" s="7"/>
      <c r="I392" s="7"/>
      <c r="J392" s="7"/>
      <c r="K392" s="7">
        <v>45500000</v>
      </c>
      <c r="L392" s="134">
        <f t="shared" si="41"/>
        <v>0.97644972797386487</v>
      </c>
      <c r="M392" s="7" t="str">
        <f t="shared" si="37"/>
        <v>C</v>
      </c>
      <c r="N392" s="7">
        <f t="shared" si="38"/>
        <v>0</v>
      </c>
      <c r="O392" s="7" t="str">
        <f t="shared" si="39"/>
        <v>Z</v>
      </c>
      <c r="P392" s="7" t="str">
        <f t="shared" si="40"/>
        <v>CZ</v>
      </c>
      <c r="S392" s="6" t="s">
        <v>310</v>
      </c>
      <c r="T392" s="25">
        <v>9</v>
      </c>
      <c r="U392" s="7" t="str">
        <v>BZ</v>
      </c>
      <c r="Y392" t="e">
        <v>#N/A</v>
      </c>
      <c r="Z392" s="104"/>
    </row>
    <row r="393" spans="1:26">
      <c r="A393" s="133" t="s">
        <v>644</v>
      </c>
      <c r="B393" s="7"/>
      <c r="C393" s="7"/>
      <c r="D393" s="7"/>
      <c r="E393" s="7"/>
      <c r="F393" s="7"/>
      <c r="G393" s="7"/>
      <c r="H393" s="7"/>
      <c r="I393" s="7">
        <v>45000000</v>
      </c>
      <c r="J393" s="7"/>
      <c r="K393" s="7">
        <v>45000000</v>
      </c>
      <c r="L393" s="134">
        <f t="shared" si="41"/>
        <v>0.97659933934992371</v>
      </c>
      <c r="M393" s="7" t="str">
        <f t="shared" si="37"/>
        <v>C</v>
      </c>
      <c r="N393" s="7">
        <f t="shared" si="38"/>
        <v>0</v>
      </c>
      <c r="O393" s="7" t="str">
        <f t="shared" si="39"/>
        <v>Z</v>
      </c>
      <c r="P393" s="7" t="str">
        <f t="shared" si="40"/>
        <v>CZ</v>
      </c>
      <c r="S393" s="6" t="s">
        <v>421</v>
      </c>
      <c r="T393" s="25">
        <v>3</v>
      </c>
      <c r="U393" s="7" t="str">
        <v>BZ</v>
      </c>
      <c r="Y393" t="e">
        <v>#N/A</v>
      </c>
      <c r="Z393" s="104"/>
    </row>
    <row r="394" spans="1:26">
      <c r="A394" s="133" t="s">
        <v>514</v>
      </c>
      <c r="B394" s="7"/>
      <c r="C394" s="7"/>
      <c r="D394" s="7">
        <v>44800000</v>
      </c>
      <c r="E394" s="7"/>
      <c r="F394" s="7"/>
      <c r="G394" s="7"/>
      <c r="H394" s="7"/>
      <c r="I394" s="7"/>
      <c r="J394" s="7"/>
      <c r="K394" s="7">
        <v>44800000</v>
      </c>
      <c r="L394" s="134">
        <f t="shared" si="41"/>
        <v>0.97674828578653339</v>
      </c>
      <c r="M394" s="7" t="str">
        <f t="shared" si="37"/>
        <v>C</v>
      </c>
      <c r="N394" s="7">
        <f t="shared" si="38"/>
        <v>0</v>
      </c>
      <c r="O394" s="7" t="str">
        <f t="shared" si="39"/>
        <v>Z</v>
      </c>
      <c r="P394" s="7" t="str">
        <f t="shared" si="40"/>
        <v>CZ</v>
      </c>
      <c r="S394" s="6" t="s">
        <v>645</v>
      </c>
      <c r="T394" s="25">
        <v>1</v>
      </c>
      <c r="U394" s="7" t="str">
        <v>CZ</v>
      </c>
      <c r="Y394" t="e">
        <v>#N/A</v>
      </c>
      <c r="Z394" s="104"/>
    </row>
    <row r="395" spans="1:26">
      <c r="A395" s="133" t="s">
        <v>646</v>
      </c>
      <c r="B395" s="7"/>
      <c r="C395" s="7"/>
      <c r="D395" s="7"/>
      <c r="E395" s="7"/>
      <c r="F395" s="7">
        <v>44400000</v>
      </c>
      <c r="G395" s="7"/>
      <c r="H395" s="7"/>
      <c r="I395" s="7"/>
      <c r="J395" s="7"/>
      <c r="K395" s="7">
        <v>44400000</v>
      </c>
      <c r="L395" s="134">
        <f t="shared" si="41"/>
        <v>0.97689590234424473</v>
      </c>
      <c r="M395" s="7" t="str">
        <f t="shared" si="37"/>
        <v>C</v>
      </c>
      <c r="N395" s="7">
        <f t="shared" si="38"/>
        <v>0</v>
      </c>
      <c r="O395" s="7" t="str">
        <f t="shared" si="39"/>
        <v>Z</v>
      </c>
      <c r="P395" s="7" t="str">
        <f t="shared" si="40"/>
        <v>CZ</v>
      </c>
      <c r="S395" s="6" t="s">
        <v>645</v>
      </c>
      <c r="T395" s="25">
        <v>1</v>
      </c>
      <c r="U395" s="7" t="str">
        <v>CZ</v>
      </c>
      <c r="Y395" t="e">
        <v>#N/A</v>
      </c>
      <c r="Z395" s="104"/>
    </row>
    <row r="396" spans="1:26">
      <c r="A396" s="133" t="s">
        <v>647</v>
      </c>
      <c r="B396" s="7">
        <v>8800000</v>
      </c>
      <c r="C396" s="7">
        <v>35200000</v>
      </c>
      <c r="D396" s="7"/>
      <c r="E396" s="7"/>
      <c r="F396" s="7"/>
      <c r="G396" s="7"/>
      <c r="H396" s="7"/>
      <c r="I396" s="7"/>
      <c r="J396" s="7"/>
      <c r="K396" s="7">
        <v>44000000</v>
      </c>
      <c r="L396" s="134">
        <f t="shared" si="41"/>
        <v>0.97704218902305773</v>
      </c>
      <c r="M396" s="7" t="str">
        <f t="shared" si="37"/>
        <v>C</v>
      </c>
      <c r="N396" s="7">
        <f t="shared" si="38"/>
        <v>0.6</v>
      </c>
      <c r="O396" s="7" t="str">
        <f t="shared" si="39"/>
        <v>Y</v>
      </c>
      <c r="P396" s="7" t="str">
        <f t="shared" si="40"/>
        <v>CY</v>
      </c>
      <c r="S396" s="6" t="s">
        <v>648</v>
      </c>
      <c r="T396" s="25">
        <v>1</v>
      </c>
      <c r="U396" s="7" t="str">
        <v>CZ</v>
      </c>
      <c r="Y396" t="e">
        <v>#N/A</v>
      </c>
      <c r="Z396" s="104"/>
    </row>
    <row r="397" spans="1:26">
      <c r="A397" s="133" t="s">
        <v>397</v>
      </c>
      <c r="B397" s="7"/>
      <c r="C397" s="7"/>
      <c r="D397" s="7"/>
      <c r="E397" s="7">
        <v>17600000</v>
      </c>
      <c r="F397" s="7">
        <v>26400000</v>
      </c>
      <c r="G397" s="7"/>
      <c r="H397" s="7"/>
      <c r="I397" s="7"/>
      <c r="J397" s="7"/>
      <c r="K397" s="7">
        <v>44000000</v>
      </c>
      <c r="L397" s="134">
        <f t="shared" si="41"/>
        <v>0.97718847570187073</v>
      </c>
      <c r="M397" s="7" t="str">
        <f t="shared" si="37"/>
        <v>C</v>
      </c>
      <c r="N397" s="7">
        <f t="shared" si="38"/>
        <v>0.2</v>
      </c>
      <c r="O397" s="7" t="str">
        <f t="shared" si="39"/>
        <v>X</v>
      </c>
      <c r="P397" s="7" t="str">
        <f t="shared" si="40"/>
        <v>CX</v>
      </c>
      <c r="S397" s="6" t="s">
        <v>648</v>
      </c>
      <c r="T397" s="25">
        <v>1</v>
      </c>
      <c r="U397" s="7" t="str">
        <v>CZ</v>
      </c>
      <c r="Y397" t="e">
        <v>#N/A</v>
      </c>
      <c r="Z397" s="104"/>
    </row>
    <row r="398" spans="1:26">
      <c r="A398" s="133" t="s">
        <v>649</v>
      </c>
      <c r="B398" s="7">
        <v>43895000</v>
      </c>
      <c r="C398" s="7"/>
      <c r="D398" s="7"/>
      <c r="E398" s="7"/>
      <c r="F398" s="7"/>
      <c r="G398" s="7"/>
      <c r="H398" s="7"/>
      <c r="I398" s="7"/>
      <c r="J398" s="7"/>
      <c r="K398" s="7">
        <v>43895000</v>
      </c>
      <c r="L398" s="134">
        <f t="shared" si="41"/>
        <v>0.97733441328747295</v>
      </c>
      <c r="M398" s="7" t="str">
        <f t="shared" si="37"/>
        <v>C</v>
      </c>
      <c r="N398" s="7">
        <f t="shared" si="38"/>
        <v>0</v>
      </c>
      <c r="O398" s="7" t="str">
        <f t="shared" si="39"/>
        <v>Z</v>
      </c>
      <c r="P398" s="7" t="str">
        <f t="shared" si="40"/>
        <v>CZ</v>
      </c>
      <c r="S398" s="6" t="s">
        <v>493</v>
      </c>
      <c r="T398" s="25">
        <v>4</v>
      </c>
      <c r="U398" s="7" t="str">
        <v>BZ</v>
      </c>
      <c r="Y398" t="e">
        <v>#N/A</v>
      </c>
      <c r="Z398" s="104"/>
    </row>
    <row r="399" spans="1:26">
      <c r="A399" s="133" t="s">
        <v>650</v>
      </c>
      <c r="B399" s="7"/>
      <c r="C399" s="7"/>
      <c r="D399" s="7"/>
      <c r="E399" s="7"/>
      <c r="F399" s="7">
        <v>43793210.399999999</v>
      </c>
      <c r="G399" s="7"/>
      <c r="H399" s="7"/>
      <c r="I399" s="7"/>
      <c r="J399" s="7"/>
      <c r="K399" s="7">
        <v>43793210.399999999</v>
      </c>
      <c r="L399" s="134">
        <f t="shared" si="41"/>
        <v>0.97748001245347238</v>
      </c>
      <c r="M399" s="7" t="str">
        <f t="shared" si="37"/>
        <v>C</v>
      </c>
      <c r="N399" s="7">
        <f t="shared" si="38"/>
        <v>0</v>
      </c>
      <c r="O399" s="7" t="str">
        <f t="shared" si="39"/>
        <v>Z</v>
      </c>
      <c r="P399" s="7" t="str">
        <f t="shared" si="40"/>
        <v>CZ</v>
      </c>
      <c r="S399" s="6" t="s">
        <v>494</v>
      </c>
      <c r="T399" s="25">
        <v>4</v>
      </c>
      <c r="U399" s="7" t="str">
        <v>BZ</v>
      </c>
      <c r="Y399" t="e">
        <v>#N/A</v>
      </c>
      <c r="Z399" s="104"/>
    </row>
    <row r="400" spans="1:26">
      <c r="A400" s="133" t="s">
        <v>202</v>
      </c>
      <c r="B400" s="7">
        <v>10000000</v>
      </c>
      <c r="C400" s="7">
        <v>1991000</v>
      </c>
      <c r="D400" s="7">
        <v>1780000</v>
      </c>
      <c r="E400" s="7">
        <v>2352000</v>
      </c>
      <c r="F400" s="7">
        <v>5097600</v>
      </c>
      <c r="G400" s="7">
        <v>5940000</v>
      </c>
      <c r="H400" s="7">
        <v>3288000</v>
      </c>
      <c r="I400" s="7">
        <v>9468000</v>
      </c>
      <c r="J400" s="7">
        <v>3601000</v>
      </c>
      <c r="K400" s="7">
        <v>43517600</v>
      </c>
      <c r="L400" s="134">
        <f t="shared" si="41"/>
        <v>0.97762469529833407</v>
      </c>
      <c r="M400" s="7" t="str">
        <f t="shared" si="37"/>
        <v>C</v>
      </c>
      <c r="N400" s="7">
        <f t="shared" si="38"/>
        <v>0.60466790923921743</v>
      </c>
      <c r="O400" s="7" t="str">
        <f t="shared" si="39"/>
        <v>Z</v>
      </c>
      <c r="P400" s="7" t="str">
        <f t="shared" si="40"/>
        <v>CZ</v>
      </c>
      <c r="S400" s="6" t="s">
        <v>651</v>
      </c>
      <c r="T400" s="25">
        <v>1</v>
      </c>
      <c r="U400" s="7" t="str">
        <v>CZ</v>
      </c>
      <c r="Y400" t="e">
        <v>#N/A</v>
      </c>
      <c r="Z400" s="104"/>
    </row>
    <row r="401" spans="1:26">
      <c r="A401" s="133" t="s">
        <v>652</v>
      </c>
      <c r="B401" s="7"/>
      <c r="C401" s="7"/>
      <c r="D401" s="7"/>
      <c r="E401" s="7"/>
      <c r="F401" s="7"/>
      <c r="G401" s="7"/>
      <c r="H401" s="7"/>
      <c r="I401" s="7"/>
      <c r="J401" s="7">
        <v>42750000</v>
      </c>
      <c r="K401" s="7">
        <v>42750000</v>
      </c>
      <c r="L401" s="134">
        <f t="shared" si="41"/>
        <v>0.97776682610558996</v>
      </c>
      <c r="M401" s="7" t="str">
        <f t="shared" si="37"/>
        <v>C</v>
      </c>
      <c r="N401" s="7">
        <f t="shared" si="38"/>
        <v>0</v>
      </c>
      <c r="O401" s="7" t="str">
        <f t="shared" si="39"/>
        <v>Z</v>
      </c>
      <c r="P401" s="7" t="str">
        <f t="shared" si="40"/>
        <v>CZ</v>
      </c>
      <c r="S401" s="6" t="s">
        <v>653</v>
      </c>
      <c r="T401" s="25">
        <v>1</v>
      </c>
      <c r="U401" s="7" t="str">
        <v>CZ</v>
      </c>
      <c r="Y401" t="e">
        <v>#N/A</v>
      </c>
      <c r="Z401" s="104"/>
    </row>
    <row r="402" spans="1:26">
      <c r="A402" s="133" t="s">
        <v>330</v>
      </c>
      <c r="B402" s="7"/>
      <c r="C402" s="7"/>
      <c r="D402" s="7"/>
      <c r="E402" s="7">
        <v>17044000</v>
      </c>
      <c r="F402" s="7"/>
      <c r="G402" s="7">
        <v>17044000</v>
      </c>
      <c r="H402" s="7"/>
      <c r="I402" s="7">
        <v>8522000</v>
      </c>
      <c r="J402" s="7"/>
      <c r="K402" s="7">
        <v>42610000</v>
      </c>
      <c r="L402" s="134">
        <f t="shared" si="41"/>
        <v>0.9779084914552314</v>
      </c>
      <c r="M402" s="7" t="str">
        <f t="shared" si="37"/>
        <v>C</v>
      </c>
      <c r="N402" s="7">
        <f t="shared" si="38"/>
        <v>0.28284271247461901</v>
      </c>
      <c r="O402" s="7" t="str">
        <f t="shared" si="39"/>
        <v>X</v>
      </c>
      <c r="P402" s="7" t="str">
        <f t="shared" si="40"/>
        <v>CX</v>
      </c>
      <c r="S402" s="6" t="s">
        <v>654</v>
      </c>
      <c r="T402" s="25">
        <v>2</v>
      </c>
      <c r="U402" s="7" t="str">
        <v>CZ</v>
      </c>
      <c r="Y402" t="e">
        <v>#N/A</v>
      </c>
      <c r="Z402" s="104"/>
    </row>
    <row r="403" spans="1:26">
      <c r="A403" s="133" t="s">
        <v>343</v>
      </c>
      <c r="B403" s="7"/>
      <c r="C403" s="7"/>
      <c r="D403" s="7">
        <v>4484000</v>
      </c>
      <c r="E403" s="7"/>
      <c r="F403" s="7"/>
      <c r="G403" s="7">
        <v>4484000</v>
      </c>
      <c r="H403" s="7">
        <v>8968000</v>
      </c>
      <c r="I403" s="7"/>
      <c r="J403" s="7">
        <v>24662000</v>
      </c>
      <c r="K403" s="7">
        <v>42598000</v>
      </c>
      <c r="L403" s="134">
        <f t="shared" si="41"/>
        <v>0.97805011690850585</v>
      </c>
      <c r="M403" s="7" t="str">
        <f t="shared" si="37"/>
        <v>C</v>
      </c>
      <c r="N403" s="7">
        <f t="shared" si="38"/>
        <v>0.77887624141835488</v>
      </c>
      <c r="O403" s="7" t="str">
        <f t="shared" si="39"/>
        <v>Z</v>
      </c>
      <c r="P403" s="7" t="str">
        <f t="shared" si="40"/>
        <v>CZ</v>
      </c>
      <c r="S403" s="6" t="s">
        <v>654</v>
      </c>
      <c r="T403" s="25">
        <v>2</v>
      </c>
      <c r="U403" s="7" t="str">
        <v>CZ</v>
      </c>
      <c r="Y403" t="e">
        <v>#N/A</v>
      </c>
      <c r="Z403" s="104"/>
    </row>
    <row r="404" spans="1:26">
      <c r="A404" s="133" t="s">
        <v>436</v>
      </c>
      <c r="B404" s="7"/>
      <c r="C404" s="7"/>
      <c r="D404" s="7"/>
      <c r="E404" s="7">
        <v>8500000</v>
      </c>
      <c r="F404" s="7">
        <v>34000000</v>
      </c>
      <c r="G404" s="7"/>
      <c r="H404" s="7"/>
      <c r="I404" s="7"/>
      <c r="J404" s="7"/>
      <c r="K404" s="7">
        <v>42500000</v>
      </c>
      <c r="L404" s="134">
        <f t="shared" si="41"/>
        <v>0.97819141654145025</v>
      </c>
      <c r="M404" s="7" t="str">
        <f t="shared" si="37"/>
        <v>C</v>
      </c>
      <c r="N404" s="7">
        <f t="shared" si="38"/>
        <v>0.6</v>
      </c>
      <c r="O404" s="7" t="str">
        <f t="shared" si="39"/>
        <v>Y</v>
      </c>
      <c r="P404" s="7" t="str">
        <f t="shared" si="40"/>
        <v>CY</v>
      </c>
      <c r="S404" s="6" t="s">
        <v>655</v>
      </c>
      <c r="T404" s="25">
        <v>2</v>
      </c>
      <c r="U404" s="7" t="str">
        <v>CX</v>
      </c>
      <c r="Y404" t="e">
        <v>#N/A</v>
      </c>
      <c r="Z404" s="104"/>
    </row>
    <row r="405" spans="1:26">
      <c r="A405" s="133" t="s">
        <v>656</v>
      </c>
      <c r="B405" s="7"/>
      <c r="C405" s="7"/>
      <c r="D405" s="7"/>
      <c r="E405" s="7"/>
      <c r="F405" s="7"/>
      <c r="G405" s="7"/>
      <c r="H405" s="7"/>
      <c r="I405" s="7">
        <v>42400000</v>
      </c>
      <c r="J405" s="7"/>
      <c r="K405" s="7">
        <v>42400000</v>
      </c>
      <c r="L405" s="134">
        <f t="shared" si="41"/>
        <v>0.97833238370467013</v>
      </c>
      <c r="M405" s="7" t="str">
        <f t="shared" si="37"/>
        <v>C</v>
      </c>
      <c r="N405" s="7">
        <f t="shared" si="38"/>
        <v>0</v>
      </c>
      <c r="O405" s="7" t="str">
        <f t="shared" si="39"/>
        <v>Z</v>
      </c>
      <c r="P405" s="7" t="str">
        <f t="shared" si="40"/>
        <v>CZ</v>
      </c>
      <c r="S405" s="6" t="s">
        <v>655</v>
      </c>
      <c r="T405" s="25">
        <v>1</v>
      </c>
      <c r="U405" s="7" t="str">
        <v>CX</v>
      </c>
      <c r="Y405" t="e">
        <v>#N/A</v>
      </c>
      <c r="Z405" s="104"/>
    </row>
    <row r="406" spans="1:26">
      <c r="A406" s="133" t="s">
        <v>657</v>
      </c>
      <c r="B406" s="7"/>
      <c r="C406" s="7">
        <v>10800000</v>
      </c>
      <c r="D406" s="7"/>
      <c r="E406" s="7">
        <v>12600000</v>
      </c>
      <c r="F406" s="7"/>
      <c r="G406" s="7">
        <v>18900000</v>
      </c>
      <c r="H406" s="7"/>
      <c r="I406" s="7"/>
      <c r="J406" s="7"/>
      <c r="K406" s="7">
        <v>42300000</v>
      </c>
      <c r="L406" s="134">
        <f t="shared" si="41"/>
        <v>0.97847301839816536</v>
      </c>
      <c r="M406" s="7" t="str">
        <f t="shared" si="37"/>
        <v>C</v>
      </c>
      <c r="N406" s="7">
        <f t="shared" si="38"/>
        <v>0.24629440218702606</v>
      </c>
      <c r="O406" s="7" t="str">
        <f t="shared" si="39"/>
        <v>X</v>
      </c>
      <c r="P406" s="7" t="str">
        <f t="shared" si="40"/>
        <v>CX</v>
      </c>
      <c r="S406" s="6" t="s">
        <v>350</v>
      </c>
      <c r="T406" s="25">
        <v>1</v>
      </c>
      <c r="U406" s="7" t="str">
        <v>BZ</v>
      </c>
      <c r="Y406" t="e">
        <v>#N/A</v>
      </c>
      <c r="Z406" s="104"/>
    </row>
    <row r="407" spans="1:26">
      <c r="A407" s="133" t="s">
        <v>623</v>
      </c>
      <c r="B407" s="7"/>
      <c r="C407" s="7"/>
      <c r="D407" s="7"/>
      <c r="E407" s="7"/>
      <c r="F407" s="7"/>
      <c r="G407" s="7"/>
      <c r="H407" s="7">
        <v>41700000</v>
      </c>
      <c r="I407" s="7"/>
      <c r="J407" s="7"/>
      <c r="K407" s="7">
        <v>41700000</v>
      </c>
      <c r="L407" s="134">
        <f t="shared" si="41"/>
        <v>0.9786116582733132</v>
      </c>
      <c r="M407" s="7" t="str">
        <f t="shared" si="37"/>
        <v>C</v>
      </c>
      <c r="N407" s="7">
        <f t="shared" si="38"/>
        <v>0</v>
      </c>
      <c r="O407" s="7" t="str">
        <f t="shared" si="39"/>
        <v>Z</v>
      </c>
      <c r="P407" s="7" t="str">
        <f t="shared" si="40"/>
        <v>CZ</v>
      </c>
      <c r="S407" s="6" t="s">
        <v>350</v>
      </c>
      <c r="T407" s="25">
        <v>8</v>
      </c>
      <c r="U407" s="7" t="str">
        <v>BZ</v>
      </c>
      <c r="Y407" t="e">
        <v>#N/A</v>
      </c>
      <c r="Z407" s="104"/>
    </row>
    <row r="408" spans="1:26">
      <c r="A408" s="133" t="s">
        <v>624</v>
      </c>
      <c r="B408" s="7"/>
      <c r="C408" s="7"/>
      <c r="D408" s="7"/>
      <c r="E408" s="7"/>
      <c r="F408" s="7"/>
      <c r="G408" s="7"/>
      <c r="H408" s="7">
        <v>41700000</v>
      </c>
      <c r="I408" s="7"/>
      <c r="J408" s="7"/>
      <c r="K408" s="7">
        <v>41700000</v>
      </c>
      <c r="L408" s="134">
        <f t="shared" si="41"/>
        <v>0.97875029814846104</v>
      </c>
      <c r="M408" s="7" t="str">
        <f t="shared" si="37"/>
        <v>C</v>
      </c>
      <c r="N408" s="7">
        <f t="shared" si="38"/>
        <v>0</v>
      </c>
      <c r="O408" s="7" t="str">
        <f t="shared" si="39"/>
        <v>Z</v>
      </c>
      <c r="P408" s="7" t="str">
        <f t="shared" si="40"/>
        <v>CZ</v>
      </c>
      <c r="S408" s="6" t="s">
        <v>547</v>
      </c>
      <c r="T408" s="25">
        <v>4</v>
      </c>
      <c r="U408" s="7" t="str">
        <v>CZ</v>
      </c>
      <c r="Y408" t="e">
        <v>#N/A</v>
      </c>
      <c r="Z408" s="104"/>
    </row>
    <row r="409" spans="1:26">
      <c r="A409" s="133" t="s">
        <v>658</v>
      </c>
      <c r="B409" s="7"/>
      <c r="C409" s="7"/>
      <c r="D409" s="7"/>
      <c r="E409" s="7"/>
      <c r="F409" s="7"/>
      <c r="G409" s="7">
        <v>41310000</v>
      </c>
      <c r="H409" s="7"/>
      <c r="I409" s="7"/>
      <c r="J409" s="7"/>
      <c r="K409" s="7">
        <v>41310000</v>
      </c>
      <c r="L409" s="134">
        <f t="shared" si="41"/>
        <v>0.97888764139168305</v>
      </c>
      <c r="M409" s="7" t="str">
        <f t="shared" si="37"/>
        <v>C</v>
      </c>
      <c r="N409" s="7">
        <f t="shared" si="38"/>
        <v>0</v>
      </c>
      <c r="O409" s="7" t="str">
        <f t="shared" si="39"/>
        <v>Z</v>
      </c>
      <c r="P409" s="7" t="str">
        <f t="shared" si="40"/>
        <v>CZ</v>
      </c>
      <c r="S409" s="6" t="s">
        <v>304</v>
      </c>
      <c r="T409" s="25">
        <v>1</v>
      </c>
      <c r="U409" s="7" t="str">
        <v>BZ</v>
      </c>
      <c r="Y409" t="e">
        <v>#N/A</v>
      </c>
      <c r="Z409" s="104"/>
    </row>
    <row r="410" spans="1:26">
      <c r="A410" s="133" t="s">
        <v>659</v>
      </c>
      <c r="B410" s="7"/>
      <c r="C410" s="7"/>
      <c r="D410" s="7"/>
      <c r="E410" s="7"/>
      <c r="F410" s="7"/>
      <c r="G410" s="7"/>
      <c r="H410" s="7"/>
      <c r="I410" s="7"/>
      <c r="J410" s="7">
        <v>41250000</v>
      </c>
      <c r="K410" s="7">
        <v>41250000</v>
      </c>
      <c r="L410" s="134">
        <f t="shared" si="41"/>
        <v>0.97902478515307023</v>
      </c>
      <c r="M410" s="7" t="str">
        <f t="shared" si="37"/>
        <v>C</v>
      </c>
      <c r="N410" s="7">
        <f t="shared" si="38"/>
        <v>0</v>
      </c>
      <c r="O410" s="7" t="str">
        <f t="shared" si="39"/>
        <v>Z</v>
      </c>
      <c r="P410" s="7" t="str">
        <f t="shared" si="40"/>
        <v>CZ</v>
      </c>
      <c r="S410" s="6" t="s">
        <v>660</v>
      </c>
      <c r="T410" s="25">
        <v>1</v>
      </c>
      <c r="U410" s="7" t="str">
        <v>CZ</v>
      </c>
      <c r="Y410" t="e">
        <v>#N/A</v>
      </c>
      <c r="Z410" s="104"/>
    </row>
    <row r="411" spans="1:26">
      <c r="A411" s="133" t="s">
        <v>661</v>
      </c>
      <c r="B411" s="7">
        <v>28800000</v>
      </c>
      <c r="C411" s="7">
        <v>12200000</v>
      </c>
      <c r="D411" s="7"/>
      <c r="E411" s="7"/>
      <c r="F411" s="7"/>
      <c r="G411" s="7"/>
      <c r="H411" s="7"/>
      <c r="I411" s="7"/>
      <c r="J411" s="7"/>
      <c r="K411" s="7">
        <v>41000000</v>
      </c>
      <c r="L411" s="134">
        <f t="shared" si="41"/>
        <v>0.97916109774014604</v>
      </c>
      <c r="M411" s="7" t="str">
        <f t="shared" si="37"/>
        <v>C</v>
      </c>
      <c r="N411" s="7">
        <f t="shared" si="38"/>
        <v>0.40487804878048783</v>
      </c>
      <c r="O411" s="7" t="str">
        <f t="shared" si="39"/>
        <v>Y</v>
      </c>
      <c r="P411" s="7" t="str">
        <f t="shared" si="40"/>
        <v>CY</v>
      </c>
      <c r="S411" s="6" t="s">
        <v>662</v>
      </c>
      <c r="T411" s="25">
        <v>1</v>
      </c>
      <c r="U411" s="7" t="str">
        <v>CZ</v>
      </c>
      <c r="Y411" t="e">
        <v>#N/A</v>
      </c>
      <c r="Z411" s="104"/>
    </row>
    <row r="412" spans="1:26">
      <c r="A412" s="133" t="s">
        <v>663</v>
      </c>
      <c r="B412" s="7"/>
      <c r="C412" s="7"/>
      <c r="D412" s="7"/>
      <c r="E412" s="7"/>
      <c r="F412" s="7"/>
      <c r="G412" s="7"/>
      <c r="H412" s="7"/>
      <c r="I412" s="7"/>
      <c r="J412" s="7">
        <v>40806000</v>
      </c>
      <c r="K412" s="7">
        <v>40806000</v>
      </c>
      <c r="L412" s="134">
        <f t="shared" si="41"/>
        <v>0.97929676533595611</v>
      </c>
      <c r="M412" s="7" t="str">
        <f t="shared" si="37"/>
        <v>C</v>
      </c>
      <c r="N412" s="7">
        <f t="shared" si="38"/>
        <v>0</v>
      </c>
      <c r="O412" s="7" t="str">
        <f t="shared" si="39"/>
        <v>Z</v>
      </c>
      <c r="P412" s="7" t="str">
        <f t="shared" si="40"/>
        <v>CZ</v>
      </c>
      <c r="S412" s="6" t="s">
        <v>664</v>
      </c>
      <c r="T412" s="25">
        <v>1</v>
      </c>
      <c r="U412" s="7" t="str">
        <v>CZ</v>
      </c>
      <c r="Y412" t="e">
        <v>#N/A</v>
      </c>
      <c r="Z412" s="104"/>
    </row>
    <row r="413" spans="1:26">
      <c r="A413" s="133" t="s">
        <v>665</v>
      </c>
      <c r="B413" s="7"/>
      <c r="C413" s="7"/>
      <c r="D413" s="7"/>
      <c r="E413" s="7"/>
      <c r="F413" s="7"/>
      <c r="G413" s="7"/>
      <c r="H413" s="7">
        <v>10500</v>
      </c>
      <c r="I413" s="7"/>
      <c r="J413" s="7">
        <v>40530000</v>
      </c>
      <c r="K413" s="7">
        <v>40540500</v>
      </c>
      <c r="L413" s="134">
        <f t="shared" si="41"/>
        <v>0.97943155022464745</v>
      </c>
      <c r="M413" s="7" t="str">
        <f t="shared" si="37"/>
        <v>C</v>
      </c>
      <c r="N413" s="7">
        <f t="shared" si="38"/>
        <v>0.99948199948199945</v>
      </c>
      <c r="O413" s="7" t="str">
        <f t="shared" si="39"/>
        <v>Z</v>
      </c>
      <c r="P413" s="7" t="str">
        <f t="shared" si="40"/>
        <v>CZ</v>
      </c>
      <c r="S413" s="6" t="s">
        <v>666</v>
      </c>
      <c r="T413" s="25">
        <v>1</v>
      </c>
      <c r="U413" s="7" t="str">
        <v>CZ</v>
      </c>
      <c r="Y413" t="e">
        <v>#N/A</v>
      </c>
      <c r="Z413" s="104"/>
    </row>
    <row r="414" spans="1:26">
      <c r="A414" s="133" t="s">
        <v>388</v>
      </c>
      <c r="B414" s="7">
        <v>23040000</v>
      </c>
      <c r="C414" s="7">
        <v>17280000</v>
      </c>
      <c r="D414" s="7"/>
      <c r="E414" s="7"/>
      <c r="F414" s="7"/>
      <c r="G414" s="7"/>
      <c r="H414" s="7"/>
      <c r="I414" s="7"/>
      <c r="J414" s="7"/>
      <c r="K414" s="7">
        <v>40320000</v>
      </c>
      <c r="L414" s="134">
        <f t="shared" si="41"/>
        <v>0.97956560201759613</v>
      </c>
      <c r="M414" s="7" t="str">
        <f t="shared" si="37"/>
        <v>C</v>
      </c>
      <c r="N414" s="7">
        <f t="shared" si="38"/>
        <v>0.14285714285714285</v>
      </c>
      <c r="O414" s="7" t="str">
        <f t="shared" si="39"/>
        <v>X</v>
      </c>
      <c r="P414" s="7" t="str">
        <f t="shared" si="40"/>
        <v>CX</v>
      </c>
      <c r="S414" s="6" t="s">
        <v>538</v>
      </c>
      <c r="T414" s="25">
        <v>1</v>
      </c>
      <c r="U414" s="7" t="str">
        <v>BZ</v>
      </c>
      <c r="Y414" t="e">
        <v>#N/A</v>
      </c>
      <c r="Z414" s="104"/>
    </row>
    <row r="415" spans="1:26">
      <c r="A415" s="133" t="s">
        <v>667</v>
      </c>
      <c r="B415" s="7">
        <v>4000000</v>
      </c>
      <c r="C415" s="7"/>
      <c r="D415" s="7"/>
      <c r="E415" s="7">
        <v>16000000</v>
      </c>
      <c r="F415" s="7"/>
      <c r="G415" s="7">
        <v>8000000</v>
      </c>
      <c r="H415" s="7">
        <v>12000000</v>
      </c>
      <c r="I415" s="7"/>
      <c r="J415" s="7"/>
      <c r="K415" s="7">
        <v>40000000</v>
      </c>
      <c r="L415" s="134">
        <f t="shared" si="41"/>
        <v>0.9796985899074262</v>
      </c>
      <c r="M415" s="7" t="str">
        <f t="shared" si="37"/>
        <v>C</v>
      </c>
      <c r="N415" s="7">
        <f t="shared" si="38"/>
        <v>0.44721359549995793</v>
      </c>
      <c r="O415" s="7" t="str">
        <f t="shared" si="39"/>
        <v>Y</v>
      </c>
      <c r="P415" s="7" t="str">
        <f t="shared" si="40"/>
        <v>CY</v>
      </c>
      <c r="S415" s="6" t="s">
        <v>668</v>
      </c>
      <c r="T415" s="25">
        <v>1</v>
      </c>
      <c r="U415" s="7" t="str">
        <v>CZ</v>
      </c>
      <c r="Y415" t="e">
        <v>#N/A</v>
      </c>
      <c r="Z415" s="104"/>
    </row>
    <row r="416" spans="1:26">
      <c r="A416" s="133" t="s">
        <v>669</v>
      </c>
      <c r="B416" s="7"/>
      <c r="C416" s="7"/>
      <c r="D416" s="7"/>
      <c r="E416" s="7"/>
      <c r="F416" s="7"/>
      <c r="G416" s="7"/>
      <c r="H416" s="7">
        <v>40000000</v>
      </c>
      <c r="I416" s="7"/>
      <c r="J416" s="7"/>
      <c r="K416" s="7">
        <v>40000000</v>
      </c>
      <c r="L416" s="134">
        <f t="shared" si="41"/>
        <v>0.97983157779725627</v>
      </c>
      <c r="M416" s="7" t="str">
        <f t="shared" si="37"/>
        <v>C</v>
      </c>
      <c r="N416" s="7">
        <f t="shared" si="38"/>
        <v>0</v>
      </c>
      <c r="O416" s="7" t="str">
        <f t="shared" si="39"/>
        <v>Z</v>
      </c>
      <c r="P416" s="7" t="str">
        <f t="shared" si="40"/>
        <v>CZ</v>
      </c>
      <c r="S416" s="6" t="s">
        <v>320</v>
      </c>
      <c r="T416" s="25">
        <v>1</v>
      </c>
      <c r="U416" s="7" t="str">
        <v>BZ</v>
      </c>
      <c r="Y416" t="e">
        <v>#N/A</v>
      </c>
      <c r="Z416" s="104"/>
    </row>
    <row r="417" spans="1:26">
      <c r="A417" s="133" t="s">
        <v>670</v>
      </c>
      <c r="B417" s="7"/>
      <c r="C417" s="7"/>
      <c r="D417" s="7"/>
      <c r="E417" s="7">
        <v>9750000</v>
      </c>
      <c r="F417" s="7"/>
      <c r="G417" s="7">
        <v>30000000</v>
      </c>
      <c r="H417" s="7"/>
      <c r="I417" s="7"/>
      <c r="J417" s="7"/>
      <c r="K417" s="7">
        <v>39750000</v>
      </c>
      <c r="L417" s="134">
        <f t="shared" si="41"/>
        <v>0.97996373451277485</v>
      </c>
      <c r="M417" s="7" t="str">
        <f t="shared" si="37"/>
        <v>C</v>
      </c>
      <c r="N417" s="7">
        <f t="shared" si="38"/>
        <v>0.50943396226415094</v>
      </c>
      <c r="O417" s="7" t="str">
        <f t="shared" si="39"/>
        <v>Y</v>
      </c>
      <c r="P417" s="7" t="str">
        <f t="shared" si="40"/>
        <v>CY</v>
      </c>
      <c r="S417" s="6" t="s">
        <v>671</v>
      </c>
      <c r="T417" s="25">
        <v>1</v>
      </c>
      <c r="U417" s="7" t="str">
        <v>CZ</v>
      </c>
      <c r="Y417" t="e">
        <v>#N/A</v>
      </c>
      <c r="Z417" s="104"/>
    </row>
    <row r="418" spans="1:26">
      <c r="A418" s="133" t="s">
        <v>672</v>
      </c>
      <c r="B418" s="7"/>
      <c r="C418" s="7">
        <v>22440000</v>
      </c>
      <c r="D418" s="7">
        <v>17000000</v>
      </c>
      <c r="E418" s="7"/>
      <c r="F418" s="7"/>
      <c r="G418" s="7"/>
      <c r="H418" s="7"/>
      <c r="I418" s="7"/>
      <c r="J418" s="7"/>
      <c r="K418" s="7">
        <v>39440000</v>
      </c>
      <c r="L418" s="134">
        <f t="shared" si="41"/>
        <v>0.98009486057214723</v>
      </c>
      <c r="M418" s="7" t="str">
        <f t="shared" si="37"/>
        <v>C</v>
      </c>
      <c r="N418" s="7">
        <f t="shared" si="38"/>
        <v>0.13793103448275862</v>
      </c>
      <c r="O418" s="7" t="str">
        <f t="shared" si="39"/>
        <v>X</v>
      </c>
      <c r="P418" s="7" t="str">
        <f t="shared" si="40"/>
        <v>CX</v>
      </c>
      <c r="S418" s="6" t="s">
        <v>673</v>
      </c>
      <c r="T418" s="25">
        <v>1</v>
      </c>
      <c r="U418" s="7" t="str">
        <v>CZ</v>
      </c>
      <c r="Y418" t="e">
        <v>#N/A</v>
      </c>
      <c r="Z418" s="104"/>
    </row>
    <row r="419" spans="1:26">
      <c r="A419" s="133" t="s">
        <v>302</v>
      </c>
      <c r="B419" s="7"/>
      <c r="C419" s="7"/>
      <c r="D419" s="7"/>
      <c r="E419" s="7"/>
      <c r="F419" s="7">
        <v>3045000</v>
      </c>
      <c r="G419" s="7"/>
      <c r="H419" s="7"/>
      <c r="I419" s="7">
        <v>15477000</v>
      </c>
      <c r="J419" s="7">
        <v>20559000</v>
      </c>
      <c r="K419" s="7">
        <v>39081000</v>
      </c>
      <c r="L419" s="134">
        <f t="shared" si="41"/>
        <v>0.98022479306520838</v>
      </c>
      <c r="M419" s="7" t="str">
        <f t="shared" si="37"/>
        <v>C</v>
      </c>
      <c r="N419" s="7">
        <f t="shared" si="38"/>
        <v>0.56474578851864721</v>
      </c>
      <c r="O419" s="7" t="str">
        <f t="shared" si="39"/>
        <v>Y</v>
      </c>
      <c r="P419" s="7" t="str">
        <f t="shared" si="40"/>
        <v>CY</v>
      </c>
      <c r="S419" s="6" t="s">
        <v>674</v>
      </c>
      <c r="T419" s="25">
        <v>1</v>
      </c>
      <c r="U419" s="7" t="str">
        <v>CZ</v>
      </c>
      <c r="Y419" t="e">
        <v>#N/A</v>
      </c>
      <c r="Z419" s="104"/>
    </row>
    <row r="420" spans="1:26">
      <c r="A420" s="133" t="s">
        <v>675</v>
      </c>
      <c r="B420" s="7">
        <v>39000000</v>
      </c>
      <c r="C420" s="7"/>
      <c r="D420" s="7"/>
      <c r="E420" s="7"/>
      <c r="F420" s="7"/>
      <c r="G420" s="7"/>
      <c r="H420" s="7"/>
      <c r="I420" s="7"/>
      <c r="J420" s="7"/>
      <c r="K420" s="7">
        <v>39000000</v>
      </c>
      <c r="L420" s="134">
        <f t="shared" si="41"/>
        <v>0.98035445625779272</v>
      </c>
      <c r="M420" s="7" t="str">
        <f t="shared" si="37"/>
        <v>C</v>
      </c>
      <c r="N420" s="7">
        <f t="shared" si="38"/>
        <v>0</v>
      </c>
      <c r="O420" s="7" t="str">
        <f t="shared" si="39"/>
        <v>Z</v>
      </c>
      <c r="P420" s="7" t="str">
        <f t="shared" si="40"/>
        <v>CZ</v>
      </c>
      <c r="S420" s="6" t="s">
        <v>676</v>
      </c>
      <c r="T420" s="25">
        <v>1</v>
      </c>
      <c r="U420" s="7" t="str">
        <v>CZ</v>
      </c>
      <c r="Y420" t="e">
        <v>#N/A</v>
      </c>
      <c r="Z420" s="104"/>
    </row>
    <row r="421" spans="1:26">
      <c r="A421" s="133" t="s">
        <v>677</v>
      </c>
      <c r="B421" s="7"/>
      <c r="C421" s="7"/>
      <c r="D421" s="7"/>
      <c r="E421" s="7"/>
      <c r="F421" s="7">
        <v>39000000</v>
      </c>
      <c r="G421" s="7"/>
      <c r="H421" s="7"/>
      <c r="I421" s="7"/>
      <c r="J421" s="7"/>
      <c r="K421" s="7">
        <v>39000000</v>
      </c>
      <c r="L421" s="134">
        <f t="shared" si="41"/>
        <v>0.98048411945037706</v>
      </c>
      <c r="M421" s="7" t="str">
        <f t="shared" si="37"/>
        <v>C</v>
      </c>
      <c r="N421" s="7">
        <f t="shared" si="38"/>
        <v>0</v>
      </c>
      <c r="O421" s="7" t="str">
        <f t="shared" si="39"/>
        <v>Z</v>
      </c>
      <c r="P421" s="7" t="str">
        <f t="shared" si="40"/>
        <v>CZ</v>
      </c>
      <c r="S421" s="6" t="s">
        <v>503</v>
      </c>
      <c r="T421" s="25">
        <v>1</v>
      </c>
      <c r="U421" s="7" t="str">
        <v>BZ</v>
      </c>
      <c r="Y421" t="e">
        <v>#N/A</v>
      </c>
      <c r="Z421" s="104"/>
    </row>
    <row r="422" spans="1:26">
      <c r="A422" s="133" t="s">
        <v>426</v>
      </c>
      <c r="B422" s="7"/>
      <c r="C422" s="7">
        <v>32175000</v>
      </c>
      <c r="D422" s="7"/>
      <c r="E422" s="7"/>
      <c r="F422" s="7">
        <v>6435000</v>
      </c>
      <c r="G422" s="7"/>
      <c r="H422" s="7"/>
      <c r="I422" s="7"/>
      <c r="J422" s="7"/>
      <c r="K422" s="7">
        <v>38610000</v>
      </c>
      <c r="L422" s="134">
        <f t="shared" si="41"/>
        <v>0.98061248601103546</v>
      </c>
      <c r="M422" s="7" t="str">
        <f t="shared" si="37"/>
        <v>C</v>
      </c>
      <c r="N422" s="7">
        <f t="shared" si="38"/>
        <v>0.66666666666666663</v>
      </c>
      <c r="O422" s="7" t="str">
        <f t="shared" si="39"/>
        <v>Z</v>
      </c>
      <c r="P422" s="7" t="str">
        <f t="shared" si="40"/>
        <v>CZ</v>
      </c>
      <c r="S422" s="6" t="s">
        <v>678</v>
      </c>
      <c r="T422" s="25">
        <v>1</v>
      </c>
      <c r="U422" s="7" t="str">
        <v>CZ</v>
      </c>
      <c r="Y422" t="e">
        <v>#N/A</v>
      </c>
      <c r="Z422" s="104"/>
    </row>
    <row r="423" spans="1:26">
      <c r="A423" s="133" t="s">
        <v>339</v>
      </c>
      <c r="B423" s="7"/>
      <c r="C423" s="7"/>
      <c r="D423" s="7">
        <v>3507000</v>
      </c>
      <c r="E423" s="7"/>
      <c r="F423" s="7"/>
      <c r="G423" s="7"/>
      <c r="H423" s="7">
        <v>7014000</v>
      </c>
      <c r="I423" s="7">
        <v>7014000</v>
      </c>
      <c r="J423" s="7">
        <v>21042000</v>
      </c>
      <c r="K423" s="7">
        <v>38577000</v>
      </c>
      <c r="L423" s="134">
        <f t="shared" si="41"/>
        <v>0.98074074285668478</v>
      </c>
      <c r="M423" s="7" t="str">
        <f t="shared" si="37"/>
        <v>C</v>
      </c>
      <c r="N423" s="7">
        <f t="shared" si="38"/>
        <v>0.69828597707896434</v>
      </c>
      <c r="O423" s="7" t="str">
        <f t="shared" si="39"/>
        <v>Z</v>
      </c>
      <c r="P423" s="7" t="str">
        <f t="shared" si="40"/>
        <v>CZ</v>
      </c>
      <c r="S423" s="6" t="s">
        <v>678</v>
      </c>
      <c r="T423" s="25">
        <v>1</v>
      </c>
      <c r="U423" s="7" t="str">
        <v>CZ</v>
      </c>
      <c r="Y423" t="e">
        <v>#N/A</v>
      </c>
      <c r="Z423" s="104"/>
    </row>
    <row r="424" spans="1:26">
      <c r="A424" s="133" t="s">
        <v>679</v>
      </c>
      <c r="B424" s="7"/>
      <c r="C424" s="7">
        <v>38431576</v>
      </c>
      <c r="D424" s="7"/>
      <c r="E424" s="7"/>
      <c r="F424" s="7"/>
      <c r="G424" s="7"/>
      <c r="H424" s="7"/>
      <c r="I424" s="7"/>
      <c r="J424" s="7"/>
      <c r="K424" s="7">
        <v>38431576</v>
      </c>
      <c r="L424" s="134">
        <f t="shared" si="41"/>
        <v>0.98086851621156179</v>
      </c>
      <c r="M424" s="7" t="str">
        <f t="shared" si="37"/>
        <v>C</v>
      </c>
      <c r="N424" s="7">
        <f t="shared" si="38"/>
        <v>0</v>
      </c>
      <c r="O424" s="7" t="str">
        <f t="shared" si="39"/>
        <v>Z</v>
      </c>
      <c r="P424" s="7" t="str">
        <f t="shared" si="40"/>
        <v>CZ</v>
      </c>
      <c r="S424" s="6" t="s">
        <v>568</v>
      </c>
      <c r="T424" s="25">
        <v>1</v>
      </c>
      <c r="U424" s="7" t="str">
        <v>CZ</v>
      </c>
      <c r="Y424" t="e">
        <v>#N/A</v>
      </c>
      <c r="Z424" s="104"/>
    </row>
    <row r="425" spans="1:26">
      <c r="A425" s="133" t="s">
        <v>296</v>
      </c>
      <c r="B425" s="7">
        <v>19200000</v>
      </c>
      <c r="C425" s="7"/>
      <c r="D425" s="7"/>
      <c r="E425" s="7"/>
      <c r="F425" s="7"/>
      <c r="G425" s="7"/>
      <c r="H425" s="7"/>
      <c r="I425" s="7">
        <v>14400000</v>
      </c>
      <c r="J425" s="7">
        <v>4800000</v>
      </c>
      <c r="K425" s="7">
        <v>38400000</v>
      </c>
      <c r="L425" s="134">
        <f t="shared" si="41"/>
        <v>0.98099618458579863</v>
      </c>
      <c r="M425" s="7" t="str">
        <f t="shared" si="37"/>
        <v>C</v>
      </c>
      <c r="N425" s="7">
        <f t="shared" si="38"/>
        <v>0.46770717334674261</v>
      </c>
      <c r="O425" s="7" t="str">
        <f t="shared" si="39"/>
        <v>Y</v>
      </c>
      <c r="P425" s="7" t="str">
        <f t="shared" si="40"/>
        <v>CY</v>
      </c>
      <c r="S425" s="6" t="s">
        <v>568</v>
      </c>
      <c r="T425" s="25">
        <v>1</v>
      </c>
      <c r="U425" s="7" t="str">
        <v>CZ</v>
      </c>
      <c r="Y425" t="e">
        <v>#N/A</v>
      </c>
      <c r="Z425" s="104"/>
    </row>
    <row r="426" spans="1:26">
      <c r="A426" s="133" t="s">
        <v>680</v>
      </c>
      <c r="B426" s="7"/>
      <c r="C426" s="7"/>
      <c r="D426" s="7"/>
      <c r="E426" s="7">
        <v>38250000</v>
      </c>
      <c r="F426" s="7"/>
      <c r="G426" s="7"/>
      <c r="H426" s="7"/>
      <c r="I426" s="7"/>
      <c r="J426" s="7"/>
      <c r="K426" s="7">
        <v>38250000</v>
      </c>
      <c r="L426" s="134">
        <f t="shared" si="41"/>
        <v>0.98112335425544861</v>
      </c>
      <c r="M426" s="7" t="str">
        <f t="shared" si="37"/>
        <v>C</v>
      </c>
      <c r="N426" s="7">
        <f t="shared" si="38"/>
        <v>0</v>
      </c>
      <c r="O426" s="7" t="str">
        <f t="shared" si="39"/>
        <v>Z</v>
      </c>
      <c r="P426" s="7" t="str">
        <f t="shared" si="40"/>
        <v>CZ</v>
      </c>
      <c r="S426" s="6" t="s">
        <v>577</v>
      </c>
      <c r="T426" s="25">
        <v>1</v>
      </c>
      <c r="U426" s="7" t="str">
        <v>CZ</v>
      </c>
      <c r="Y426" t="e">
        <v>#N/A</v>
      </c>
      <c r="Z426" s="104"/>
    </row>
    <row r="427" spans="1:26">
      <c r="A427" s="133" t="s">
        <v>681</v>
      </c>
      <c r="B427" s="7"/>
      <c r="C427" s="7"/>
      <c r="D427" s="7"/>
      <c r="E427" s="7"/>
      <c r="F427" s="7"/>
      <c r="G427" s="7"/>
      <c r="H427" s="7"/>
      <c r="I427" s="7">
        <v>38100000</v>
      </c>
      <c r="J427" s="7"/>
      <c r="K427" s="7">
        <v>38100000</v>
      </c>
      <c r="L427" s="134">
        <f t="shared" si="41"/>
        <v>0.98125002522051175</v>
      </c>
      <c r="M427" s="7" t="str">
        <f t="shared" si="37"/>
        <v>C</v>
      </c>
      <c r="N427" s="7">
        <f t="shared" si="38"/>
        <v>0</v>
      </c>
      <c r="O427" s="7" t="str">
        <f t="shared" si="39"/>
        <v>Z</v>
      </c>
      <c r="P427" s="7" t="str">
        <f t="shared" si="40"/>
        <v>CZ</v>
      </c>
      <c r="S427" s="6" t="s">
        <v>577</v>
      </c>
      <c r="T427" s="25">
        <v>1</v>
      </c>
      <c r="U427" s="7" t="str">
        <v>CZ</v>
      </c>
      <c r="Y427" t="e">
        <v>#N/A</v>
      </c>
      <c r="Z427" s="104"/>
    </row>
    <row r="428" spans="1:26">
      <c r="A428" s="133" t="s">
        <v>682</v>
      </c>
      <c r="B428" s="7"/>
      <c r="C428" s="7">
        <v>38100000</v>
      </c>
      <c r="D428" s="7"/>
      <c r="E428" s="7"/>
      <c r="F428" s="7"/>
      <c r="G428" s="7"/>
      <c r="H428" s="7"/>
      <c r="I428" s="7"/>
      <c r="J428" s="7"/>
      <c r="K428" s="7">
        <v>38100000</v>
      </c>
      <c r="L428" s="134">
        <f t="shared" si="41"/>
        <v>0.98137669618557488</v>
      </c>
      <c r="M428" s="7" t="str">
        <f t="shared" si="37"/>
        <v>C</v>
      </c>
      <c r="N428" s="7">
        <f t="shared" si="38"/>
        <v>0</v>
      </c>
      <c r="O428" s="7" t="str">
        <f t="shared" si="39"/>
        <v>Z</v>
      </c>
      <c r="P428" s="7" t="str">
        <f t="shared" si="40"/>
        <v>CZ</v>
      </c>
      <c r="S428" s="6" t="s">
        <v>683</v>
      </c>
      <c r="T428" s="25">
        <v>1</v>
      </c>
      <c r="U428" s="7" t="str">
        <v>CZ</v>
      </c>
      <c r="Y428" t="e">
        <v>#N/A</v>
      </c>
      <c r="Z428" s="104"/>
    </row>
    <row r="429" spans="1:26">
      <c r="A429" s="133" t="s">
        <v>271</v>
      </c>
      <c r="B429" s="7"/>
      <c r="C429" s="7"/>
      <c r="D429" s="7">
        <v>9070000</v>
      </c>
      <c r="E429" s="7"/>
      <c r="F429" s="7"/>
      <c r="G429" s="7">
        <v>10884000</v>
      </c>
      <c r="H429" s="7">
        <v>9070000</v>
      </c>
      <c r="I429" s="7"/>
      <c r="J429" s="7">
        <v>9070000</v>
      </c>
      <c r="K429" s="7">
        <v>38094000</v>
      </c>
      <c r="L429" s="134">
        <f t="shared" si="41"/>
        <v>0.98150334720245447</v>
      </c>
      <c r="M429" s="7" t="str">
        <f t="shared" si="37"/>
        <v>C</v>
      </c>
      <c r="N429" s="7">
        <f t="shared" si="38"/>
        <v>8.2478609884232251E-2</v>
      </c>
      <c r="O429" s="7" t="str">
        <f t="shared" si="39"/>
        <v>X</v>
      </c>
      <c r="P429" s="7" t="str">
        <f t="shared" si="40"/>
        <v>CX</v>
      </c>
      <c r="S429" s="6" t="s">
        <v>683</v>
      </c>
      <c r="T429" s="25">
        <v>1</v>
      </c>
      <c r="U429" s="7" t="str">
        <v>CZ</v>
      </c>
      <c r="Y429" t="e">
        <v>#N/A</v>
      </c>
      <c r="Z429" s="104"/>
    </row>
    <row r="430" spans="1:26">
      <c r="A430" s="133" t="s">
        <v>411</v>
      </c>
      <c r="B430" s="7"/>
      <c r="C430" s="7">
        <v>38000000</v>
      </c>
      <c r="D430" s="7"/>
      <c r="E430" s="7"/>
      <c r="F430" s="7"/>
      <c r="G430" s="7"/>
      <c r="H430" s="7"/>
      <c r="I430" s="7"/>
      <c r="J430" s="7"/>
      <c r="K430" s="7">
        <v>38000000</v>
      </c>
      <c r="L430" s="134">
        <f t="shared" si="41"/>
        <v>0.98162968569779296</v>
      </c>
      <c r="M430" s="7" t="str">
        <f t="shared" si="37"/>
        <v>C</v>
      </c>
      <c r="N430" s="7">
        <f t="shared" si="38"/>
        <v>0</v>
      </c>
      <c r="O430" s="7" t="str">
        <f t="shared" si="39"/>
        <v>Z</v>
      </c>
      <c r="P430" s="7" t="str">
        <f t="shared" si="40"/>
        <v>CZ</v>
      </c>
      <c r="S430" s="6" t="s">
        <v>665</v>
      </c>
      <c r="T430" s="25">
        <v>1</v>
      </c>
      <c r="U430" s="7" t="str">
        <v>CZ</v>
      </c>
      <c r="Y430" t="e">
        <v>#N/A</v>
      </c>
      <c r="Z430" s="104"/>
    </row>
    <row r="431" spans="1:26">
      <c r="A431" s="133" t="s">
        <v>684</v>
      </c>
      <c r="B431" s="7"/>
      <c r="C431" s="7"/>
      <c r="D431" s="7"/>
      <c r="E431" s="7">
        <v>38000000</v>
      </c>
      <c r="F431" s="7"/>
      <c r="G431" s="7"/>
      <c r="H431" s="7"/>
      <c r="I431" s="7"/>
      <c r="J431" s="7"/>
      <c r="K431" s="7">
        <v>38000000</v>
      </c>
      <c r="L431" s="134">
        <f t="shared" si="41"/>
        <v>0.98175602419313146</v>
      </c>
      <c r="M431" s="7" t="str">
        <f t="shared" si="37"/>
        <v>C</v>
      </c>
      <c r="N431" s="7">
        <f t="shared" si="38"/>
        <v>0</v>
      </c>
      <c r="O431" s="7" t="str">
        <f t="shared" si="39"/>
        <v>Z</v>
      </c>
      <c r="P431" s="7" t="str">
        <f t="shared" si="40"/>
        <v>CZ</v>
      </c>
      <c r="S431" s="6" t="s">
        <v>665</v>
      </c>
      <c r="T431" s="25">
        <v>1</v>
      </c>
      <c r="U431" s="7" t="str">
        <v>CZ</v>
      </c>
      <c r="Y431" t="e">
        <v>#N/A</v>
      </c>
      <c r="Z431" s="104"/>
    </row>
    <row r="432" spans="1:26">
      <c r="A432" s="133" t="s">
        <v>512</v>
      </c>
      <c r="B432" s="7"/>
      <c r="C432" s="7"/>
      <c r="D432" s="7"/>
      <c r="E432" s="7"/>
      <c r="F432" s="7"/>
      <c r="G432" s="7">
        <v>7560000</v>
      </c>
      <c r="H432" s="7">
        <v>7560000</v>
      </c>
      <c r="I432" s="7"/>
      <c r="J432" s="7">
        <v>22680000</v>
      </c>
      <c r="K432" s="7">
        <v>37800000</v>
      </c>
      <c r="L432" s="134">
        <f t="shared" si="41"/>
        <v>0.9818816977490209</v>
      </c>
      <c r="M432" s="7" t="str">
        <f t="shared" si="37"/>
        <v>C</v>
      </c>
      <c r="N432" s="7">
        <f t="shared" si="38"/>
        <v>0.56568542494923801</v>
      </c>
      <c r="O432" s="7" t="str">
        <f t="shared" si="39"/>
        <v>Y</v>
      </c>
      <c r="P432" s="7" t="str">
        <f t="shared" si="40"/>
        <v>CY</v>
      </c>
      <c r="S432" s="6" t="s">
        <v>685</v>
      </c>
      <c r="T432" s="25">
        <v>1</v>
      </c>
      <c r="U432" s="7" t="str">
        <v>CZ</v>
      </c>
      <c r="Y432" t="e">
        <v>#N/A</v>
      </c>
      <c r="Z432" s="104"/>
    </row>
    <row r="433" spans="1:26">
      <c r="A433" s="133" t="s">
        <v>86</v>
      </c>
      <c r="B433" s="7"/>
      <c r="C433" s="7"/>
      <c r="D433" s="7"/>
      <c r="E433" s="7"/>
      <c r="F433" s="7"/>
      <c r="G433" s="7"/>
      <c r="H433" s="7"/>
      <c r="I433" s="7"/>
      <c r="J433" s="7">
        <v>37772750</v>
      </c>
      <c r="K433" s="7">
        <v>37772750</v>
      </c>
      <c r="L433" s="134">
        <f t="shared" si="41"/>
        <v>0.98200728070691035</v>
      </c>
      <c r="M433" s="7" t="str">
        <f t="shared" si="37"/>
        <v>C</v>
      </c>
      <c r="N433" s="7">
        <f t="shared" si="38"/>
        <v>0</v>
      </c>
      <c r="O433" s="7" t="str">
        <f t="shared" si="39"/>
        <v>Z</v>
      </c>
      <c r="P433" s="7" t="str">
        <f t="shared" si="40"/>
        <v>CZ</v>
      </c>
      <c r="S433" s="6" t="s">
        <v>685</v>
      </c>
      <c r="T433" s="25">
        <v>1</v>
      </c>
      <c r="U433" s="7" t="str">
        <v>CZ</v>
      </c>
      <c r="Y433" t="e">
        <v>#N/A</v>
      </c>
      <c r="Z433" s="104"/>
    </row>
    <row r="434" spans="1:26">
      <c r="A434" s="133" t="s">
        <v>619</v>
      </c>
      <c r="B434" s="7"/>
      <c r="C434" s="7"/>
      <c r="D434" s="7"/>
      <c r="E434" s="7"/>
      <c r="F434" s="7"/>
      <c r="G434" s="7"/>
      <c r="H434" s="7">
        <v>37500000</v>
      </c>
      <c r="I434" s="7"/>
      <c r="J434" s="7"/>
      <c r="K434" s="7">
        <v>37500000</v>
      </c>
      <c r="L434" s="134">
        <f t="shared" si="41"/>
        <v>0.98213195685362598</v>
      </c>
      <c r="M434" s="7" t="str">
        <f t="shared" si="37"/>
        <v>C</v>
      </c>
      <c r="N434" s="7">
        <f t="shared" si="38"/>
        <v>0</v>
      </c>
      <c r="O434" s="7" t="str">
        <f t="shared" si="39"/>
        <v>Z</v>
      </c>
      <c r="P434" s="7" t="str">
        <f t="shared" si="40"/>
        <v>CZ</v>
      </c>
      <c r="S434" s="6" t="s">
        <v>686</v>
      </c>
      <c r="T434" s="25">
        <v>1</v>
      </c>
      <c r="U434" s="7" t="str">
        <v>CZ</v>
      </c>
      <c r="Y434" t="e">
        <v>#N/A</v>
      </c>
      <c r="Z434" s="104"/>
    </row>
    <row r="435" spans="1:26">
      <c r="A435" s="133" t="s">
        <v>621</v>
      </c>
      <c r="B435" s="7"/>
      <c r="C435" s="7"/>
      <c r="D435" s="7"/>
      <c r="E435" s="7"/>
      <c r="F435" s="7"/>
      <c r="G435" s="7"/>
      <c r="H435" s="7">
        <v>37500000</v>
      </c>
      <c r="I435" s="7"/>
      <c r="J435" s="7"/>
      <c r="K435" s="7">
        <v>37500000</v>
      </c>
      <c r="L435" s="134">
        <f t="shared" si="41"/>
        <v>0.98225663300034161</v>
      </c>
      <c r="M435" s="7" t="str">
        <f t="shared" si="37"/>
        <v>C</v>
      </c>
      <c r="N435" s="7">
        <f t="shared" si="38"/>
        <v>0</v>
      </c>
      <c r="O435" s="7" t="str">
        <f t="shared" si="39"/>
        <v>Z</v>
      </c>
      <c r="P435" s="7" t="str">
        <f t="shared" si="40"/>
        <v>CZ</v>
      </c>
      <c r="S435" s="6" t="s">
        <v>687</v>
      </c>
      <c r="T435" s="25">
        <v>1</v>
      </c>
      <c r="U435" s="7" t="str">
        <v>CZ</v>
      </c>
      <c r="Y435" t="e">
        <v>#N/A</v>
      </c>
      <c r="Z435" s="104"/>
    </row>
    <row r="436" spans="1:26">
      <c r="A436" s="133" t="s">
        <v>688</v>
      </c>
      <c r="B436" s="7"/>
      <c r="C436" s="7"/>
      <c r="D436" s="7"/>
      <c r="E436" s="7"/>
      <c r="F436" s="7"/>
      <c r="G436" s="7">
        <v>16250000</v>
      </c>
      <c r="H436" s="7">
        <v>17280000</v>
      </c>
      <c r="I436" s="7">
        <v>3840000</v>
      </c>
      <c r="J436" s="7"/>
      <c r="K436" s="7">
        <v>37370000</v>
      </c>
      <c r="L436" s="134">
        <f t="shared" si="41"/>
        <v>0.98238087693641529</v>
      </c>
      <c r="M436" s="7" t="str">
        <f t="shared" si="37"/>
        <v>C</v>
      </c>
      <c r="N436" s="7">
        <f t="shared" si="38"/>
        <v>0.49029137634150943</v>
      </c>
      <c r="O436" s="7" t="str">
        <f t="shared" si="39"/>
        <v>Y</v>
      </c>
      <c r="P436" s="7" t="str">
        <f t="shared" si="40"/>
        <v>CY</v>
      </c>
      <c r="S436" s="6" t="s">
        <v>689</v>
      </c>
      <c r="T436" s="25">
        <v>1</v>
      </c>
      <c r="U436" s="7" t="str">
        <v>CZ</v>
      </c>
      <c r="Y436" t="e">
        <v>#N/A</v>
      </c>
      <c r="Z436" s="104"/>
    </row>
    <row r="437" spans="1:26">
      <c r="A437" s="133" t="s">
        <v>690</v>
      </c>
      <c r="B437" s="7">
        <v>4720000</v>
      </c>
      <c r="C437" s="7"/>
      <c r="D437" s="7">
        <v>5440000</v>
      </c>
      <c r="E437" s="7">
        <v>3280000</v>
      </c>
      <c r="F437" s="7">
        <v>3520000</v>
      </c>
      <c r="G437" s="7">
        <v>13960000</v>
      </c>
      <c r="H437" s="7">
        <v>2120000</v>
      </c>
      <c r="I437" s="7">
        <v>4000000</v>
      </c>
      <c r="J437" s="7"/>
      <c r="K437" s="7">
        <v>37040000</v>
      </c>
      <c r="L437" s="134">
        <f t="shared" si="41"/>
        <v>0.98250402372239787</v>
      </c>
      <c r="M437" s="7" t="str">
        <f t="shared" si="37"/>
        <v>C</v>
      </c>
      <c r="N437" s="7">
        <f t="shared" si="38"/>
        <v>0.6940157027546876</v>
      </c>
      <c r="O437" s="7" t="str">
        <f t="shared" si="39"/>
        <v>Z</v>
      </c>
      <c r="P437" s="7" t="str">
        <f t="shared" si="40"/>
        <v>CZ</v>
      </c>
      <c r="S437" s="6" t="s">
        <v>691</v>
      </c>
      <c r="T437" s="25">
        <v>1</v>
      </c>
      <c r="U437" s="7" t="str">
        <v>CZ</v>
      </c>
      <c r="Y437" t="e">
        <v>#N/A</v>
      </c>
      <c r="Z437" s="104"/>
    </row>
    <row r="438" spans="1:26">
      <c r="A438" s="133" t="s">
        <v>692</v>
      </c>
      <c r="B438" s="7"/>
      <c r="C438" s="7"/>
      <c r="D438" s="7"/>
      <c r="E438" s="7"/>
      <c r="F438" s="7"/>
      <c r="G438" s="7"/>
      <c r="H438" s="7"/>
      <c r="I438" s="7"/>
      <c r="J438" s="7">
        <v>36910000</v>
      </c>
      <c r="K438" s="7">
        <v>36910000</v>
      </c>
      <c r="L438" s="134">
        <f t="shared" si="41"/>
        <v>0.9826267382977385</v>
      </c>
      <c r="M438" s="7" t="str">
        <f t="shared" si="37"/>
        <v>C</v>
      </c>
      <c r="N438" s="7">
        <f t="shared" si="38"/>
        <v>0</v>
      </c>
      <c r="O438" s="7" t="str">
        <f t="shared" si="39"/>
        <v>Z</v>
      </c>
      <c r="P438" s="7" t="str">
        <f t="shared" si="40"/>
        <v>CZ</v>
      </c>
      <c r="S438" s="6" t="s">
        <v>693</v>
      </c>
      <c r="T438" s="25">
        <v>1</v>
      </c>
      <c r="U438" s="7" t="str">
        <v>CZ</v>
      </c>
      <c r="Y438" t="e">
        <v>#N/A</v>
      </c>
      <c r="Z438" s="104"/>
    </row>
    <row r="439" spans="1:26">
      <c r="A439" s="133" t="s">
        <v>564</v>
      </c>
      <c r="B439" s="7"/>
      <c r="C439" s="7"/>
      <c r="D439" s="7"/>
      <c r="E439" s="7">
        <v>5150000</v>
      </c>
      <c r="F439" s="7">
        <v>5150000</v>
      </c>
      <c r="G439" s="7">
        <v>25750000</v>
      </c>
      <c r="H439" s="7"/>
      <c r="I439" s="7"/>
      <c r="J439" s="7"/>
      <c r="K439" s="7">
        <v>36050000</v>
      </c>
      <c r="L439" s="134">
        <f t="shared" si="41"/>
        <v>0.98274659363344785</v>
      </c>
      <c r="M439" s="7" t="str">
        <f t="shared" si="37"/>
        <v>C</v>
      </c>
      <c r="N439" s="7">
        <f t="shared" si="38"/>
        <v>0.80812203564176854</v>
      </c>
      <c r="O439" s="7" t="str">
        <f t="shared" si="39"/>
        <v>Z</v>
      </c>
      <c r="P439" s="7" t="str">
        <f t="shared" si="40"/>
        <v>CZ</v>
      </c>
      <c r="S439" s="6" t="s">
        <v>694</v>
      </c>
      <c r="T439" s="25">
        <v>1</v>
      </c>
      <c r="U439" s="7" t="str">
        <v>CZ</v>
      </c>
      <c r="Y439" t="e">
        <v>#N/A</v>
      </c>
      <c r="Z439" s="104"/>
    </row>
    <row r="440" spans="1:26">
      <c r="A440" s="133" t="s">
        <v>629</v>
      </c>
      <c r="B440" s="7"/>
      <c r="C440" s="7"/>
      <c r="D440" s="7"/>
      <c r="E440" s="7"/>
      <c r="F440" s="7"/>
      <c r="G440" s="7">
        <v>13575000</v>
      </c>
      <c r="H440" s="7"/>
      <c r="I440" s="7">
        <v>21720000</v>
      </c>
      <c r="J440" s="7"/>
      <c r="K440" s="7">
        <v>35295000</v>
      </c>
      <c r="L440" s="134">
        <f t="shared" si="41"/>
        <v>0.98286393882273659</v>
      </c>
      <c r="M440" s="7" t="str">
        <f t="shared" si="37"/>
        <v>C</v>
      </c>
      <c r="N440" s="7">
        <f t="shared" si="38"/>
        <v>0.23076923076923078</v>
      </c>
      <c r="O440" s="7" t="str">
        <f t="shared" si="39"/>
        <v>X</v>
      </c>
      <c r="P440" s="7" t="str">
        <f t="shared" si="40"/>
        <v>CX</v>
      </c>
      <c r="S440" s="6" t="s">
        <v>695</v>
      </c>
      <c r="T440" s="25">
        <v>1</v>
      </c>
      <c r="U440" s="7" t="str">
        <v>CZ</v>
      </c>
      <c r="Y440" t="e">
        <v>#N/A</v>
      </c>
      <c r="Z440" s="104"/>
    </row>
    <row r="441" spans="1:26">
      <c r="A441" s="133" t="s">
        <v>696</v>
      </c>
      <c r="B441" s="7"/>
      <c r="C441" s="7"/>
      <c r="D441" s="7"/>
      <c r="E441" s="7"/>
      <c r="F441" s="7"/>
      <c r="G441" s="7">
        <v>16000000</v>
      </c>
      <c r="H441" s="7">
        <v>19200000</v>
      </c>
      <c r="I441" s="7"/>
      <c r="J441" s="7"/>
      <c r="K441" s="7">
        <v>35200000</v>
      </c>
      <c r="L441" s="134">
        <f t="shared" si="41"/>
        <v>0.98298096816578706</v>
      </c>
      <c r="M441" s="7" t="str">
        <f t="shared" si="37"/>
        <v>C</v>
      </c>
      <c r="N441" s="7">
        <f t="shared" si="38"/>
        <v>9.0909090909090912E-2</v>
      </c>
      <c r="O441" s="7" t="str">
        <f t="shared" si="39"/>
        <v>X</v>
      </c>
      <c r="P441" s="7" t="str">
        <f t="shared" si="40"/>
        <v>CX</v>
      </c>
      <c r="S441" s="6" t="s">
        <v>697</v>
      </c>
      <c r="T441" s="25">
        <v>1</v>
      </c>
      <c r="U441" s="7" t="str">
        <v>CZ</v>
      </c>
      <c r="Y441" t="e">
        <v>#N/A</v>
      </c>
      <c r="Z441" s="104"/>
    </row>
    <row r="442" spans="1:26">
      <c r="A442" s="133" t="s">
        <v>597</v>
      </c>
      <c r="B442" s="7"/>
      <c r="C442" s="7"/>
      <c r="D442" s="7"/>
      <c r="E442" s="7"/>
      <c r="F442" s="7"/>
      <c r="G442" s="7">
        <v>17500000</v>
      </c>
      <c r="H442" s="7"/>
      <c r="I442" s="7"/>
      <c r="J442" s="7">
        <v>17500000</v>
      </c>
      <c r="K442" s="7">
        <v>35000000</v>
      </c>
      <c r="L442" s="134">
        <f t="shared" si="41"/>
        <v>0.98309733256938836</v>
      </c>
      <c r="M442" s="7" t="str">
        <f t="shared" si="37"/>
        <v>C</v>
      </c>
      <c r="N442" s="7">
        <f t="shared" si="38"/>
        <v>0</v>
      </c>
      <c r="O442" s="7" t="str">
        <f t="shared" si="39"/>
        <v>Z</v>
      </c>
      <c r="P442" s="7" t="str">
        <f t="shared" si="40"/>
        <v>CZ</v>
      </c>
      <c r="S442" s="6" t="s">
        <v>698</v>
      </c>
      <c r="T442" s="25">
        <v>1</v>
      </c>
      <c r="U442" s="7" t="str">
        <v>CZ</v>
      </c>
      <c r="Y442" t="e">
        <v>#N/A</v>
      </c>
      <c r="Z442" s="104"/>
    </row>
    <row r="443" spans="1:26">
      <c r="A443" s="133" t="s">
        <v>699</v>
      </c>
      <c r="B443" s="7">
        <v>35000000</v>
      </c>
      <c r="C443" s="7"/>
      <c r="D443" s="7"/>
      <c r="E443" s="7"/>
      <c r="F443" s="7"/>
      <c r="G443" s="7"/>
      <c r="H443" s="7"/>
      <c r="I443" s="7"/>
      <c r="J443" s="7"/>
      <c r="K443" s="7">
        <v>35000000</v>
      </c>
      <c r="L443" s="134">
        <f t="shared" si="41"/>
        <v>0.98321369697298966</v>
      </c>
      <c r="M443" s="7" t="str">
        <f t="shared" si="37"/>
        <v>C</v>
      </c>
      <c r="N443" s="7">
        <f t="shared" si="38"/>
        <v>0</v>
      </c>
      <c r="O443" s="7" t="str">
        <f t="shared" si="39"/>
        <v>Z</v>
      </c>
      <c r="P443" s="7" t="str">
        <f t="shared" si="40"/>
        <v>CZ</v>
      </c>
      <c r="S443" s="6" t="s">
        <v>700</v>
      </c>
      <c r="T443" s="25">
        <v>1</v>
      </c>
      <c r="U443" s="7" t="str">
        <v>CZ</v>
      </c>
      <c r="Y443" t="e">
        <v>#N/A</v>
      </c>
      <c r="Z443" s="104"/>
    </row>
    <row r="444" spans="1:26">
      <c r="A444" s="133" t="s">
        <v>701</v>
      </c>
      <c r="B444" s="7"/>
      <c r="C444" s="7"/>
      <c r="D444" s="7"/>
      <c r="E444" s="7"/>
      <c r="F444" s="7"/>
      <c r="G444" s="7"/>
      <c r="H444" s="7"/>
      <c r="I444" s="7">
        <v>34920000</v>
      </c>
      <c r="J444" s="7"/>
      <c r="K444" s="7">
        <v>34920000</v>
      </c>
      <c r="L444" s="134">
        <f t="shared" si="41"/>
        <v>0.98332979540081134</v>
      </c>
      <c r="M444" s="7" t="str">
        <f t="shared" si="37"/>
        <v>C</v>
      </c>
      <c r="N444" s="7">
        <f t="shared" si="38"/>
        <v>0</v>
      </c>
      <c r="O444" s="7" t="str">
        <f t="shared" si="39"/>
        <v>Z</v>
      </c>
      <c r="P444" s="7" t="str">
        <f t="shared" si="40"/>
        <v>CZ</v>
      </c>
      <c r="S444" s="6" t="s">
        <v>173</v>
      </c>
      <c r="T444" s="25">
        <v>3</v>
      </c>
      <c r="U444" s="7" t="str">
        <v>AZ</v>
      </c>
      <c r="Y444" t="e">
        <v>#N/A</v>
      </c>
      <c r="Z444" s="104"/>
    </row>
    <row r="445" spans="1:26">
      <c r="A445" s="133" t="s">
        <v>674</v>
      </c>
      <c r="B445" s="7"/>
      <c r="C445" s="7"/>
      <c r="D445" s="7"/>
      <c r="E445" s="7"/>
      <c r="F445" s="7"/>
      <c r="G445" s="7"/>
      <c r="H445" s="7"/>
      <c r="I445" s="7"/>
      <c r="J445" s="7">
        <v>34650000</v>
      </c>
      <c r="K445" s="7">
        <v>34650000</v>
      </c>
      <c r="L445" s="134">
        <f t="shared" si="41"/>
        <v>0.98344499616037662</v>
      </c>
      <c r="M445" s="7" t="str">
        <f t="shared" si="37"/>
        <v>C</v>
      </c>
      <c r="N445" s="7">
        <f t="shared" si="38"/>
        <v>0</v>
      </c>
      <c r="O445" s="7" t="str">
        <f t="shared" si="39"/>
        <v>Z</v>
      </c>
      <c r="P445" s="7" t="str">
        <f t="shared" si="40"/>
        <v>CZ</v>
      </c>
      <c r="S445" s="6" t="s">
        <v>176</v>
      </c>
      <c r="T445" s="25">
        <v>2</v>
      </c>
      <c r="U445" s="7" t="str">
        <v>AZ</v>
      </c>
      <c r="Y445" t="e">
        <v>#N/A</v>
      </c>
      <c r="Z445" s="104"/>
    </row>
    <row r="446" spans="1:26">
      <c r="A446" s="133" t="s">
        <v>702</v>
      </c>
      <c r="B446" s="7"/>
      <c r="C446" s="7"/>
      <c r="D446" s="7"/>
      <c r="E446" s="7"/>
      <c r="F446" s="7"/>
      <c r="G446" s="7"/>
      <c r="H446" s="7"/>
      <c r="I446" s="7">
        <v>34440000</v>
      </c>
      <c r="J446" s="7"/>
      <c r="K446" s="7">
        <v>34440000</v>
      </c>
      <c r="L446" s="134">
        <f t="shared" si="41"/>
        <v>0.98355949873352033</v>
      </c>
      <c r="M446" s="7" t="str">
        <f t="shared" si="37"/>
        <v>C</v>
      </c>
      <c r="N446" s="7">
        <f t="shared" si="38"/>
        <v>0</v>
      </c>
      <c r="O446" s="7" t="str">
        <f t="shared" si="39"/>
        <v>Z</v>
      </c>
      <c r="P446" s="7" t="str">
        <f t="shared" si="40"/>
        <v>CZ</v>
      </c>
      <c r="S446" s="6" t="s">
        <v>703</v>
      </c>
      <c r="T446" s="25">
        <v>2</v>
      </c>
      <c r="U446" s="7" t="str">
        <v>CX</v>
      </c>
      <c r="Y446" t="e">
        <v>#N/A</v>
      </c>
      <c r="Z446" s="104"/>
    </row>
    <row r="447" spans="1:26">
      <c r="A447" s="133" t="s">
        <v>704</v>
      </c>
      <c r="B447" s="7"/>
      <c r="C447" s="7"/>
      <c r="D447" s="7"/>
      <c r="E447" s="7"/>
      <c r="F447" s="7"/>
      <c r="G447" s="7"/>
      <c r="H447" s="7"/>
      <c r="I447" s="7">
        <v>34440000</v>
      </c>
      <c r="J447" s="7"/>
      <c r="K447" s="7">
        <v>34440000</v>
      </c>
      <c r="L447" s="134">
        <f t="shared" si="41"/>
        <v>0.98367400130666405</v>
      </c>
      <c r="M447" s="7" t="str">
        <f t="shared" si="37"/>
        <v>C</v>
      </c>
      <c r="N447" s="7">
        <f t="shared" si="38"/>
        <v>0</v>
      </c>
      <c r="O447" s="7" t="str">
        <f t="shared" si="39"/>
        <v>Z</v>
      </c>
      <c r="P447" s="7" t="str">
        <f t="shared" si="40"/>
        <v>CZ</v>
      </c>
      <c r="S447" s="6" t="s">
        <v>703</v>
      </c>
      <c r="T447" s="25">
        <v>1</v>
      </c>
      <c r="U447" s="7" t="str">
        <v>CX</v>
      </c>
      <c r="Y447" t="e">
        <v>#N/A</v>
      </c>
      <c r="Z447" s="104"/>
    </row>
    <row r="448" spans="1:26">
      <c r="A448" s="133" t="s">
        <v>345</v>
      </c>
      <c r="B448" s="7"/>
      <c r="C448" s="7"/>
      <c r="D448" s="7"/>
      <c r="E448" s="7">
        <v>17100000</v>
      </c>
      <c r="F448" s="7"/>
      <c r="G448" s="7"/>
      <c r="H448" s="7"/>
      <c r="I448" s="7">
        <v>17000000</v>
      </c>
      <c r="J448" s="7"/>
      <c r="K448" s="7">
        <v>34100000</v>
      </c>
      <c r="L448" s="134">
        <f t="shared" si="41"/>
        <v>0.98378737348274414</v>
      </c>
      <c r="M448" s="7" t="str">
        <f t="shared" si="37"/>
        <v>C</v>
      </c>
      <c r="N448" s="7">
        <f t="shared" si="38"/>
        <v>2.9325513196480938E-3</v>
      </c>
      <c r="O448" s="7" t="str">
        <f t="shared" si="39"/>
        <v>X</v>
      </c>
      <c r="P448" s="7" t="str">
        <f t="shared" si="40"/>
        <v>CX</v>
      </c>
      <c r="S448" s="6" t="s">
        <v>639</v>
      </c>
      <c r="T448" s="25">
        <v>1</v>
      </c>
      <c r="U448" s="7" t="str">
        <v>CY</v>
      </c>
      <c r="Y448" t="e">
        <v>#N/A</v>
      </c>
      <c r="Z448" s="104"/>
    </row>
    <row r="449" spans="1:26">
      <c r="A449" s="133" t="s">
        <v>705</v>
      </c>
      <c r="B449" s="7"/>
      <c r="C449" s="7"/>
      <c r="D449" s="7">
        <v>17820000</v>
      </c>
      <c r="E449" s="7">
        <v>7560000</v>
      </c>
      <c r="F449" s="7"/>
      <c r="G449" s="7"/>
      <c r="H449" s="7">
        <v>4650000</v>
      </c>
      <c r="I449" s="7">
        <v>4030000</v>
      </c>
      <c r="J449" s="7"/>
      <c r="K449" s="7">
        <v>34060000</v>
      </c>
      <c r="L449" s="134">
        <f t="shared" si="41"/>
        <v>0.98390061267093443</v>
      </c>
      <c r="M449" s="7" t="str">
        <f t="shared" si="37"/>
        <v>C</v>
      </c>
      <c r="N449" s="7">
        <f t="shared" si="38"/>
        <v>0.65003890783510554</v>
      </c>
      <c r="O449" s="7" t="str">
        <f t="shared" si="39"/>
        <v>Z</v>
      </c>
      <c r="P449" s="7" t="str">
        <f t="shared" si="40"/>
        <v>CZ</v>
      </c>
      <c r="S449" s="6" t="s">
        <v>639</v>
      </c>
      <c r="T449" s="25">
        <v>1</v>
      </c>
      <c r="U449" s="7" t="str">
        <v>CY</v>
      </c>
      <c r="Y449" t="e">
        <v>#N/A</v>
      </c>
      <c r="Z449" s="104"/>
    </row>
    <row r="450" spans="1:26">
      <c r="A450" s="133" t="s">
        <v>706</v>
      </c>
      <c r="B450" s="7"/>
      <c r="C450" s="7"/>
      <c r="D450" s="7">
        <v>34000000</v>
      </c>
      <c r="E450" s="7"/>
      <c r="F450" s="7"/>
      <c r="G450" s="7"/>
      <c r="H450" s="7"/>
      <c r="I450" s="7"/>
      <c r="J450" s="7"/>
      <c r="K450" s="7">
        <v>34000000</v>
      </c>
      <c r="L450" s="134">
        <f t="shared" si="41"/>
        <v>0.98401365237728999</v>
      </c>
      <c r="M450" s="7" t="str">
        <f t="shared" si="37"/>
        <v>C</v>
      </c>
      <c r="N450" s="7">
        <f t="shared" si="38"/>
        <v>0</v>
      </c>
      <c r="O450" s="7" t="str">
        <f t="shared" si="39"/>
        <v>Z</v>
      </c>
      <c r="P450" s="7" t="str">
        <f t="shared" si="40"/>
        <v>CZ</v>
      </c>
      <c r="S450" s="6" t="s">
        <v>639</v>
      </c>
      <c r="T450" s="25">
        <v>3</v>
      </c>
      <c r="U450" s="7" t="str">
        <v>CY</v>
      </c>
      <c r="Y450" t="e">
        <v>#N/A</v>
      </c>
      <c r="Z450" s="104"/>
    </row>
    <row r="451" spans="1:26">
      <c r="A451" s="133" t="s">
        <v>707</v>
      </c>
      <c r="B451" s="7"/>
      <c r="C451" s="7"/>
      <c r="D451" s="7"/>
      <c r="E451" s="7"/>
      <c r="F451" s="7"/>
      <c r="G451" s="7"/>
      <c r="H451" s="7"/>
      <c r="I451" s="7">
        <v>33990000</v>
      </c>
      <c r="J451" s="7"/>
      <c r="K451" s="7">
        <v>33990000</v>
      </c>
      <c r="L451" s="134">
        <f t="shared" si="41"/>
        <v>0.98412665883667305</v>
      </c>
      <c r="M451" s="7" t="str">
        <f t="shared" si="37"/>
        <v>C</v>
      </c>
      <c r="N451" s="7">
        <f t="shared" si="38"/>
        <v>0</v>
      </c>
      <c r="O451" s="7" t="str">
        <f t="shared" si="39"/>
        <v>Z</v>
      </c>
      <c r="P451" s="7" t="str">
        <f t="shared" si="40"/>
        <v>CZ</v>
      </c>
      <c r="S451" s="6" t="s">
        <v>708</v>
      </c>
      <c r="T451" s="25">
        <v>1</v>
      </c>
      <c r="U451" s="7" t="str">
        <v>CZ</v>
      </c>
      <c r="Y451" t="e">
        <v>#N/A</v>
      </c>
      <c r="Z451" s="104"/>
    </row>
    <row r="452" spans="1:26">
      <c r="A452" s="133" t="s">
        <v>709</v>
      </c>
      <c r="B452" s="7"/>
      <c r="C452" s="7"/>
      <c r="D452" s="7"/>
      <c r="E452" s="7"/>
      <c r="F452" s="7"/>
      <c r="G452" s="7"/>
      <c r="H452" s="7"/>
      <c r="I452" s="7"/>
      <c r="J452" s="7">
        <v>33600000</v>
      </c>
      <c r="K452" s="7">
        <v>33600000</v>
      </c>
      <c r="L452" s="134">
        <f t="shared" si="41"/>
        <v>0.98423836866413028</v>
      </c>
      <c r="M452" s="7" t="str">
        <f t="shared" si="37"/>
        <v>C</v>
      </c>
      <c r="N452" s="7">
        <f t="shared" si="38"/>
        <v>0</v>
      </c>
      <c r="O452" s="7" t="str">
        <f t="shared" si="39"/>
        <v>Z</v>
      </c>
      <c r="P452" s="7" t="str">
        <f t="shared" si="40"/>
        <v>CZ</v>
      </c>
      <c r="S452" s="6" t="s">
        <v>710</v>
      </c>
      <c r="T452" s="25">
        <v>1</v>
      </c>
      <c r="U452" s="7" t="str">
        <v>CZ</v>
      </c>
      <c r="Y452" t="e">
        <v>#N/A</v>
      </c>
      <c r="Z452" s="104"/>
    </row>
    <row r="453" spans="1:26">
      <c r="A453" s="133" t="s">
        <v>711</v>
      </c>
      <c r="B453" s="7"/>
      <c r="C453" s="7"/>
      <c r="D453" s="7"/>
      <c r="E453" s="7"/>
      <c r="F453" s="7">
        <v>7500000</v>
      </c>
      <c r="G453" s="7">
        <v>14500000</v>
      </c>
      <c r="H453" s="7"/>
      <c r="I453" s="7">
        <v>11600000</v>
      </c>
      <c r="J453" s="7"/>
      <c r="K453" s="7">
        <v>33600000</v>
      </c>
      <c r="L453" s="134">
        <f t="shared" si="41"/>
        <v>0.98435007849158751</v>
      </c>
      <c r="M453" s="7" t="str">
        <f t="shared" ref="M453:M516" si="42">IF(L453&lt;=0.8,"A",IF(L453&lt;=0.95,"B","C"))</f>
        <v>C</v>
      </c>
      <c r="N453" s="7">
        <f t="shared" ref="N453:N516" si="43">STDEVP(B453:J453)/AVERAGE(B453:J453)</f>
        <v>0.256401875517141</v>
      </c>
      <c r="O453" s="7" t="str">
        <f t="shared" ref="O453:O516" si="44">IF(N453=0,"Z",IF(N453&lt;=30%,"X",IF(N453&lt;=60%,"Y","Z")))</f>
        <v>X</v>
      </c>
      <c r="P453" s="7" t="str">
        <f t="shared" ref="P453:P516" si="45">M453&amp;O453</f>
        <v>CX</v>
      </c>
      <c r="S453" s="6" t="s">
        <v>712</v>
      </c>
      <c r="T453" s="25">
        <v>1</v>
      </c>
      <c r="U453" s="7" t="str">
        <v>CZ</v>
      </c>
      <c r="Y453" t="e">
        <v>#N/A</v>
      </c>
      <c r="Z453" s="104"/>
    </row>
    <row r="454" spans="1:26">
      <c r="A454" s="133" t="s">
        <v>217</v>
      </c>
      <c r="B454" s="7"/>
      <c r="C454" s="7"/>
      <c r="D454" s="7"/>
      <c r="E454" s="7">
        <v>1890927.96</v>
      </c>
      <c r="F454" s="7">
        <v>4727300</v>
      </c>
      <c r="G454" s="7">
        <v>4254570</v>
      </c>
      <c r="H454" s="7">
        <v>8509140</v>
      </c>
      <c r="I454" s="7">
        <v>4254570</v>
      </c>
      <c r="J454" s="7">
        <v>9927330</v>
      </c>
      <c r="K454" s="7">
        <v>33563837.960000001</v>
      </c>
      <c r="L454" s="134">
        <f t="shared" ref="L454:L517" si="46">K454/$K$932+L453</f>
        <v>0.98446166809120994</v>
      </c>
      <c r="M454" s="7" t="str">
        <f t="shared" si="42"/>
        <v>C</v>
      </c>
      <c r="N454" s="7">
        <f t="shared" si="43"/>
        <v>0.49134501585741253</v>
      </c>
      <c r="O454" s="7" t="str">
        <f t="shared" si="44"/>
        <v>Y</v>
      </c>
      <c r="P454" s="7" t="str">
        <f t="shared" si="45"/>
        <v>CY</v>
      </c>
      <c r="S454" s="6" t="s">
        <v>702</v>
      </c>
      <c r="T454" s="25">
        <v>1</v>
      </c>
      <c r="U454" s="7" t="str">
        <v>CZ</v>
      </c>
      <c r="Y454" t="e">
        <v>#N/A</v>
      </c>
      <c r="Z454" s="104"/>
    </row>
    <row r="455" spans="1:26">
      <c r="A455" s="133" t="s">
        <v>497</v>
      </c>
      <c r="B455" s="7"/>
      <c r="C455" s="7"/>
      <c r="D455" s="7">
        <v>13200000</v>
      </c>
      <c r="E455" s="7"/>
      <c r="F455" s="7"/>
      <c r="G455" s="7"/>
      <c r="H455" s="7">
        <v>11140000</v>
      </c>
      <c r="I455" s="7">
        <v>9040000</v>
      </c>
      <c r="J455" s="7"/>
      <c r="K455" s="7">
        <v>33380000</v>
      </c>
      <c r="L455" s="134">
        <f t="shared" si="46"/>
        <v>0.9845726464852731</v>
      </c>
      <c r="M455" s="7" t="str">
        <f t="shared" si="42"/>
        <v>C</v>
      </c>
      <c r="N455" s="7">
        <f t="shared" si="43"/>
        <v>0.15263682365700307</v>
      </c>
      <c r="O455" s="7" t="str">
        <f t="shared" si="44"/>
        <v>X</v>
      </c>
      <c r="P455" s="7" t="str">
        <f t="shared" si="45"/>
        <v>CX</v>
      </c>
      <c r="S455" s="6" t="s">
        <v>681</v>
      </c>
      <c r="T455" s="25">
        <v>1</v>
      </c>
      <c r="U455" s="7" t="str">
        <v>CZ</v>
      </c>
      <c r="Y455" t="e">
        <v>#N/A</v>
      </c>
      <c r="Z455" s="104"/>
    </row>
    <row r="456" spans="1:26">
      <c r="A456" s="133" t="s">
        <v>713</v>
      </c>
      <c r="B456" s="7"/>
      <c r="C456" s="7"/>
      <c r="D456" s="7"/>
      <c r="E456" s="7"/>
      <c r="F456" s="7"/>
      <c r="G456" s="7"/>
      <c r="H456" s="7">
        <v>33000000</v>
      </c>
      <c r="I456" s="7"/>
      <c r="J456" s="7"/>
      <c r="K456" s="7">
        <v>33000000</v>
      </c>
      <c r="L456" s="134">
        <f t="shared" si="46"/>
        <v>0.98468236149438293</v>
      </c>
      <c r="M456" s="7" t="str">
        <f t="shared" si="42"/>
        <v>C</v>
      </c>
      <c r="N456" s="7">
        <f t="shared" si="43"/>
        <v>0</v>
      </c>
      <c r="O456" s="7" t="str">
        <f t="shared" si="44"/>
        <v>Z</v>
      </c>
      <c r="P456" s="7" t="str">
        <f t="shared" si="45"/>
        <v>CZ</v>
      </c>
      <c r="S456" s="6" t="s">
        <v>545</v>
      </c>
      <c r="T456" s="25">
        <v>2</v>
      </c>
      <c r="U456" s="7" t="str">
        <v>CY</v>
      </c>
      <c r="Y456" t="e">
        <v>#N/A</v>
      </c>
      <c r="Z456" s="104"/>
    </row>
    <row r="457" spans="1:26">
      <c r="A457" s="133" t="s">
        <v>714</v>
      </c>
      <c r="B457" s="7"/>
      <c r="C457" s="7"/>
      <c r="D457" s="7"/>
      <c r="E457" s="7">
        <v>33000000</v>
      </c>
      <c r="F457" s="7"/>
      <c r="G457" s="7"/>
      <c r="H457" s="7"/>
      <c r="I457" s="7"/>
      <c r="J457" s="7"/>
      <c r="K457" s="7">
        <v>33000000</v>
      </c>
      <c r="L457" s="134">
        <f t="shared" si="46"/>
        <v>0.98479207650349276</v>
      </c>
      <c r="M457" s="7" t="str">
        <f t="shared" si="42"/>
        <v>C</v>
      </c>
      <c r="N457" s="7">
        <f t="shared" si="43"/>
        <v>0</v>
      </c>
      <c r="O457" s="7" t="str">
        <f t="shared" si="44"/>
        <v>Z</v>
      </c>
      <c r="P457" s="7" t="str">
        <f t="shared" si="45"/>
        <v>CZ</v>
      </c>
      <c r="S457" s="6" t="s">
        <v>545</v>
      </c>
      <c r="T457" s="25">
        <v>1</v>
      </c>
      <c r="U457" s="7" t="str">
        <v>CY</v>
      </c>
      <c r="Y457" t="e">
        <v>#N/A</v>
      </c>
      <c r="Z457" s="104"/>
    </row>
    <row r="458" spans="1:26">
      <c r="A458" s="133" t="s">
        <v>715</v>
      </c>
      <c r="B458" s="7"/>
      <c r="C458" s="7"/>
      <c r="D458" s="7">
        <v>33000000</v>
      </c>
      <c r="E458" s="7"/>
      <c r="F458" s="7"/>
      <c r="G458" s="7"/>
      <c r="H458" s="7"/>
      <c r="I458" s="7"/>
      <c r="J458" s="7"/>
      <c r="K458" s="7">
        <v>33000000</v>
      </c>
      <c r="L458" s="134">
        <f t="shared" si="46"/>
        <v>0.9849017915126026</v>
      </c>
      <c r="M458" s="7" t="str">
        <f t="shared" si="42"/>
        <v>C</v>
      </c>
      <c r="N458" s="7">
        <f t="shared" si="43"/>
        <v>0</v>
      </c>
      <c r="O458" s="7" t="str">
        <f t="shared" si="44"/>
        <v>Z</v>
      </c>
      <c r="P458" s="7" t="str">
        <f t="shared" si="45"/>
        <v>CZ</v>
      </c>
      <c r="S458" s="6" t="s">
        <v>551</v>
      </c>
      <c r="T458" s="25">
        <v>2</v>
      </c>
      <c r="U458" s="7" t="str">
        <v>CZ</v>
      </c>
      <c r="Y458" t="e">
        <v>#N/A</v>
      </c>
      <c r="Z458" s="104"/>
    </row>
    <row r="459" spans="1:26">
      <c r="A459" s="133" t="s">
        <v>617</v>
      </c>
      <c r="B459" s="7"/>
      <c r="C459" s="7"/>
      <c r="D459" s="7"/>
      <c r="E459" s="7"/>
      <c r="F459" s="7"/>
      <c r="G459" s="7"/>
      <c r="H459" s="7">
        <v>33000000</v>
      </c>
      <c r="I459" s="7"/>
      <c r="J459" s="7"/>
      <c r="K459" s="7">
        <v>33000000</v>
      </c>
      <c r="L459" s="134">
        <f t="shared" si="46"/>
        <v>0.98501150652171243</v>
      </c>
      <c r="M459" s="7" t="str">
        <f t="shared" si="42"/>
        <v>C</v>
      </c>
      <c r="N459" s="7">
        <f t="shared" si="43"/>
        <v>0</v>
      </c>
      <c r="O459" s="7" t="str">
        <f t="shared" si="44"/>
        <v>Z</v>
      </c>
      <c r="P459" s="7" t="str">
        <f t="shared" si="45"/>
        <v>CZ</v>
      </c>
      <c r="S459" s="6" t="s">
        <v>704</v>
      </c>
      <c r="T459" s="25">
        <v>1</v>
      </c>
      <c r="U459" s="7" t="str">
        <v>CZ</v>
      </c>
      <c r="Y459" t="e">
        <v>#N/A</v>
      </c>
      <c r="Z459" s="104"/>
    </row>
    <row r="460" spans="1:26">
      <c r="A460" s="133" t="s">
        <v>618</v>
      </c>
      <c r="B460" s="7"/>
      <c r="C460" s="7"/>
      <c r="D460" s="7"/>
      <c r="E460" s="7"/>
      <c r="F460" s="7"/>
      <c r="G460" s="7"/>
      <c r="H460" s="7">
        <v>33000000</v>
      </c>
      <c r="I460" s="7"/>
      <c r="J460" s="7"/>
      <c r="K460" s="7">
        <v>33000000</v>
      </c>
      <c r="L460" s="134">
        <f t="shared" si="46"/>
        <v>0.98512122153082227</v>
      </c>
      <c r="M460" s="7" t="str">
        <f t="shared" si="42"/>
        <v>C</v>
      </c>
      <c r="N460" s="7">
        <f t="shared" si="43"/>
        <v>0</v>
      </c>
      <c r="O460" s="7" t="str">
        <f t="shared" si="44"/>
        <v>Z</v>
      </c>
      <c r="P460" s="7" t="str">
        <f t="shared" si="45"/>
        <v>CZ</v>
      </c>
      <c r="S460" s="6" t="s">
        <v>716</v>
      </c>
      <c r="T460" s="25">
        <v>1</v>
      </c>
      <c r="U460" s="7" t="str">
        <v>CZ</v>
      </c>
      <c r="Y460" t="e">
        <v>#N/A</v>
      </c>
      <c r="Z460" s="104"/>
    </row>
    <row r="461" spans="1:26">
      <c r="A461" s="133" t="s">
        <v>717</v>
      </c>
      <c r="B461" s="7"/>
      <c r="C461" s="7">
        <v>15000000</v>
      </c>
      <c r="D461" s="7"/>
      <c r="E461" s="7"/>
      <c r="F461" s="7"/>
      <c r="G461" s="7"/>
      <c r="H461" s="7">
        <v>15000000</v>
      </c>
      <c r="I461" s="7">
        <v>3000000</v>
      </c>
      <c r="J461" s="7"/>
      <c r="K461" s="7">
        <v>33000000</v>
      </c>
      <c r="L461" s="134">
        <f t="shared" si="46"/>
        <v>0.9852309365399321</v>
      </c>
      <c r="M461" s="7" t="str">
        <f t="shared" si="42"/>
        <v>C</v>
      </c>
      <c r="N461" s="7">
        <f t="shared" si="43"/>
        <v>0.51425947722657994</v>
      </c>
      <c r="O461" s="7" t="str">
        <f t="shared" si="44"/>
        <v>Y</v>
      </c>
      <c r="P461" s="7" t="str">
        <f t="shared" si="45"/>
        <v>CY</v>
      </c>
      <c r="S461" s="6" t="s">
        <v>630</v>
      </c>
      <c r="T461" s="25">
        <v>1</v>
      </c>
      <c r="U461" s="7" t="str">
        <v>CZ</v>
      </c>
      <c r="Y461" t="e">
        <v>#N/A</v>
      </c>
      <c r="Z461" s="104"/>
    </row>
    <row r="462" spans="1:26">
      <c r="A462" s="133" t="s">
        <v>419</v>
      </c>
      <c r="B462" s="7">
        <v>1800000</v>
      </c>
      <c r="C462" s="7"/>
      <c r="D462" s="7"/>
      <c r="E462" s="7">
        <v>6000000</v>
      </c>
      <c r="F462" s="7">
        <v>23000000</v>
      </c>
      <c r="G462" s="7"/>
      <c r="H462" s="7"/>
      <c r="I462" s="7">
        <v>1950000</v>
      </c>
      <c r="J462" s="7"/>
      <c r="K462" s="7">
        <v>32750000</v>
      </c>
      <c r="L462" s="134">
        <f t="shared" si="46"/>
        <v>0.98533982037473045</v>
      </c>
      <c r="M462" s="7" t="str">
        <f t="shared" si="42"/>
        <v>C</v>
      </c>
      <c r="N462" s="7">
        <f t="shared" si="43"/>
        <v>1.0645973508211111</v>
      </c>
      <c r="O462" s="7" t="str">
        <f t="shared" si="44"/>
        <v>Z</v>
      </c>
      <c r="P462" s="7" t="str">
        <f t="shared" si="45"/>
        <v>CZ</v>
      </c>
      <c r="S462" s="6" t="s">
        <v>707</v>
      </c>
      <c r="T462" s="25">
        <v>1</v>
      </c>
      <c r="U462" s="7" t="str">
        <v>CZ</v>
      </c>
      <c r="Y462" t="e">
        <v>#N/A</v>
      </c>
      <c r="Z462" s="104"/>
    </row>
    <row r="463" spans="1:26">
      <c r="A463" s="133" t="s">
        <v>718</v>
      </c>
      <c r="B463" s="7">
        <v>14850000</v>
      </c>
      <c r="C463" s="7"/>
      <c r="D463" s="7"/>
      <c r="E463" s="7"/>
      <c r="F463" s="7">
        <v>17820000</v>
      </c>
      <c r="G463" s="7"/>
      <c r="H463" s="7"/>
      <c r="I463" s="7"/>
      <c r="J463" s="7"/>
      <c r="K463" s="7">
        <v>32670000</v>
      </c>
      <c r="L463" s="134">
        <f t="shared" si="46"/>
        <v>0.98544843823374917</v>
      </c>
      <c r="M463" s="7" t="str">
        <f t="shared" si="42"/>
        <v>C</v>
      </c>
      <c r="N463" s="7">
        <f t="shared" si="43"/>
        <v>9.0909090909090912E-2</v>
      </c>
      <c r="O463" s="7" t="str">
        <f t="shared" si="44"/>
        <v>X</v>
      </c>
      <c r="P463" s="7" t="str">
        <f t="shared" si="45"/>
        <v>CX</v>
      </c>
      <c r="S463" s="6" t="s">
        <v>338</v>
      </c>
      <c r="T463" s="25">
        <v>1</v>
      </c>
      <c r="U463" s="7" t="str">
        <v>BY</v>
      </c>
      <c r="Y463" t="e">
        <v>#N/A</v>
      </c>
      <c r="Z463" s="104"/>
    </row>
    <row r="464" spans="1:26">
      <c r="A464" s="133" t="s">
        <v>502</v>
      </c>
      <c r="B464" s="7"/>
      <c r="C464" s="7"/>
      <c r="D464" s="7">
        <v>17100000</v>
      </c>
      <c r="E464" s="7"/>
      <c r="F464" s="7"/>
      <c r="G464" s="7"/>
      <c r="H464" s="7">
        <v>15500000</v>
      </c>
      <c r="I464" s="7"/>
      <c r="J464" s="7"/>
      <c r="K464" s="7">
        <v>32600000</v>
      </c>
      <c r="L464" s="134">
        <f t="shared" si="46"/>
        <v>0.98555682336396067</v>
      </c>
      <c r="M464" s="7" t="str">
        <f t="shared" si="42"/>
        <v>C</v>
      </c>
      <c r="N464" s="7">
        <f t="shared" si="43"/>
        <v>4.9079754601226995E-2</v>
      </c>
      <c r="O464" s="7" t="str">
        <f t="shared" si="44"/>
        <v>X</v>
      </c>
      <c r="P464" s="7" t="str">
        <f t="shared" si="45"/>
        <v>CX</v>
      </c>
      <c r="S464" s="6" t="s">
        <v>719</v>
      </c>
      <c r="T464" s="25">
        <v>1</v>
      </c>
      <c r="U464" s="7" t="str">
        <v>BY</v>
      </c>
      <c r="Y464" t="e">
        <v>#N/A</v>
      </c>
      <c r="Z464" s="104"/>
    </row>
    <row r="465" spans="1:26">
      <c r="A465" s="133" t="s">
        <v>720</v>
      </c>
      <c r="B465" s="7"/>
      <c r="C465" s="7"/>
      <c r="D465" s="7"/>
      <c r="E465" s="7"/>
      <c r="F465" s="7"/>
      <c r="G465" s="7"/>
      <c r="H465" s="7"/>
      <c r="I465" s="7">
        <v>31610800</v>
      </c>
      <c r="J465" s="7"/>
      <c r="K465" s="7">
        <v>31610800</v>
      </c>
      <c r="L465" s="134">
        <f t="shared" si="46"/>
        <v>0.98566191970365669</v>
      </c>
      <c r="M465" s="7" t="str">
        <f t="shared" si="42"/>
        <v>C</v>
      </c>
      <c r="N465" s="7">
        <f t="shared" si="43"/>
        <v>0</v>
      </c>
      <c r="O465" s="7" t="str">
        <f t="shared" si="44"/>
        <v>Z</v>
      </c>
      <c r="P465" s="7" t="str">
        <f t="shared" si="45"/>
        <v>CZ</v>
      </c>
      <c r="S465" s="6" t="s">
        <v>626</v>
      </c>
      <c r="T465" s="25">
        <v>1</v>
      </c>
      <c r="U465" s="7" t="str">
        <v>CZ</v>
      </c>
      <c r="Y465" t="e">
        <v>#N/A</v>
      </c>
      <c r="Z465" s="104"/>
    </row>
    <row r="466" spans="1:26">
      <c r="A466" s="133" t="s">
        <v>721</v>
      </c>
      <c r="B466" s="7"/>
      <c r="C466" s="7"/>
      <c r="D466" s="7"/>
      <c r="E466" s="7"/>
      <c r="F466" s="7"/>
      <c r="G466" s="7"/>
      <c r="H466" s="7">
        <v>15090908</v>
      </c>
      <c r="I466" s="7">
        <v>16460000</v>
      </c>
      <c r="J466" s="7"/>
      <c r="K466" s="7">
        <v>31550908</v>
      </c>
      <c r="L466" s="134">
        <f t="shared" si="46"/>
        <v>0.98576681692058521</v>
      </c>
      <c r="M466" s="7" t="str">
        <f t="shared" si="42"/>
        <v>C</v>
      </c>
      <c r="N466" s="7">
        <f t="shared" si="43"/>
        <v>4.3393109320340323E-2</v>
      </c>
      <c r="O466" s="7" t="str">
        <f t="shared" si="44"/>
        <v>X</v>
      </c>
      <c r="P466" s="7" t="str">
        <f t="shared" si="45"/>
        <v>CX</v>
      </c>
      <c r="S466" s="6" t="s">
        <v>573</v>
      </c>
      <c r="T466" s="25">
        <v>6</v>
      </c>
      <c r="U466" s="7" t="str">
        <v>CX</v>
      </c>
      <c r="Y466" t="e">
        <v>#N/A</v>
      </c>
      <c r="Z466" s="104"/>
    </row>
    <row r="467" spans="1:26">
      <c r="A467" s="133" t="s">
        <v>722</v>
      </c>
      <c r="B467" s="7"/>
      <c r="C467" s="7">
        <v>31200000</v>
      </c>
      <c r="D467" s="7"/>
      <c r="E467" s="7"/>
      <c r="F467" s="7"/>
      <c r="G467" s="7"/>
      <c r="H467" s="7"/>
      <c r="I467" s="7"/>
      <c r="J467" s="7"/>
      <c r="K467" s="7">
        <v>31200000</v>
      </c>
      <c r="L467" s="134">
        <f t="shared" si="46"/>
        <v>0.98587054747465264</v>
      </c>
      <c r="M467" s="7" t="str">
        <f t="shared" si="42"/>
        <v>C</v>
      </c>
      <c r="N467" s="7">
        <f t="shared" si="43"/>
        <v>0</v>
      </c>
      <c r="O467" s="7" t="str">
        <f t="shared" si="44"/>
        <v>Z</v>
      </c>
      <c r="P467" s="7" t="str">
        <f t="shared" si="45"/>
        <v>CZ</v>
      </c>
      <c r="S467" s="6" t="s">
        <v>573</v>
      </c>
      <c r="T467" s="25">
        <v>3</v>
      </c>
      <c r="U467" s="7" t="str">
        <v>CX</v>
      </c>
      <c r="Y467" t="e">
        <v>#N/A</v>
      </c>
      <c r="Z467" s="104"/>
    </row>
    <row r="468" spans="1:26">
      <c r="A468" s="133" t="s">
        <v>631</v>
      </c>
      <c r="B468" s="7"/>
      <c r="C468" s="7"/>
      <c r="D468" s="7"/>
      <c r="E468" s="7"/>
      <c r="F468" s="7"/>
      <c r="G468" s="7"/>
      <c r="H468" s="7"/>
      <c r="I468" s="7">
        <v>30600000</v>
      </c>
      <c r="J468" s="7"/>
      <c r="K468" s="7">
        <v>30600000</v>
      </c>
      <c r="L468" s="134">
        <f t="shared" si="46"/>
        <v>0.98597228321037267</v>
      </c>
      <c r="M468" s="7" t="str">
        <f t="shared" si="42"/>
        <v>C</v>
      </c>
      <c r="N468" s="7">
        <f t="shared" si="43"/>
        <v>0</v>
      </c>
      <c r="O468" s="7" t="str">
        <f t="shared" si="44"/>
        <v>Z</v>
      </c>
      <c r="P468" s="7" t="str">
        <f t="shared" si="45"/>
        <v>CZ</v>
      </c>
      <c r="S468" s="6" t="s">
        <v>720</v>
      </c>
      <c r="T468" s="25">
        <v>1</v>
      </c>
      <c r="U468" s="7" t="str">
        <v>CZ</v>
      </c>
      <c r="Y468" t="e">
        <v>#N/A</v>
      </c>
      <c r="Z468" s="104"/>
    </row>
    <row r="469" spans="1:26">
      <c r="A469" s="133" t="s">
        <v>723</v>
      </c>
      <c r="B469" s="7"/>
      <c r="C469" s="7">
        <v>30420000</v>
      </c>
      <c r="D469" s="7"/>
      <c r="E469" s="7"/>
      <c r="F469" s="7"/>
      <c r="G469" s="7"/>
      <c r="H469" s="7"/>
      <c r="I469" s="7"/>
      <c r="J469" s="7"/>
      <c r="K469" s="7">
        <v>30420000</v>
      </c>
      <c r="L469" s="134">
        <f t="shared" si="46"/>
        <v>0.98607342050058844</v>
      </c>
      <c r="M469" s="7" t="str">
        <f t="shared" si="42"/>
        <v>C</v>
      </c>
      <c r="N469" s="7">
        <f t="shared" si="43"/>
        <v>0</v>
      </c>
      <c r="O469" s="7" t="str">
        <f t="shared" si="44"/>
        <v>Z</v>
      </c>
      <c r="P469" s="7" t="str">
        <f t="shared" si="45"/>
        <v>CZ</v>
      </c>
      <c r="S469" s="6" t="s">
        <v>724</v>
      </c>
      <c r="T469" s="25">
        <v>1</v>
      </c>
      <c r="U469" s="7" t="str">
        <v>CZ</v>
      </c>
      <c r="Y469" t="e">
        <v>#N/A</v>
      </c>
      <c r="Z469" s="104"/>
    </row>
    <row r="470" spans="1:26">
      <c r="A470" s="133" t="s">
        <v>725</v>
      </c>
      <c r="B470" s="7">
        <v>30286700</v>
      </c>
      <c r="C470" s="7"/>
      <c r="D470" s="7"/>
      <c r="E470" s="7"/>
      <c r="F470" s="7"/>
      <c r="G470" s="7"/>
      <c r="H470" s="7"/>
      <c r="I470" s="7"/>
      <c r="J470" s="7"/>
      <c r="K470" s="7">
        <v>30286700</v>
      </c>
      <c r="L470" s="134">
        <f t="shared" si="46"/>
        <v>0.98617411460866133</v>
      </c>
      <c r="M470" s="7" t="str">
        <f t="shared" si="42"/>
        <v>C</v>
      </c>
      <c r="N470" s="7">
        <f t="shared" si="43"/>
        <v>0</v>
      </c>
      <c r="O470" s="7" t="str">
        <f t="shared" si="44"/>
        <v>Z</v>
      </c>
      <c r="P470" s="7" t="str">
        <f t="shared" si="45"/>
        <v>CZ</v>
      </c>
      <c r="S470" s="6" t="s">
        <v>726</v>
      </c>
      <c r="T470" s="25">
        <v>3</v>
      </c>
      <c r="U470" s="7" t="str">
        <v>CZ</v>
      </c>
      <c r="Y470" t="e">
        <v>#N/A</v>
      </c>
      <c r="Z470" s="104"/>
    </row>
    <row r="471" spans="1:26">
      <c r="A471" s="133" t="s">
        <v>222</v>
      </c>
      <c r="B471" s="7">
        <v>8786000</v>
      </c>
      <c r="C471" s="7">
        <v>3487500</v>
      </c>
      <c r="D471" s="7">
        <v>1505000</v>
      </c>
      <c r="E471" s="7">
        <v>2005000</v>
      </c>
      <c r="F471" s="7">
        <v>1728000</v>
      </c>
      <c r="G471" s="7">
        <v>1840000</v>
      </c>
      <c r="H471" s="7">
        <v>3010000</v>
      </c>
      <c r="I471" s="7">
        <v>6301000</v>
      </c>
      <c r="J471" s="7">
        <v>1530000</v>
      </c>
      <c r="K471" s="7">
        <v>30192500</v>
      </c>
      <c r="L471" s="134">
        <f t="shared" si="46"/>
        <v>0.9862744955302537</v>
      </c>
      <c r="M471" s="7" t="str">
        <f t="shared" si="42"/>
        <v>C</v>
      </c>
      <c r="N471" s="7">
        <f t="shared" si="43"/>
        <v>0.71533518255636741</v>
      </c>
      <c r="O471" s="7" t="str">
        <f t="shared" si="44"/>
        <v>Z</v>
      </c>
      <c r="P471" s="7" t="str">
        <f t="shared" si="45"/>
        <v>CZ</v>
      </c>
      <c r="S471" s="6" t="s">
        <v>727</v>
      </c>
      <c r="T471" s="25">
        <v>1</v>
      </c>
      <c r="U471" s="7" t="str">
        <v>CZ</v>
      </c>
      <c r="Y471" t="e">
        <v>#N/A</v>
      </c>
      <c r="Z471" s="104"/>
    </row>
    <row r="472" spans="1:26">
      <c r="A472" s="133" t="s">
        <v>328</v>
      </c>
      <c r="B472" s="7"/>
      <c r="C472" s="7"/>
      <c r="D472" s="7"/>
      <c r="E472" s="7">
        <v>7505000</v>
      </c>
      <c r="F472" s="7"/>
      <c r="G472" s="7"/>
      <c r="H472" s="7">
        <v>22515000</v>
      </c>
      <c r="I472" s="7"/>
      <c r="J472" s="7"/>
      <c r="K472" s="7">
        <v>30020000</v>
      </c>
      <c r="L472" s="134">
        <f t="shared" si="46"/>
        <v>0.98637430294157113</v>
      </c>
      <c r="M472" s="7" t="str">
        <f t="shared" si="42"/>
        <v>C</v>
      </c>
      <c r="N472" s="7">
        <f t="shared" si="43"/>
        <v>0.5</v>
      </c>
      <c r="O472" s="7" t="str">
        <f t="shared" si="44"/>
        <v>Y</v>
      </c>
      <c r="P472" s="7" t="str">
        <f t="shared" si="45"/>
        <v>CY</v>
      </c>
      <c r="S472" s="6" t="s">
        <v>701</v>
      </c>
      <c r="T472" s="25">
        <v>1</v>
      </c>
      <c r="U472" s="7" t="str">
        <v>CZ</v>
      </c>
      <c r="Y472" t="e">
        <v>#N/A</v>
      </c>
      <c r="Z472" s="104"/>
    </row>
    <row r="473" spans="1:26">
      <c r="A473" s="133" t="s">
        <v>728</v>
      </c>
      <c r="B473" s="7"/>
      <c r="C473" s="7"/>
      <c r="D473" s="7"/>
      <c r="E473" s="7"/>
      <c r="F473" s="7"/>
      <c r="G473" s="7">
        <v>15000000</v>
      </c>
      <c r="H473" s="7"/>
      <c r="I473" s="7">
        <v>15000000</v>
      </c>
      <c r="J473" s="7"/>
      <c r="K473" s="7">
        <v>30000000</v>
      </c>
      <c r="L473" s="134">
        <f t="shared" si="46"/>
        <v>0.98647404385894366</v>
      </c>
      <c r="M473" s="7" t="str">
        <f t="shared" si="42"/>
        <v>C</v>
      </c>
      <c r="N473" s="7">
        <f t="shared" si="43"/>
        <v>0</v>
      </c>
      <c r="O473" s="7" t="str">
        <f t="shared" si="44"/>
        <v>Z</v>
      </c>
      <c r="P473" s="7" t="str">
        <f t="shared" si="45"/>
        <v>CZ</v>
      </c>
      <c r="S473" s="6" t="s">
        <v>729</v>
      </c>
      <c r="T473" s="25">
        <v>2</v>
      </c>
      <c r="U473" s="7" t="str">
        <v>CZ</v>
      </c>
      <c r="Y473" t="e">
        <v>#N/A</v>
      </c>
      <c r="Z473" s="104"/>
    </row>
    <row r="474" spans="1:26">
      <c r="A474" s="133" t="s">
        <v>730</v>
      </c>
      <c r="B474" s="7"/>
      <c r="C474" s="7"/>
      <c r="D474" s="7">
        <v>30000000</v>
      </c>
      <c r="E474" s="7"/>
      <c r="F474" s="7"/>
      <c r="G474" s="7"/>
      <c r="H474" s="7"/>
      <c r="I474" s="7"/>
      <c r="J474" s="7"/>
      <c r="K474" s="7">
        <v>30000000</v>
      </c>
      <c r="L474" s="134">
        <f t="shared" si="46"/>
        <v>0.98657378477631619</v>
      </c>
      <c r="M474" s="7" t="str">
        <f t="shared" si="42"/>
        <v>C</v>
      </c>
      <c r="N474" s="7">
        <f t="shared" si="43"/>
        <v>0</v>
      </c>
      <c r="O474" s="7" t="str">
        <f t="shared" si="44"/>
        <v>Z</v>
      </c>
      <c r="P474" s="7" t="str">
        <f t="shared" si="45"/>
        <v>CZ</v>
      </c>
      <c r="S474" s="6" t="s">
        <v>731</v>
      </c>
      <c r="T474" s="25">
        <v>1</v>
      </c>
      <c r="U474" s="7" t="str">
        <v>CZ</v>
      </c>
      <c r="Y474" t="e">
        <v>#N/A</v>
      </c>
      <c r="Z474" s="104"/>
    </row>
    <row r="475" spans="1:26">
      <c r="A475" s="133" t="s">
        <v>531</v>
      </c>
      <c r="B475" s="7"/>
      <c r="C475" s="7"/>
      <c r="D475" s="7"/>
      <c r="E475" s="7"/>
      <c r="F475" s="7"/>
      <c r="G475" s="7"/>
      <c r="H475" s="7"/>
      <c r="I475" s="7"/>
      <c r="J475" s="7">
        <v>30000000</v>
      </c>
      <c r="K475" s="7">
        <v>30000000</v>
      </c>
      <c r="L475" s="134">
        <f t="shared" si="46"/>
        <v>0.98667352569368871</v>
      </c>
      <c r="M475" s="7" t="str">
        <f t="shared" si="42"/>
        <v>C</v>
      </c>
      <c r="N475" s="7">
        <f t="shared" si="43"/>
        <v>0</v>
      </c>
      <c r="O475" s="7" t="str">
        <f t="shared" si="44"/>
        <v>Z</v>
      </c>
      <c r="P475" s="7" t="str">
        <f t="shared" si="45"/>
        <v>CZ</v>
      </c>
      <c r="S475" s="6" t="s">
        <v>732</v>
      </c>
      <c r="T475" s="25">
        <v>1</v>
      </c>
      <c r="U475" s="7" t="str">
        <v>CZ</v>
      </c>
      <c r="Y475" t="e">
        <v>#N/A</v>
      </c>
      <c r="Z475" s="104"/>
    </row>
    <row r="476" spans="1:26">
      <c r="A476" s="133" t="s">
        <v>549</v>
      </c>
      <c r="B476" s="7"/>
      <c r="C476" s="7"/>
      <c r="D476" s="7"/>
      <c r="E476" s="7"/>
      <c r="F476" s="7"/>
      <c r="G476" s="7"/>
      <c r="H476" s="7"/>
      <c r="I476" s="7"/>
      <c r="J476" s="7">
        <v>30000000</v>
      </c>
      <c r="K476" s="7">
        <v>30000000</v>
      </c>
      <c r="L476" s="134">
        <f t="shared" si="46"/>
        <v>0.98677326661106124</v>
      </c>
      <c r="M476" s="7" t="str">
        <f t="shared" si="42"/>
        <v>C</v>
      </c>
      <c r="N476" s="7">
        <f t="shared" si="43"/>
        <v>0</v>
      </c>
      <c r="O476" s="7" t="str">
        <f t="shared" si="44"/>
        <v>Z</v>
      </c>
      <c r="P476" s="7" t="str">
        <f t="shared" si="45"/>
        <v>CZ</v>
      </c>
      <c r="S476" s="6" t="s">
        <v>733</v>
      </c>
      <c r="T476" s="25">
        <v>2</v>
      </c>
      <c r="U476" s="7" t="str">
        <v>CZ</v>
      </c>
      <c r="Y476" t="e">
        <v>#N/A</v>
      </c>
      <c r="Z476" s="104"/>
    </row>
    <row r="477" spans="1:26">
      <c r="A477" s="133" t="s">
        <v>734</v>
      </c>
      <c r="B477" s="7"/>
      <c r="C477" s="7"/>
      <c r="D477" s="7"/>
      <c r="E477" s="7"/>
      <c r="F477" s="7"/>
      <c r="G477" s="7">
        <v>30000000</v>
      </c>
      <c r="H477" s="7"/>
      <c r="I477" s="7"/>
      <c r="J477" s="7"/>
      <c r="K477" s="7">
        <v>30000000</v>
      </c>
      <c r="L477" s="134">
        <f t="shared" si="46"/>
        <v>0.98687300752843377</v>
      </c>
      <c r="M477" s="7" t="str">
        <f t="shared" si="42"/>
        <v>C</v>
      </c>
      <c r="N477" s="7">
        <f t="shared" si="43"/>
        <v>0</v>
      </c>
      <c r="O477" s="7" t="str">
        <f t="shared" si="44"/>
        <v>Z</v>
      </c>
      <c r="P477" s="7" t="str">
        <f t="shared" si="45"/>
        <v>CZ</v>
      </c>
      <c r="S477" s="6" t="s">
        <v>394</v>
      </c>
      <c r="T477" s="25">
        <v>1</v>
      </c>
      <c r="U477" s="7" t="str">
        <v>BZ</v>
      </c>
      <c r="Y477" t="e">
        <v>#N/A</v>
      </c>
      <c r="Z477" s="104"/>
    </row>
    <row r="478" spans="1:26">
      <c r="A478" s="133" t="s">
        <v>676</v>
      </c>
      <c r="B478" s="7"/>
      <c r="C478" s="7"/>
      <c r="D478" s="7"/>
      <c r="E478" s="7"/>
      <c r="F478" s="7"/>
      <c r="G478" s="7"/>
      <c r="H478" s="7"/>
      <c r="I478" s="7"/>
      <c r="J478" s="7">
        <v>29400000</v>
      </c>
      <c r="K478" s="7">
        <v>29400000</v>
      </c>
      <c r="L478" s="134">
        <f t="shared" si="46"/>
        <v>0.9869707536274589</v>
      </c>
      <c r="M478" s="7" t="str">
        <f t="shared" si="42"/>
        <v>C</v>
      </c>
      <c r="N478" s="7">
        <f t="shared" si="43"/>
        <v>0</v>
      </c>
      <c r="O478" s="7" t="str">
        <f t="shared" si="44"/>
        <v>Z</v>
      </c>
      <c r="P478" s="7" t="str">
        <f t="shared" si="45"/>
        <v>CZ</v>
      </c>
      <c r="S478" s="6" t="s">
        <v>394</v>
      </c>
      <c r="T478" s="25">
        <v>1</v>
      </c>
      <c r="U478" s="7" t="str">
        <v>BZ</v>
      </c>
      <c r="Y478" t="e">
        <v>#N/A</v>
      </c>
      <c r="Z478" s="104"/>
    </row>
    <row r="479" spans="1:26">
      <c r="A479" s="133" t="s">
        <v>372</v>
      </c>
      <c r="B479" s="7">
        <v>3250000</v>
      </c>
      <c r="C479" s="7"/>
      <c r="D479" s="7"/>
      <c r="E479" s="7">
        <v>3250000</v>
      </c>
      <c r="F479" s="7"/>
      <c r="G479" s="7"/>
      <c r="H479" s="7">
        <v>22750000</v>
      </c>
      <c r="I479" s="7"/>
      <c r="J479" s="7"/>
      <c r="K479" s="7">
        <v>29250000</v>
      </c>
      <c r="L479" s="134">
        <f t="shared" si="46"/>
        <v>0.98706800102189707</v>
      </c>
      <c r="M479" s="7" t="str">
        <f t="shared" si="42"/>
        <v>C</v>
      </c>
      <c r="N479" s="7">
        <f t="shared" si="43"/>
        <v>0.94280904158206347</v>
      </c>
      <c r="O479" s="7" t="str">
        <f t="shared" si="44"/>
        <v>Z</v>
      </c>
      <c r="P479" s="7" t="str">
        <f t="shared" si="45"/>
        <v>CZ</v>
      </c>
      <c r="S479" s="6" t="s">
        <v>735</v>
      </c>
      <c r="T479" s="25">
        <v>1</v>
      </c>
      <c r="U479" s="7" t="str">
        <v>CZ</v>
      </c>
      <c r="Y479" t="e">
        <v>#N/A</v>
      </c>
      <c r="Z479" s="104"/>
    </row>
    <row r="480" spans="1:26">
      <c r="A480" s="133" t="s">
        <v>703</v>
      </c>
      <c r="B480" s="7"/>
      <c r="C480" s="7"/>
      <c r="D480" s="7"/>
      <c r="E480" s="7"/>
      <c r="F480" s="7"/>
      <c r="G480" s="7"/>
      <c r="H480" s="7">
        <v>17590000</v>
      </c>
      <c r="I480" s="7">
        <v>11212000</v>
      </c>
      <c r="J480" s="7"/>
      <c r="K480" s="7">
        <v>28802000</v>
      </c>
      <c r="L480" s="134">
        <f t="shared" si="46"/>
        <v>0.98716375895196917</v>
      </c>
      <c r="M480" s="7" t="str">
        <f t="shared" si="42"/>
        <v>C</v>
      </c>
      <c r="N480" s="7">
        <f t="shared" si="43"/>
        <v>0.22144295535032291</v>
      </c>
      <c r="O480" s="7" t="str">
        <f t="shared" si="44"/>
        <v>X</v>
      </c>
      <c r="P480" s="7" t="str">
        <f t="shared" si="45"/>
        <v>CX</v>
      </c>
      <c r="S480" s="6" t="s">
        <v>736</v>
      </c>
      <c r="T480" s="25">
        <v>1</v>
      </c>
      <c r="U480" s="7" t="str">
        <v>CZ</v>
      </c>
      <c r="Y480" t="e">
        <v>#N/A</v>
      </c>
      <c r="Z480" s="104"/>
    </row>
    <row r="481" spans="1:26">
      <c r="A481" s="133" t="s">
        <v>737</v>
      </c>
      <c r="B481" s="7"/>
      <c r="C481" s="7"/>
      <c r="D481" s="7"/>
      <c r="E481" s="7">
        <v>3200000</v>
      </c>
      <c r="F481" s="7"/>
      <c r="G481" s="7">
        <v>12800000</v>
      </c>
      <c r="H481" s="7"/>
      <c r="I481" s="7">
        <v>12800000</v>
      </c>
      <c r="J481" s="7"/>
      <c r="K481" s="7">
        <v>28800000</v>
      </c>
      <c r="L481" s="134">
        <f t="shared" si="46"/>
        <v>0.9872595102326468</v>
      </c>
      <c r="M481" s="7" t="str">
        <f t="shared" si="42"/>
        <v>C</v>
      </c>
      <c r="N481" s="7">
        <f t="shared" si="43"/>
        <v>0.47140452079103173</v>
      </c>
      <c r="O481" s="7" t="str">
        <f t="shared" si="44"/>
        <v>Y</v>
      </c>
      <c r="P481" s="7" t="str">
        <f t="shared" si="45"/>
        <v>CY</v>
      </c>
      <c r="S481" s="6" t="s">
        <v>738</v>
      </c>
      <c r="T481" s="25">
        <v>1</v>
      </c>
      <c r="U481" s="7" t="str">
        <v>CZ</v>
      </c>
      <c r="Y481" t="e">
        <v>#N/A</v>
      </c>
      <c r="Z481" s="104"/>
    </row>
    <row r="482" spans="1:26">
      <c r="A482" s="133" t="s">
        <v>739</v>
      </c>
      <c r="B482" s="7">
        <v>1710000</v>
      </c>
      <c r="C482" s="7"/>
      <c r="D482" s="7">
        <v>3810000</v>
      </c>
      <c r="E482" s="7">
        <v>4800000</v>
      </c>
      <c r="F482" s="7">
        <v>5310000</v>
      </c>
      <c r="G482" s="7">
        <v>8460000</v>
      </c>
      <c r="H482" s="7">
        <v>1470000</v>
      </c>
      <c r="I482" s="7">
        <v>3000000</v>
      </c>
      <c r="J482" s="7"/>
      <c r="K482" s="7">
        <v>28560000</v>
      </c>
      <c r="L482" s="134">
        <f t="shared" si="46"/>
        <v>0.98735446358598544</v>
      </c>
      <c r="M482" s="7" t="str">
        <f t="shared" si="42"/>
        <v>C</v>
      </c>
      <c r="N482" s="7">
        <f t="shared" si="43"/>
        <v>0.54714691619268008</v>
      </c>
      <c r="O482" s="7" t="str">
        <f t="shared" si="44"/>
        <v>Y</v>
      </c>
      <c r="P482" s="7" t="str">
        <f t="shared" si="45"/>
        <v>CY</v>
      </c>
      <c r="S482" s="6" t="s">
        <v>247</v>
      </c>
      <c r="T482" s="25">
        <v>2</v>
      </c>
      <c r="U482" s="7" t="str">
        <v>AZ</v>
      </c>
      <c r="Y482" t="e">
        <v>#N/A</v>
      </c>
      <c r="Z482" s="104"/>
    </row>
    <row r="483" spans="1:26">
      <c r="A483" s="133" t="s">
        <v>740</v>
      </c>
      <c r="B483" s="7"/>
      <c r="C483" s="7">
        <v>28500000</v>
      </c>
      <c r="D483" s="7"/>
      <c r="E483" s="7"/>
      <c r="F483" s="7"/>
      <c r="G483" s="7"/>
      <c r="H483" s="7"/>
      <c r="I483" s="7"/>
      <c r="J483" s="7"/>
      <c r="K483" s="7">
        <v>28500000</v>
      </c>
      <c r="L483" s="134">
        <f t="shared" si="46"/>
        <v>0.98744921745748937</v>
      </c>
      <c r="M483" s="7" t="str">
        <f t="shared" si="42"/>
        <v>C</v>
      </c>
      <c r="N483" s="7">
        <f t="shared" si="43"/>
        <v>0</v>
      </c>
      <c r="O483" s="7" t="str">
        <f t="shared" si="44"/>
        <v>Z</v>
      </c>
      <c r="P483" s="7" t="str">
        <f t="shared" si="45"/>
        <v>CZ</v>
      </c>
      <c r="S483" s="6" t="s">
        <v>741</v>
      </c>
      <c r="T483" s="25">
        <v>1</v>
      </c>
      <c r="U483" s="7" t="str">
        <v>CZ</v>
      </c>
      <c r="Y483" t="e">
        <v>#N/A</v>
      </c>
      <c r="Z483" s="104"/>
    </row>
    <row r="484" spans="1:26">
      <c r="A484" s="133" t="s">
        <v>380</v>
      </c>
      <c r="B484" s="7">
        <v>6384000</v>
      </c>
      <c r="C484" s="7"/>
      <c r="D484" s="7"/>
      <c r="E484" s="7"/>
      <c r="F484" s="7">
        <v>6384000</v>
      </c>
      <c r="G484" s="7"/>
      <c r="H484" s="7">
        <v>6384000</v>
      </c>
      <c r="I484" s="7">
        <v>9120000</v>
      </c>
      <c r="J484" s="7"/>
      <c r="K484" s="7">
        <v>28272000</v>
      </c>
      <c r="L484" s="134">
        <f t="shared" si="46"/>
        <v>0.98754321329802119</v>
      </c>
      <c r="M484" s="7" t="str">
        <f t="shared" si="42"/>
        <v>C</v>
      </c>
      <c r="N484" s="7">
        <f t="shared" si="43"/>
        <v>0.16761782008731071</v>
      </c>
      <c r="O484" s="7" t="str">
        <f t="shared" si="44"/>
        <v>X</v>
      </c>
      <c r="P484" s="7" t="str">
        <f t="shared" si="45"/>
        <v>CX</v>
      </c>
      <c r="S484" s="6" t="s">
        <v>612</v>
      </c>
      <c r="T484" s="25">
        <v>1</v>
      </c>
      <c r="U484" s="7" t="str">
        <v>CZ</v>
      </c>
      <c r="Y484" t="e">
        <v>#N/A</v>
      </c>
      <c r="Z484" s="104"/>
    </row>
    <row r="485" spans="1:26">
      <c r="A485" s="133" t="s">
        <v>565</v>
      </c>
      <c r="B485" s="7"/>
      <c r="C485" s="7"/>
      <c r="D485" s="7"/>
      <c r="E485" s="7">
        <v>6398000</v>
      </c>
      <c r="F485" s="7"/>
      <c r="G485" s="7">
        <v>21870000</v>
      </c>
      <c r="H485" s="7"/>
      <c r="I485" s="7"/>
      <c r="J485" s="7"/>
      <c r="K485" s="7">
        <v>28268000</v>
      </c>
      <c r="L485" s="134">
        <f t="shared" si="46"/>
        <v>0.98763719583976406</v>
      </c>
      <c r="M485" s="7" t="str">
        <f t="shared" si="42"/>
        <v>C</v>
      </c>
      <c r="N485" s="7">
        <f t="shared" si="43"/>
        <v>0.54733267298712329</v>
      </c>
      <c r="O485" s="7" t="str">
        <f t="shared" si="44"/>
        <v>Y</v>
      </c>
      <c r="P485" s="7" t="str">
        <f t="shared" si="45"/>
        <v>CY</v>
      </c>
      <c r="S485" s="6" t="s">
        <v>516</v>
      </c>
      <c r="T485" s="25">
        <v>1</v>
      </c>
      <c r="U485" s="7" t="str">
        <v>BZ</v>
      </c>
      <c r="Y485" t="e">
        <v>#N/A</v>
      </c>
      <c r="Z485" s="104"/>
    </row>
    <row r="486" spans="1:26">
      <c r="A486" s="133" t="s">
        <v>742</v>
      </c>
      <c r="B486" s="7">
        <v>750000</v>
      </c>
      <c r="C486" s="7"/>
      <c r="D486" s="7"/>
      <c r="E486" s="7">
        <v>15750000</v>
      </c>
      <c r="F486" s="7"/>
      <c r="G486" s="7">
        <v>750000</v>
      </c>
      <c r="H486" s="7">
        <v>11000000</v>
      </c>
      <c r="I486" s="7"/>
      <c r="J486" s="7"/>
      <c r="K486" s="7">
        <v>28250000</v>
      </c>
      <c r="L486" s="134">
        <f t="shared" si="46"/>
        <v>0.9877311185369565</v>
      </c>
      <c r="M486" s="7" t="str">
        <f t="shared" si="42"/>
        <v>C</v>
      </c>
      <c r="N486" s="7">
        <f t="shared" si="43"/>
        <v>0.92489519527846908</v>
      </c>
      <c r="O486" s="7" t="str">
        <f t="shared" si="44"/>
        <v>Z</v>
      </c>
      <c r="P486" s="7" t="str">
        <f t="shared" si="45"/>
        <v>CZ</v>
      </c>
      <c r="S486" s="6" t="s">
        <v>743</v>
      </c>
      <c r="T486" s="25">
        <v>1</v>
      </c>
      <c r="U486" s="7" t="str">
        <v>CZ</v>
      </c>
      <c r="Y486" t="e">
        <v>#N/A</v>
      </c>
      <c r="Z486" s="104"/>
    </row>
    <row r="487" spans="1:26">
      <c r="A487" s="133" t="s">
        <v>456</v>
      </c>
      <c r="B487" s="7"/>
      <c r="C487" s="7"/>
      <c r="D487" s="7"/>
      <c r="E487" s="7"/>
      <c r="F487" s="7"/>
      <c r="G487" s="7"/>
      <c r="H487" s="7">
        <v>7026000</v>
      </c>
      <c r="I487" s="7">
        <v>7026000</v>
      </c>
      <c r="J487" s="7">
        <v>14052000</v>
      </c>
      <c r="K487" s="7">
        <v>28104000</v>
      </c>
      <c r="L487" s="134">
        <f t="shared" si="46"/>
        <v>0.98782455582835105</v>
      </c>
      <c r="M487" s="7" t="str">
        <f t="shared" si="42"/>
        <v>C</v>
      </c>
      <c r="N487" s="7">
        <f t="shared" si="43"/>
        <v>0.35355339059327373</v>
      </c>
      <c r="O487" s="7" t="str">
        <f t="shared" si="44"/>
        <v>Y</v>
      </c>
      <c r="P487" s="7" t="str">
        <f t="shared" si="45"/>
        <v>CY</v>
      </c>
      <c r="S487" s="6" t="s">
        <v>744</v>
      </c>
      <c r="T487" s="25">
        <v>1</v>
      </c>
      <c r="U487" s="7" t="str">
        <v>CZ</v>
      </c>
      <c r="Y487" t="e">
        <v>#N/A</v>
      </c>
      <c r="Z487" s="104"/>
    </row>
    <row r="488" spans="1:26">
      <c r="A488" s="133" t="s">
        <v>745</v>
      </c>
      <c r="B488" s="7"/>
      <c r="C488" s="7"/>
      <c r="D488" s="7"/>
      <c r="E488" s="7"/>
      <c r="F488" s="7"/>
      <c r="G488" s="7"/>
      <c r="H488" s="7">
        <v>14820000</v>
      </c>
      <c r="I488" s="7">
        <v>13180000</v>
      </c>
      <c r="J488" s="7"/>
      <c r="K488" s="7">
        <v>28000000</v>
      </c>
      <c r="L488" s="134">
        <f t="shared" si="46"/>
        <v>0.98791764735123211</v>
      </c>
      <c r="M488" s="7" t="str">
        <f t="shared" si="42"/>
        <v>C</v>
      </c>
      <c r="N488" s="7">
        <f t="shared" si="43"/>
        <v>5.8571428571428573E-2</v>
      </c>
      <c r="O488" s="7" t="str">
        <f t="shared" si="44"/>
        <v>X</v>
      </c>
      <c r="P488" s="7" t="str">
        <f t="shared" si="45"/>
        <v>CX</v>
      </c>
      <c r="S488" s="6" t="s">
        <v>644</v>
      </c>
      <c r="T488" s="25">
        <v>1</v>
      </c>
      <c r="U488" s="7" t="str">
        <v>CZ</v>
      </c>
      <c r="Y488" t="e">
        <v>#N/A</v>
      </c>
      <c r="Z488" s="104"/>
    </row>
    <row r="489" spans="1:26">
      <c r="A489" s="133" t="s">
        <v>746</v>
      </c>
      <c r="B489" s="7"/>
      <c r="C489" s="7"/>
      <c r="D489" s="7"/>
      <c r="E489" s="7"/>
      <c r="F489" s="7"/>
      <c r="G489" s="7"/>
      <c r="H489" s="7"/>
      <c r="I489" s="7"/>
      <c r="J489" s="7">
        <v>27910000</v>
      </c>
      <c r="K489" s="7">
        <v>27910000</v>
      </c>
      <c r="L489" s="134">
        <f t="shared" si="46"/>
        <v>0.98801043965136104</v>
      </c>
      <c r="M489" s="7" t="str">
        <f t="shared" si="42"/>
        <v>C</v>
      </c>
      <c r="N489" s="7">
        <f t="shared" si="43"/>
        <v>0</v>
      </c>
      <c r="O489" s="7" t="str">
        <f t="shared" si="44"/>
        <v>Z</v>
      </c>
      <c r="P489" s="7" t="str">
        <f t="shared" si="45"/>
        <v>CZ</v>
      </c>
      <c r="S489" s="6" t="s">
        <v>483</v>
      </c>
      <c r="T489" s="25">
        <v>1</v>
      </c>
      <c r="U489" s="7" t="str">
        <v>BY</v>
      </c>
      <c r="Y489" t="e">
        <v>#N/A</v>
      </c>
      <c r="Z489" s="104"/>
    </row>
    <row r="490" spans="1:26">
      <c r="A490" s="133" t="s">
        <v>654</v>
      </c>
      <c r="B490" s="7"/>
      <c r="C490" s="7"/>
      <c r="D490" s="7"/>
      <c r="E490" s="7"/>
      <c r="F490" s="7"/>
      <c r="G490" s="7"/>
      <c r="H490" s="7">
        <v>4001000</v>
      </c>
      <c r="I490" s="7">
        <v>23688000</v>
      </c>
      <c r="J490" s="7"/>
      <c r="K490" s="7">
        <v>27689000</v>
      </c>
      <c r="L490" s="134">
        <f t="shared" si="46"/>
        <v>0.9881024971933986</v>
      </c>
      <c r="M490" s="7" t="str">
        <f t="shared" si="42"/>
        <v>C</v>
      </c>
      <c r="N490" s="7">
        <f t="shared" si="43"/>
        <v>0.7110043699664127</v>
      </c>
      <c r="O490" s="7" t="str">
        <f t="shared" si="44"/>
        <v>Z</v>
      </c>
      <c r="P490" s="7" t="str">
        <f t="shared" si="45"/>
        <v>CZ</v>
      </c>
      <c r="S490" s="6" t="s">
        <v>483</v>
      </c>
      <c r="T490" s="25">
        <v>1</v>
      </c>
      <c r="U490" s="7" t="str">
        <v>BY</v>
      </c>
      <c r="Y490" t="e">
        <v>#N/A</v>
      </c>
      <c r="Z490" s="104"/>
    </row>
    <row r="491" spans="1:26">
      <c r="A491" s="133" t="s">
        <v>505</v>
      </c>
      <c r="B491" s="7"/>
      <c r="C491" s="7"/>
      <c r="D491" s="7"/>
      <c r="E491" s="7"/>
      <c r="F491" s="7"/>
      <c r="G491" s="7">
        <v>27600000</v>
      </c>
      <c r="H491" s="7"/>
      <c r="I491" s="7"/>
      <c r="J491" s="7"/>
      <c r="K491" s="7">
        <v>27600000</v>
      </c>
      <c r="L491" s="134">
        <f t="shared" si="46"/>
        <v>0.98819425883738132</v>
      </c>
      <c r="M491" s="7" t="str">
        <f t="shared" si="42"/>
        <v>C</v>
      </c>
      <c r="N491" s="7">
        <f t="shared" si="43"/>
        <v>0</v>
      </c>
      <c r="O491" s="7" t="str">
        <f t="shared" si="44"/>
        <v>Z</v>
      </c>
      <c r="P491" s="7" t="str">
        <f t="shared" si="45"/>
        <v>CZ</v>
      </c>
      <c r="S491" s="6" t="s">
        <v>439</v>
      </c>
      <c r="T491" s="25">
        <v>1</v>
      </c>
      <c r="U491" s="7" t="str">
        <v>BX</v>
      </c>
      <c r="Y491" t="e">
        <v>#N/A</v>
      </c>
      <c r="Z491" s="104"/>
    </row>
    <row r="492" spans="1:26">
      <c r="A492" s="133" t="s">
        <v>664</v>
      </c>
      <c r="B492" s="7"/>
      <c r="C492" s="7"/>
      <c r="D492" s="7"/>
      <c r="E492" s="7"/>
      <c r="F492" s="7"/>
      <c r="G492" s="7"/>
      <c r="H492" s="7"/>
      <c r="I492" s="7"/>
      <c r="J492" s="7">
        <v>27300000</v>
      </c>
      <c r="K492" s="7">
        <v>27300000</v>
      </c>
      <c r="L492" s="134">
        <f t="shared" si="46"/>
        <v>0.98828502307219035</v>
      </c>
      <c r="M492" s="7" t="str">
        <f t="shared" si="42"/>
        <v>C</v>
      </c>
      <c r="N492" s="7">
        <f t="shared" si="43"/>
        <v>0</v>
      </c>
      <c r="O492" s="7" t="str">
        <f t="shared" si="44"/>
        <v>Z</v>
      </c>
      <c r="P492" s="7" t="str">
        <f t="shared" si="45"/>
        <v>CZ</v>
      </c>
      <c r="S492" s="6" t="s">
        <v>439</v>
      </c>
      <c r="T492" s="25">
        <v>2</v>
      </c>
      <c r="U492" s="7" t="str">
        <v>BX</v>
      </c>
      <c r="Y492" t="e">
        <v>#N/A</v>
      </c>
      <c r="Z492" s="104"/>
    </row>
    <row r="493" spans="1:26">
      <c r="A493" s="133" t="s">
        <v>666</v>
      </c>
      <c r="B493" s="7"/>
      <c r="C493" s="7"/>
      <c r="D493" s="7"/>
      <c r="E493" s="7"/>
      <c r="F493" s="7"/>
      <c r="G493" s="7"/>
      <c r="H493" s="7"/>
      <c r="I493" s="7"/>
      <c r="J493" s="7">
        <v>27300000</v>
      </c>
      <c r="K493" s="7">
        <v>27300000</v>
      </c>
      <c r="L493" s="134">
        <f t="shared" si="46"/>
        <v>0.98837578730699938</v>
      </c>
      <c r="M493" s="7" t="str">
        <f t="shared" si="42"/>
        <v>C</v>
      </c>
      <c r="N493" s="7">
        <f t="shared" si="43"/>
        <v>0</v>
      </c>
      <c r="O493" s="7" t="str">
        <f t="shared" si="44"/>
        <v>Z</v>
      </c>
      <c r="P493" s="7" t="str">
        <f t="shared" si="45"/>
        <v>CZ</v>
      </c>
      <c r="S493" s="6" t="s">
        <v>747</v>
      </c>
      <c r="T493" s="25">
        <v>1</v>
      </c>
      <c r="U493" s="7" t="str">
        <v>CZ</v>
      </c>
      <c r="Y493" t="e">
        <v>#N/A</v>
      </c>
      <c r="Z493" s="104"/>
    </row>
    <row r="494" spans="1:26">
      <c r="A494" s="133" t="s">
        <v>748</v>
      </c>
      <c r="B494" s="7"/>
      <c r="C494" s="7"/>
      <c r="D494" s="7"/>
      <c r="E494" s="7"/>
      <c r="F494" s="7"/>
      <c r="G494" s="7"/>
      <c r="H494" s="7"/>
      <c r="I494" s="7"/>
      <c r="J494" s="7">
        <v>27210000</v>
      </c>
      <c r="K494" s="7">
        <v>27210000</v>
      </c>
      <c r="L494" s="134">
        <f t="shared" si="46"/>
        <v>0.98846625231905627</v>
      </c>
      <c r="M494" s="7" t="str">
        <f t="shared" si="42"/>
        <v>C</v>
      </c>
      <c r="N494" s="7">
        <f t="shared" si="43"/>
        <v>0</v>
      </c>
      <c r="O494" s="7" t="str">
        <f t="shared" si="44"/>
        <v>Z</v>
      </c>
      <c r="P494" s="7" t="str">
        <f t="shared" si="45"/>
        <v>CZ</v>
      </c>
      <c r="S494" s="6" t="s">
        <v>749</v>
      </c>
      <c r="T494" s="25">
        <v>1</v>
      </c>
      <c r="U494" s="7" t="str">
        <v>CZ</v>
      </c>
      <c r="Y494" t="e">
        <v>#N/A</v>
      </c>
      <c r="Z494" s="104"/>
    </row>
    <row r="495" spans="1:26">
      <c r="A495" s="133" t="s">
        <v>750</v>
      </c>
      <c r="B495" s="7">
        <v>8400000</v>
      </c>
      <c r="C495" s="7"/>
      <c r="D495" s="7">
        <v>18720000</v>
      </c>
      <c r="E495" s="7"/>
      <c r="F495" s="7"/>
      <c r="G495" s="7"/>
      <c r="H495" s="7"/>
      <c r="I495" s="7"/>
      <c r="J495" s="7"/>
      <c r="K495" s="7">
        <v>27120000</v>
      </c>
      <c r="L495" s="134">
        <f t="shared" si="46"/>
        <v>0.98855641810836103</v>
      </c>
      <c r="M495" s="7" t="str">
        <f t="shared" si="42"/>
        <v>C</v>
      </c>
      <c r="N495" s="7">
        <f t="shared" si="43"/>
        <v>0.38053097345132741</v>
      </c>
      <c r="O495" s="7" t="str">
        <f t="shared" si="44"/>
        <v>Y</v>
      </c>
      <c r="P495" s="7" t="str">
        <f t="shared" si="45"/>
        <v>CY</v>
      </c>
      <c r="S495" s="6" t="s">
        <v>751</v>
      </c>
      <c r="T495" s="25">
        <v>1</v>
      </c>
      <c r="U495" s="7" t="str">
        <v>CZ</v>
      </c>
      <c r="Y495" t="e">
        <v>#N/A</v>
      </c>
      <c r="Z495" s="104"/>
    </row>
    <row r="496" spans="1:26">
      <c r="A496" s="133" t="s">
        <v>727</v>
      </c>
      <c r="B496" s="7"/>
      <c r="C496" s="7"/>
      <c r="D496" s="7"/>
      <c r="E496" s="7"/>
      <c r="F496" s="7"/>
      <c r="G496" s="7"/>
      <c r="H496" s="7"/>
      <c r="I496" s="7">
        <v>26250000</v>
      </c>
      <c r="J496" s="7"/>
      <c r="K496" s="7">
        <v>26250000</v>
      </c>
      <c r="L496" s="134">
        <f t="shared" si="46"/>
        <v>0.98864369141106201</v>
      </c>
      <c r="M496" s="7" t="str">
        <f t="shared" si="42"/>
        <v>C</v>
      </c>
      <c r="N496" s="7">
        <f t="shared" si="43"/>
        <v>0</v>
      </c>
      <c r="O496" s="7" t="str">
        <f t="shared" si="44"/>
        <v>Z</v>
      </c>
      <c r="P496" s="7" t="str">
        <f t="shared" si="45"/>
        <v>CZ</v>
      </c>
      <c r="S496" s="6" t="s">
        <v>752</v>
      </c>
      <c r="T496" s="25">
        <v>1</v>
      </c>
      <c r="U496" s="7" t="str">
        <v>CZ</v>
      </c>
      <c r="Y496" t="e">
        <v>#N/A</v>
      </c>
      <c r="Z496" s="104"/>
    </row>
    <row r="497" spans="1:26">
      <c r="A497" s="133" t="s">
        <v>753</v>
      </c>
      <c r="B497" s="7"/>
      <c r="C497" s="7"/>
      <c r="D497" s="7">
        <v>5563680</v>
      </c>
      <c r="E497" s="7">
        <v>5563680</v>
      </c>
      <c r="F497" s="7"/>
      <c r="G497" s="7">
        <v>5563680</v>
      </c>
      <c r="H497" s="7">
        <v>9272800</v>
      </c>
      <c r="I497" s="7"/>
      <c r="J497" s="7"/>
      <c r="K497" s="7">
        <v>25963840</v>
      </c>
      <c r="L497" s="134">
        <f t="shared" si="46"/>
        <v>0.98873001331839916</v>
      </c>
      <c r="M497" s="7" t="str">
        <f t="shared" si="42"/>
        <v>C</v>
      </c>
      <c r="N497" s="7">
        <f t="shared" si="43"/>
        <v>0.24743582965269675</v>
      </c>
      <c r="O497" s="7" t="str">
        <f t="shared" si="44"/>
        <v>X</v>
      </c>
      <c r="P497" s="7" t="str">
        <f t="shared" si="45"/>
        <v>CX</v>
      </c>
      <c r="S497" s="6" t="s">
        <v>754</v>
      </c>
      <c r="T497" s="25">
        <v>1</v>
      </c>
      <c r="U497" s="7" t="str">
        <v>CZ</v>
      </c>
      <c r="Y497" t="e">
        <v>#N/A</v>
      </c>
      <c r="Z497" s="104"/>
    </row>
    <row r="498" spans="1:26">
      <c r="A498" s="133" t="s">
        <v>755</v>
      </c>
      <c r="B498" s="7"/>
      <c r="C498" s="7"/>
      <c r="D498" s="7"/>
      <c r="E498" s="7"/>
      <c r="F498" s="7"/>
      <c r="G498" s="7"/>
      <c r="H498" s="7"/>
      <c r="I498" s="7"/>
      <c r="J498" s="7">
        <v>25862000</v>
      </c>
      <c r="K498" s="7">
        <v>25862000</v>
      </c>
      <c r="L498" s="134">
        <f t="shared" si="46"/>
        <v>0.98881599663856878</v>
      </c>
      <c r="M498" s="7" t="str">
        <f t="shared" si="42"/>
        <v>C</v>
      </c>
      <c r="N498" s="7">
        <f t="shared" si="43"/>
        <v>0</v>
      </c>
      <c r="O498" s="7" t="str">
        <f t="shared" si="44"/>
        <v>Z</v>
      </c>
      <c r="P498" s="7" t="str">
        <f t="shared" si="45"/>
        <v>CZ</v>
      </c>
      <c r="S498" s="6" t="s">
        <v>755</v>
      </c>
      <c r="T498" s="25">
        <v>1</v>
      </c>
      <c r="U498" s="7" t="str">
        <v>CZ</v>
      </c>
      <c r="Y498" t="e">
        <v>#N/A</v>
      </c>
      <c r="Z498" s="104"/>
    </row>
    <row r="499" spans="1:26">
      <c r="A499" s="133" t="s">
        <v>756</v>
      </c>
      <c r="B499" s="7"/>
      <c r="C499" s="7"/>
      <c r="D499" s="7"/>
      <c r="E499" s="7"/>
      <c r="F499" s="7"/>
      <c r="G499" s="7">
        <v>25853636</v>
      </c>
      <c r="H499" s="7"/>
      <c r="I499" s="7"/>
      <c r="J499" s="7"/>
      <c r="K499" s="7">
        <v>25853636</v>
      </c>
      <c r="L499" s="134">
        <f t="shared" si="46"/>
        <v>0.98890195215097065</v>
      </c>
      <c r="M499" s="7" t="str">
        <f t="shared" si="42"/>
        <v>C</v>
      </c>
      <c r="N499" s="7">
        <f t="shared" si="43"/>
        <v>0</v>
      </c>
      <c r="O499" s="7" t="str">
        <f t="shared" si="44"/>
        <v>Z</v>
      </c>
      <c r="P499" s="7" t="str">
        <f t="shared" si="45"/>
        <v>CZ</v>
      </c>
      <c r="S499" s="6" t="s">
        <v>663</v>
      </c>
      <c r="T499" s="25">
        <v>1</v>
      </c>
      <c r="U499" s="7" t="str">
        <v>CZ</v>
      </c>
      <c r="Y499" t="e">
        <v>#N/A</v>
      </c>
      <c r="Z499" s="104"/>
    </row>
    <row r="500" spans="1:26">
      <c r="A500" s="133" t="s">
        <v>757</v>
      </c>
      <c r="B500" s="7"/>
      <c r="C500" s="7"/>
      <c r="D500" s="7"/>
      <c r="E500" s="7"/>
      <c r="F500" s="7"/>
      <c r="G500" s="7"/>
      <c r="H500" s="7"/>
      <c r="I500" s="7">
        <v>25843000</v>
      </c>
      <c r="J500" s="7"/>
      <c r="K500" s="7">
        <v>25843000</v>
      </c>
      <c r="L500" s="134">
        <f t="shared" si="46"/>
        <v>0.98898787230189256</v>
      </c>
      <c r="M500" s="7" t="str">
        <f t="shared" si="42"/>
        <v>C</v>
      </c>
      <c r="N500" s="7">
        <f t="shared" si="43"/>
        <v>0</v>
      </c>
      <c r="O500" s="7" t="str">
        <f t="shared" si="44"/>
        <v>Z</v>
      </c>
      <c r="P500" s="7" t="str">
        <f t="shared" si="45"/>
        <v>CZ</v>
      </c>
      <c r="S500" s="6" t="s">
        <v>652</v>
      </c>
      <c r="T500" s="25">
        <v>1</v>
      </c>
      <c r="U500" s="7" t="str">
        <v>CZ</v>
      </c>
      <c r="Y500" t="e">
        <v>#N/A</v>
      </c>
      <c r="Z500" s="104"/>
    </row>
    <row r="501" spans="1:26">
      <c r="A501" s="133" t="s">
        <v>741</v>
      </c>
      <c r="B501" s="7"/>
      <c r="C501" s="7"/>
      <c r="D501" s="7"/>
      <c r="E501" s="7"/>
      <c r="F501" s="7"/>
      <c r="G501" s="7"/>
      <c r="H501" s="7"/>
      <c r="I501" s="7">
        <v>25650000</v>
      </c>
      <c r="J501" s="7"/>
      <c r="K501" s="7">
        <v>25650000</v>
      </c>
      <c r="L501" s="134">
        <f t="shared" si="46"/>
        <v>0.98907315078624602</v>
      </c>
      <c r="M501" s="7" t="str">
        <f t="shared" si="42"/>
        <v>C</v>
      </c>
      <c r="N501" s="7">
        <f t="shared" si="43"/>
        <v>0</v>
      </c>
      <c r="O501" s="7" t="str">
        <f t="shared" si="44"/>
        <v>Z</v>
      </c>
      <c r="P501" s="7" t="str">
        <f t="shared" si="45"/>
        <v>CZ</v>
      </c>
      <c r="S501" s="6" t="s">
        <v>600</v>
      </c>
      <c r="T501" s="25">
        <v>1</v>
      </c>
      <c r="U501" s="7" t="str">
        <v>CZ</v>
      </c>
      <c r="Y501" t="e">
        <v>#N/A</v>
      </c>
      <c r="Z501" s="104"/>
    </row>
    <row r="502" spans="1:26">
      <c r="A502" s="133" t="s">
        <v>758</v>
      </c>
      <c r="B502" s="7"/>
      <c r="C502" s="7">
        <v>10600000</v>
      </c>
      <c r="D502" s="7"/>
      <c r="E502" s="7">
        <v>14757200</v>
      </c>
      <c r="F502" s="7"/>
      <c r="G502" s="7"/>
      <c r="H502" s="7"/>
      <c r="I502" s="7"/>
      <c r="J502" s="7"/>
      <c r="K502" s="7">
        <v>25357200</v>
      </c>
      <c r="L502" s="134">
        <f t="shared" si="46"/>
        <v>0.98915745579924597</v>
      </c>
      <c r="M502" s="7" t="str">
        <f t="shared" si="42"/>
        <v>C</v>
      </c>
      <c r="N502" s="7">
        <f t="shared" si="43"/>
        <v>0.1639455460382061</v>
      </c>
      <c r="O502" s="7" t="str">
        <f t="shared" si="44"/>
        <v>X</v>
      </c>
      <c r="P502" s="7" t="str">
        <f t="shared" si="45"/>
        <v>CX</v>
      </c>
      <c r="S502" s="6" t="s">
        <v>636</v>
      </c>
      <c r="T502" s="25">
        <v>1</v>
      </c>
      <c r="U502" s="7" t="str">
        <v>CZ</v>
      </c>
      <c r="Y502" t="e">
        <v>#N/A</v>
      </c>
      <c r="Z502" s="104"/>
    </row>
    <row r="503" spans="1:26">
      <c r="A503" s="133" t="s">
        <v>678</v>
      </c>
      <c r="B503" s="7"/>
      <c r="C503" s="7"/>
      <c r="D503" s="7"/>
      <c r="E503" s="7"/>
      <c r="F503" s="7"/>
      <c r="G503" s="7"/>
      <c r="H503" s="7">
        <v>2625</v>
      </c>
      <c r="I503" s="7"/>
      <c r="J503" s="7">
        <v>25333875</v>
      </c>
      <c r="K503" s="7">
        <v>25336500</v>
      </c>
      <c r="L503" s="134">
        <f t="shared" si="46"/>
        <v>0.98924169199101297</v>
      </c>
      <c r="M503" s="7" t="str">
        <f t="shared" si="42"/>
        <v>C</v>
      </c>
      <c r="N503" s="7">
        <f t="shared" si="43"/>
        <v>0.99979278905926228</v>
      </c>
      <c r="O503" s="7" t="str">
        <f t="shared" si="44"/>
        <v>Z</v>
      </c>
      <c r="P503" s="7" t="str">
        <f t="shared" si="45"/>
        <v>CZ</v>
      </c>
      <c r="S503" s="6" t="s">
        <v>659</v>
      </c>
      <c r="T503" s="25">
        <v>1</v>
      </c>
      <c r="U503" s="7" t="str">
        <v>CZ</v>
      </c>
      <c r="Y503" t="e">
        <v>#N/A</v>
      </c>
      <c r="Z503" s="104"/>
    </row>
    <row r="504" spans="1:26">
      <c r="A504" s="133" t="s">
        <v>359</v>
      </c>
      <c r="B504" s="7"/>
      <c r="C504" s="7"/>
      <c r="D504" s="7"/>
      <c r="E504" s="7"/>
      <c r="F504" s="7">
        <v>7500000</v>
      </c>
      <c r="G504" s="7"/>
      <c r="H504" s="7">
        <v>17700000</v>
      </c>
      <c r="I504" s="7"/>
      <c r="J504" s="7"/>
      <c r="K504" s="7">
        <v>25200000</v>
      </c>
      <c r="L504" s="134">
        <f t="shared" si="46"/>
        <v>0.98932547436160589</v>
      </c>
      <c r="M504" s="7" t="str">
        <f t="shared" si="42"/>
        <v>C</v>
      </c>
      <c r="N504" s="7">
        <f t="shared" si="43"/>
        <v>0.40476190476190477</v>
      </c>
      <c r="O504" s="7" t="str">
        <f t="shared" si="44"/>
        <v>Y</v>
      </c>
      <c r="P504" s="7" t="str">
        <f t="shared" si="45"/>
        <v>CY</v>
      </c>
      <c r="S504" s="6" t="s">
        <v>560</v>
      </c>
      <c r="T504" s="25">
        <v>1</v>
      </c>
      <c r="U504" s="7" t="str">
        <v>CZ</v>
      </c>
      <c r="Y504" t="e">
        <v>#N/A</v>
      </c>
      <c r="Z504" s="104"/>
    </row>
    <row r="505" spans="1:26">
      <c r="A505" s="133" t="s">
        <v>305</v>
      </c>
      <c r="B505" s="7">
        <v>5000000</v>
      </c>
      <c r="C505" s="7"/>
      <c r="D505" s="7"/>
      <c r="E505" s="7"/>
      <c r="F505" s="7">
        <v>5000000</v>
      </c>
      <c r="G505" s="7"/>
      <c r="H505" s="7">
        <v>15000000</v>
      </c>
      <c r="I505" s="7"/>
      <c r="J505" s="7"/>
      <c r="K505" s="7">
        <v>25000000</v>
      </c>
      <c r="L505" s="134">
        <f t="shared" si="46"/>
        <v>0.98940859179274965</v>
      </c>
      <c r="M505" s="7" t="str">
        <f t="shared" si="42"/>
        <v>C</v>
      </c>
      <c r="N505" s="7">
        <f t="shared" si="43"/>
        <v>0.56568542494923801</v>
      </c>
      <c r="O505" s="7" t="str">
        <f t="shared" si="44"/>
        <v>Y</v>
      </c>
      <c r="P505" s="7" t="str">
        <f t="shared" si="45"/>
        <v>CY</v>
      </c>
      <c r="S505" s="6" t="s">
        <v>746</v>
      </c>
      <c r="T505" s="25">
        <v>1</v>
      </c>
      <c r="U505" s="7" t="str">
        <v>CZ</v>
      </c>
      <c r="Y505" t="e">
        <v>#N/A</v>
      </c>
      <c r="Z505" s="104"/>
    </row>
    <row r="506" spans="1:26">
      <c r="A506" s="133" t="s">
        <v>759</v>
      </c>
      <c r="B506" s="7"/>
      <c r="C506" s="7"/>
      <c r="D506" s="7">
        <v>23600000</v>
      </c>
      <c r="E506" s="7">
        <v>1386900</v>
      </c>
      <c r="F506" s="7"/>
      <c r="G506" s="7"/>
      <c r="H506" s="7"/>
      <c r="I506" s="7"/>
      <c r="J506" s="7"/>
      <c r="K506" s="7">
        <v>24986900</v>
      </c>
      <c r="L506" s="134">
        <f t="shared" si="46"/>
        <v>0.98949166567035951</v>
      </c>
      <c r="M506" s="7" t="str">
        <f t="shared" si="42"/>
        <v>C</v>
      </c>
      <c r="N506" s="7">
        <f t="shared" si="43"/>
        <v>0.8889898306712718</v>
      </c>
      <c r="O506" s="7" t="str">
        <f t="shared" si="44"/>
        <v>Z</v>
      </c>
      <c r="P506" s="7" t="str">
        <f t="shared" si="45"/>
        <v>CZ</v>
      </c>
      <c r="S506" s="6" t="s">
        <v>760</v>
      </c>
      <c r="T506" s="25">
        <v>1</v>
      </c>
      <c r="U506" s="7" t="str">
        <v>CZ</v>
      </c>
      <c r="Y506" t="e">
        <v>#N/A</v>
      </c>
      <c r="Z506" s="104"/>
    </row>
    <row r="507" spans="1:26">
      <c r="A507" s="133" t="s">
        <v>761</v>
      </c>
      <c r="B507" s="7">
        <v>2400000</v>
      </c>
      <c r="C507" s="7"/>
      <c r="D507" s="7"/>
      <c r="E507" s="7">
        <v>22500000</v>
      </c>
      <c r="F507" s="7"/>
      <c r="G507" s="7"/>
      <c r="H507" s="7"/>
      <c r="I507" s="7"/>
      <c r="J507" s="7"/>
      <c r="K507" s="7">
        <v>24900000</v>
      </c>
      <c r="L507" s="134">
        <f t="shared" si="46"/>
        <v>0.98957445063177873</v>
      </c>
      <c r="M507" s="7" t="str">
        <f t="shared" si="42"/>
        <v>C</v>
      </c>
      <c r="N507" s="7">
        <f t="shared" si="43"/>
        <v>0.80722891566265065</v>
      </c>
      <c r="O507" s="7" t="str">
        <f t="shared" si="44"/>
        <v>Z</v>
      </c>
      <c r="P507" s="7" t="str">
        <f t="shared" si="45"/>
        <v>CZ</v>
      </c>
      <c r="S507" s="6" t="s">
        <v>748</v>
      </c>
      <c r="T507" s="25">
        <v>1</v>
      </c>
      <c r="U507" s="7" t="str">
        <v>CZ</v>
      </c>
      <c r="Y507" t="e">
        <v>#N/A</v>
      </c>
      <c r="Z507" s="104"/>
    </row>
    <row r="508" spans="1:26">
      <c r="A508" s="133" t="s">
        <v>762</v>
      </c>
      <c r="B508" s="7">
        <v>11400000</v>
      </c>
      <c r="C508" s="7"/>
      <c r="D508" s="7"/>
      <c r="E508" s="7"/>
      <c r="F508" s="7"/>
      <c r="G508" s="7"/>
      <c r="H508" s="7"/>
      <c r="I508" s="7"/>
      <c r="J508" s="7">
        <v>13260000</v>
      </c>
      <c r="K508" s="7">
        <v>24660000</v>
      </c>
      <c r="L508" s="134">
        <f t="shared" si="46"/>
        <v>0.98965643766585898</v>
      </c>
      <c r="M508" s="7" t="str">
        <f t="shared" si="42"/>
        <v>C</v>
      </c>
      <c r="N508" s="7">
        <f t="shared" si="43"/>
        <v>7.5425790754257913E-2</v>
      </c>
      <c r="O508" s="7" t="str">
        <f t="shared" si="44"/>
        <v>X</v>
      </c>
      <c r="P508" s="7" t="str">
        <f t="shared" si="45"/>
        <v>CX</v>
      </c>
      <c r="S508" s="6" t="s">
        <v>763</v>
      </c>
      <c r="T508" s="25">
        <v>1</v>
      </c>
      <c r="U508" s="7" t="str">
        <v>CZ</v>
      </c>
      <c r="Y508" t="e">
        <v>#N/A</v>
      </c>
      <c r="Z508" s="104"/>
    </row>
    <row r="509" spans="1:26">
      <c r="A509" s="133" t="s">
        <v>634</v>
      </c>
      <c r="B509" s="7"/>
      <c r="C509" s="7"/>
      <c r="D509" s="7"/>
      <c r="E509" s="7"/>
      <c r="F509" s="7"/>
      <c r="G509" s="7"/>
      <c r="H509" s="7"/>
      <c r="I509" s="7">
        <v>24500000</v>
      </c>
      <c r="J509" s="7"/>
      <c r="K509" s="7">
        <v>24500000</v>
      </c>
      <c r="L509" s="134">
        <f t="shared" si="46"/>
        <v>0.98973789274837987</v>
      </c>
      <c r="M509" s="7" t="str">
        <f t="shared" si="42"/>
        <v>C</v>
      </c>
      <c r="N509" s="7">
        <f t="shared" si="43"/>
        <v>0</v>
      </c>
      <c r="O509" s="7" t="str">
        <f t="shared" si="44"/>
        <v>Z</v>
      </c>
      <c r="P509" s="7" t="str">
        <f t="shared" si="45"/>
        <v>CZ</v>
      </c>
      <c r="S509" s="6" t="s">
        <v>764</v>
      </c>
      <c r="T509" s="25">
        <v>1</v>
      </c>
      <c r="U509" s="7" t="str">
        <v>CZ</v>
      </c>
      <c r="Y509" t="e">
        <v>#N/A</v>
      </c>
      <c r="Z509" s="104"/>
    </row>
    <row r="510" spans="1:26">
      <c r="A510" s="133" t="s">
        <v>148</v>
      </c>
      <c r="B510" s="7"/>
      <c r="C510" s="7"/>
      <c r="D510" s="7"/>
      <c r="E510" s="7"/>
      <c r="F510" s="7"/>
      <c r="G510" s="7"/>
      <c r="H510" s="7">
        <v>12000000</v>
      </c>
      <c r="I510" s="7">
        <v>12000000</v>
      </c>
      <c r="J510" s="7"/>
      <c r="K510" s="7">
        <v>24000000</v>
      </c>
      <c r="L510" s="134">
        <f t="shared" si="46"/>
        <v>0.98981768548227789</v>
      </c>
      <c r="M510" s="7" t="str">
        <f t="shared" si="42"/>
        <v>C</v>
      </c>
      <c r="N510" s="7">
        <f t="shared" si="43"/>
        <v>0</v>
      </c>
      <c r="O510" s="7" t="str">
        <f t="shared" si="44"/>
        <v>Z</v>
      </c>
      <c r="P510" s="7" t="str">
        <f t="shared" si="45"/>
        <v>CZ</v>
      </c>
      <c r="S510" s="6" t="s">
        <v>709</v>
      </c>
      <c r="T510" s="25">
        <v>1</v>
      </c>
      <c r="U510" s="7" t="str">
        <v>CZ</v>
      </c>
      <c r="Y510" t="e">
        <v>#N/A</v>
      </c>
      <c r="Z510" s="104"/>
    </row>
    <row r="511" spans="1:26">
      <c r="A511" s="133" t="s">
        <v>731</v>
      </c>
      <c r="B511" s="7"/>
      <c r="C511" s="7"/>
      <c r="D511" s="7"/>
      <c r="E511" s="7"/>
      <c r="F511" s="7"/>
      <c r="G511" s="7"/>
      <c r="H511" s="7"/>
      <c r="I511" s="7">
        <v>23925000</v>
      </c>
      <c r="J511" s="7"/>
      <c r="K511" s="7">
        <v>23925000</v>
      </c>
      <c r="L511" s="134">
        <f t="shared" si="46"/>
        <v>0.98989722886388243</v>
      </c>
      <c r="M511" s="7" t="str">
        <f t="shared" si="42"/>
        <v>C</v>
      </c>
      <c r="N511" s="7">
        <f t="shared" si="43"/>
        <v>0</v>
      </c>
      <c r="O511" s="7" t="str">
        <f t="shared" si="44"/>
        <v>Z</v>
      </c>
      <c r="P511" s="7" t="str">
        <f t="shared" si="45"/>
        <v>CZ</v>
      </c>
      <c r="S511" s="6" t="s">
        <v>603</v>
      </c>
      <c r="T511" s="25">
        <v>1</v>
      </c>
      <c r="U511" s="7" t="str">
        <v>CZ</v>
      </c>
      <c r="Y511" t="e">
        <v>#N/A</v>
      </c>
      <c r="Z511" s="104"/>
    </row>
    <row r="512" spans="1:26">
      <c r="A512" s="133" t="s">
        <v>604</v>
      </c>
      <c r="B512" s="7"/>
      <c r="C512" s="7"/>
      <c r="D512" s="7"/>
      <c r="E512" s="7"/>
      <c r="F512" s="7"/>
      <c r="G512" s="7">
        <v>23850000</v>
      </c>
      <c r="H512" s="7"/>
      <c r="I512" s="7"/>
      <c r="J512" s="7"/>
      <c r="K512" s="7">
        <v>23850000</v>
      </c>
      <c r="L512" s="134">
        <f t="shared" si="46"/>
        <v>0.9899765228931936</v>
      </c>
      <c r="M512" s="7" t="str">
        <f t="shared" si="42"/>
        <v>C</v>
      </c>
      <c r="N512" s="7">
        <f t="shared" si="43"/>
        <v>0</v>
      </c>
      <c r="O512" s="7" t="str">
        <f t="shared" si="44"/>
        <v>Z</v>
      </c>
      <c r="P512" s="7" t="str">
        <f t="shared" si="45"/>
        <v>CZ</v>
      </c>
      <c r="S512" s="6" t="s">
        <v>692</v>
      </c>
      <c r="T512" s="25">
        <v>1</v>
      </c>
      <c r="U512" s="7" t="str">
        <v>CZ</v>
      </c>
      <c r="Y512" t="e">
        <v>#N/A</v>
      </c>
      <c r="Z512" s="104"/>
    </row>
    <row r="513" spans="1:26">
      <c r="A513" s="133" t="s">
        <v>290</v>
      </c>
      <c r="B513" s="7">
        <v>5400000</v>
      </c>
      <c r="C513" s="7"/>
      <c r="D513" s="7"/>
      <c r="E513" s="7">
        <v>4320000</v>
      </c>
      <c r="F513" s="7"/>
      <c r="G513" s="7"/>
      <c r="H513" s="7"/>
      <c r="I513" s="7">
        <v>8640000</v>
      </c>
      <c r="J513" s="7">
        <v>5400000</v>
      </c>
      <c r="K513" s="7">
        <v>23760000</v>
      </c>
      <c r="L513" s="134">
        <f t="shared" si="46"/>
        <v>0.99005551769975264</v>
      </c>
      <c r="M513" s="7" t="str">
        <f t="shared" si="42"/>
        <v>C</v>
      </c>
      <c r="N513" s="7">
        <f t="shared" si="43"/>
        <v>0.27272727272727271</v>
      </c>
      <c r="O513" s="7" t="str">
        <f t="shared" si="44"/>
        <v>X</v>
      </c>
      <c r="P513" s="7" t="str">
        <f t="shared" si="45"/>
        <v>CX</v>
      </c>
      <c r="S513" s="6" t="s">
        <v>765</v>
      </c>
      <c r="T513" s="25">
        <v>1</v>
      </c>
      <c r="U513" s="7" t="str">
        <v>CZ</v>
      </c>
      <c r="Y513" t="e">
        <v>#N/A</v>
      </c>
      <c r="Z513" s="104"/>
    </row>
    <row r="514" spans="1:26">
      <c r="A514" s="133" t="s">
        <v>766</v>
      </c>
      <c r="B514" s="7"/>
      <c r="C514" s="7"/>
      <c r="D514" s="7"/>
      <c r="E514" s="7"/>
      <c r="F514" s="7"/>
      <c r="G514" s="7"/>
      <c r="H514" s="7">
        <v>23520000</v>
      </c>
      <c r="I514" s="7"/>
      <c r="J514" s="7"/>
      <c r="K514" s="7">
        <v>23520000</v>
      </c>
      <c r="L514" s="134">
        <f t="shared" si="46"/>
        <v>0.9901337145789727</v>
      </c>
      <c r="M514" s="7" t="str">
        <f t="shared" si="42"/>
        <v>C</v>
      </c>
      <c r="N514" s="7">
        <f t="shared" si="43"/>
        <v>0</v>
      </c>
      <c r="O514" s="7" t="str">
        <f t="shared" si="44"/>
        <v>Z</v>
      </c>
      <c r="P514" s="7" t="str">
        <f t="shared" si="45"/>
        <v>CZ</v>
      </c>
      <c r="S514" s="6" t="s">
        <v>767</v>
      </c>
      <c r="T514" s="25">
        <v>1</v>
      </c>
      <c r="U514" s="7" t="str">
        <v>CZ</v>
      </c>
      <c r="Y514" t="e">
        <v>#N/A</v>
      </c>
      <c r="Z514" s="104"/>
    </row>
    <row r="515" spans="1:26">
      <c r="A515" s="133" t="s">
        <v>407</v>
      </c>
      <c r="B515" s="7">
        <v>4200000</v>
      </c>
      <c r="C515" s="7">
        <v>1050000</v>
      </c>
      <c r="D515" s="7">
        <v>5250000</v>
      </c>
      <c r="E515" s="7">
        <v>5250000</v>
      </c>
      <c r="F515" s="7">
        <v>1050000</v>
      </c>
      <c r="G515" s="7">
        <v>4500000</v>
      </c>
      <c r="H515" s="7">
        <v>1800000</v>
      </c>
      <c r="I515" s="7"/>
      <c r="J515" s="7"/>
      <c r="K515" s="7">
        <v>23100000</v>
      </c>
      <c r="L515" s="134">
        <f t="shared" si="46"/>
        <v>0.99021051508534952</v>
      </c>
      <c r="M515" s="7" t="str">
        <f t="shared" si="42"/>
        <v>C</v>
      </c>
      <c r="N515" s="7">
        <f t="shared" si="43"/>
        <v>0.54001617886472186</v>
      </c>
      <c r="O515" s="7" t="str">
        <f t="shared" si="44"/>
        <v>Y</v>
      </c>
      <c r="P515" s="7" t="str">
        <f t="shared" si="45"/>
        <v>CY</v>
      </c>
      <c r="S515" s="6" t="s">
        <v>768</v>
      </c>
      <c r="T515" s="25">
        <v>1</v>
      </c>
      <c r="U515" s="7" t="str">
        <v>CZ</v>
      </c>
      <c r="Y515" t="e">
        <v>#N/A</v>
      </c>
      <c r="Z515" s="104"/>
    </row>
    <row r="516" spans="1:26">
      <c r="A516" s="133" t="s">
        <v>769</v>
      </c>
      <c r="B516" s="7"/>
      <c r="C516" s="7"/>
      <c r="D516" s="7"/>
      <c r="E516" s="7"/>
      <c r="F516" s="7">
        <v>23000000</v>
      </c>
      <c r="G516" s="7"/>
      <c r="H516" s="7"/>
      <c r="I516" s="7"/>
      <c r="J516" s="7"/>
      <c r="K516" s="7">
        <v>23000000</v>
      </c>
      <c r="L516" s="134">
        <f t="shared" si="46"/>
        <v>0.99028698312200181</v>
      </c>
      <c r="M516" s="7" t="str">
        <f t="shared" si="42"/>
        <v>C</v>
      </c>
      <c r="N516" s="7">
        <f t="shared" si="43"/>
        <v>0</v>
      </c>
      <c r="O516" s="7" t="str">
        <f t="shared" si="44"/>
        <v>Z</v>
      </c>
      <c r="P516" s="7" t="str">
        <f t="shared" si="45"/>
        <v>CZ</v>
      </c>
      <c r="S516" s="6" t="s">
        <v>605</v>
      </c>
      <c r="T516" s="25">
        <v>1</v>
      </c>
      <c r="U516" s="7" t="str">
        <v>CZ</v>
      </c>
      <c r="Y516" t="e">
        <v>#N/A</v>
      </c>
      <c r="Z516" s="104"/>
    </row>
    <row r="517" spans="1:26">
      <c r="A517" s="133" t="s">
        <v>770</v>
      </c>
      <c r="B517" s="7"/>
      <c r="C517" s="7"/>
      <c r="D517" s="7"/>
      <c r="E517" s="7"/>
      <c r="F517" s="7">
        <v>23000000</v>
      </c>
      <c r="G517" s="7"/>
      <c r="H517" s="7"/>
      <c r="I517" s="7"/>
      <c r="J517" s="7"/>
      <c r="K517" s="7">
        <v>23000000</v>
      </c>
      <c r="L517" s="134">
        <f t="shared" si="46"/>
        <v>0.9903634511586541</v>
      </c>
      <c r="M517" s="7" t="str">
        <f t="shared" ref="M517:M580" si="47">IF(L517&lt;=0.8,"A",IF(L517&lt;=0.95,"B","C"))</f>
        <v>C</v>
      </c>
      <c r="N517" s="7">
        <f t="shared" ref="N517:N580" si="48">STDEVP(B517:J517)/AVERAGE(B517:J517)</f>
        <v>0</v>
      </c>
      <c r="O517" s="7" t="str">
        <f t="shared" ref="O517:O580" si="49">IF(N517=0,"Z",IF(N517&lt;=30%,"X",IF(N517&lt;=60%,"Y","Z")))</f>
        <v>Z</v>
      </c>
      <c r="P517" s="7" t="str">
        <f t="shared" ref="P517:P580" si="50">M517&amp;O517</f>
        <v>CZ</v>
      </c>
      <c r="S517" s="6" t="s">
        <v>264</v>
      </c>
      <c r="T517" s="25">
        <v>2</v>
      </c>
      <c r="U517" s="7" t="str">
        <v>AY</v>
      </c>
      <c r="Y517" t="e">
        <v>#N/A</v>
      </c>
      <c r="Z517" s="104"/>
    </row>
    <row r="518" spans="1:26">
      <c r="A518" s="133" t="s">
        <v>771</v>
      </c>
      <c r="B518" s="7"/>
      <c r="C518" s="7">
        <v>14000000</v>
      </c>
      <c r="D518" s="7">
        <v>4400000</v>
      </c>
      <c r="E518" s="7">
        <v>4000000</v>
      </c>
      <c r="F518" s="7"/>
      <c r="G518" s="7"/>
      <c r="H518" s="7"/>
      <c r="I518" s="7"/>
      <c r="J518" s="7"/>
      <c r="K518" s="7">
        <v>22400000</v>
      </c>
      <c r="L518" s="134">
        <f t="shared" ref="L518:L581" si="51">K518/$K$932+L517</f>
        <v>0.99043792437695888</v>
      </c>
      <c r="M518" s="7" t="str">
        <f t="shared" si="47"/>
        <v>C</v>
      </c>
      <c r="N518" s="7">
        <f t="shared" si="48"/>
        <v>0.61910485083427547</v>
      </c>
      <c r="O518" s="7" t="str">
        <f t="shared" si="49"/>
        <v>Z</v>
      </c>
      <c r="P518" s="7" t="str">
        <f t="shared" si="50"/>
        <v>CZ</v>
      </c>
      <c r="S518" s="6" t="s">
        <v>264</v>
      </c>
      <c r="T518" s="25">
        <v>7</v>
      </c>
      <c r="U518" s="7" t="str">
        <v>AY</v>
      </c>
      <c r="Y518" t="e">
        <v>#N/A</v>
      </c>
      <c r="Z518" s="104"/>
    </row>
    <row r="519" spans="1:26">
      <c r="A519" s="133" t="s">
        <v>772</v>
      </c>
      <c r="B519" s="7"/>
      <c r="C519" s="7"/>
      <c r="D519" s="7"/>
      <c r="E519" s="7"/>
      <c r="F519" s="7"/>
      <c r="G519" s="7"/>
      <c r="H519" s="7">
        <v>22280000</v>
      </c>
      <c r="I519" s="7"/>
      <c r="J519" s="7"/>
      <c r="K519" s="7">
        <v>22280000</v>
      </c>
      <c r="L519" s="134">
        <f t="shared" si="51"/>
        <v>0.99051199863159423</v>
      </c>
      <c r="M519" s="7" t="str">
        <f t="shared" si="47"/>
        <v>C</v>
      </c>
      <c r="N519" s="7">
        <f t="shared" si="48"/>
        <v>0</v>
      </c>
      <c r="O519" s="7" t="str">
        <f t="shared" si="49"/>
        <v>Z</v>
      </c>
      <c r="P519" s="7" t="str">
        <f t="shared" si="50"/>
        <v>CZ</v>
      </c>
      <c r="S519" s="6" t="s">
        <v>491</v>
      </c>
      <c r="T519" s="25">
        <v>3</v>
      </c>
      <c r="U519" s="7" t="str">
        <v>BZ</v>
      </c>
      <c r="Y519" t="e">
        <v>#N/A</v>
      </c>
      <c r="Z519" s="104"/>
    </row>
    <row r="520" spans="1:26">
      <c r="A520" s="133" t="s">
        <v>409</v>
      </c>
      <c r="B520" s="7"/>
      <c r="C520" s="7"/>
      <c r="D520" s="7"/>
      <c r="E520" s="7"/>
      <c r="F520" s="7"/>
      <c r="G520" s="7"/>
      <c r="H520" s="7">
        <v>22000000</v>
      </c>
      <c r="I520" s="7"/>
      <c r="J520" s="7"/>
      <c r="K520" s="7">
        <v>22000000</v>
      </c>
      <c r="L520" s="134">
        <f t="shared" si="51"/>
        <v>0.99058514197100078</v>
      </c>
      <c r="M520" s="7" t="str">
        <f t="shared" si="47"/>
        <v>C</v>
      </c>
      <c r="N520" s="7">
        <f t="shared" si="48"/>
        <v>0</v>
      </c>
      <c r="O520" s="7" t="str">
        <f t="shared" si="49"/>
        <v>Z</v>
      </c>
      <c r="P520" s="7" t="str">
        <f t="shared" si="50"/>
        <v>CZ</v>
      </c>
      <c r="S520" s="6" t="s">
        <v>491</v>
      </c>
      <c r="T520" s="25">
        <v>8</v>
      </c>
      <c r="U520" s="7" t="str">
        <v>BZ</v>
      </c>
      <c r="Y520" t="e">
        <v>#N/A</v>
      </c>
      <c r="Z520" s="104"/>
    </row>
    <row r="521" spans="1:26">
      <c r="A521" s="133" t="s">
        <v>283</v>
      </c>
      <c r="B521" s="7"/>
      <c r="C521" s="7"/>
      <c r="D521" s="7"/>
      <c r="E521" s="7"/>
      <c r="F521" s="7"/>
      <c r="G521" s="7"/>
      <c r="H521" s="7">
        <v>15480000</v>
      </c>
      <c r="I521" s="7">
        <v>2580000</v>
      </c>
      <c r="J521" s="7">
        <v>3655000</v>
      </c>
      <c r="K521" s="7">
        <v>21715000</v>
      </c>
      <c r="L521" s="134">
        <f t="shared" si="51"/>
        <v>0.99065733777169229</v>
      </c>
      <c r="M521" s="7" t="str">
        <f t="shared" si="47"/>
        <v>C</v>
      </c>
      <c r="N521" s="7">
        <f t="shared" si="48"/>
        <v>0.80740130843069757</v>
      </c>
      <c r="O521" s="7" t="str">
        <f t="shared" si="49"/>
        <v>Z</v>
      </c>
      <c r="P521" s="7" t="str">
        <f t="shared" si="50"/>
        <v>CZ</v>
      </c>
      <c r="S521" s="6" t="s">
        <v>491</v>
      </c>
      <c r="T521" s="25">
        <v>1</v>
      </c>
      <c r="U521" s="7" t="str">
        <v>BZ</v>
      </c>
      <c r="Y521" t="e">
        <v>#N/A</v>
      </c>
      <c r="Z521" s="104"/>
    </row>
    <row r="522" spans="1:26">
      <c r="A522" s="133" t="s">
        <v>594</v>
      </c>
      <c r="B522" s="7"/>
      <c r="C522" s="7"/>
      <c r="D522" s="7"/>
      <c r="E522" s="7"/>
      <c r="F522" s="7"/>
      <c r="G522" s="7">
        <v>5900000</v>
      </c>
      <c r="H522" s="7">
        <v>4900000</v>
      </c>
      <c r="I522" s="7">
        <v>10800000</v>
      </c>
      <c r="J522" s="7"/>
      <c r="K522" s="7">
        <v>21600000</v>
      </c>
      <c r="L522" s="134">
        <f t="shared" si="51"/>
        <v>0.99072915123220051</v>
      </c>
      <c r="M522" s="7" t="str">
        <f t="shared" si="47"/>
        <v>C</v>
      </c>
      <c r="N522" s="7">
        <f t="shared" si="48"/>
        <v>0.3580712506975835</v>
      </c>
      <c r="O522" s="7" t="str">
        <f t="shared" si="49"/>
        <v>Y</v>
      </c>
      <c r="P522" s="7" t="str">
        <f t="shared" si="50"/>
        <v>CY</v>
      </c>
      <c r="S522" s="6" t="s">
        <v>287</v>
      </c>
      <c r="T522" s="25">
        <v>4</v>
      </c>
      <c r="U522" s="7" t="str">
        <v>AZ</v>
      </c>
      <c r="Y522" t="e">
        <v>#N/A</v>
      </c>
      <c r="Z522" s="104"/>
    </row>
    <row r="523" spans="1:26">
      <c r="A523" s="133" t="s">
        <v>336</v>
      </c>
      <c r="B523" s="7"/>
      <c r="C523" s="7"/>
      <c r="D523" s="7">
        <v>5957000</v>
      </c>
      <c r="E523" s="7"/>
      <c r="F523" s="7">
        <v>5957000</v>
      </c>
      <c r="G523" s="7">
        <v>8935500</v>
      </c>
      <c r="H523" s="7"/>
      <c r="I523" s="7"/>
      <c r="J523" s="7"/>
      <c r="K523" s="7">
        <v>20849500</v>
      </c>
      <c r="L523" s="134">
        <f t="shared" si="51"/>
        <v>0.99079846950742578</v>
      </c>
      <c r="M523" s="7" t="str">
        <f t="shared" si="47"/>
        <v>C</v>
      </c>
      <c r="N523" s="7">
        <f t="shared" si="48"/>
        <v>0.20203050891044216</v>
      </c>
      <c r="O523" s="7" t="str">
        <f t="shared" si="49"/>
        <v>X</v>
      </c>
      <c r="P523" s="7" t="str">
        <f t="shared" si="50"/>
        <v>CX</v>
      </c>
      <c r="S523" s="6" t="s">
        <v>287</v>
      </c>
      <c r="T523" s="25">
        <v>1</v>
      </c>
      <c r="U523" s="7" t="str">
        <v>AZ</v>
      </c>
      <c r="Y523" t="e">
        <v>#N/A</v>
      </c>
      <c r="Z523" s="104"/>
    </row>
    <row r="524" spans="1:26">
      <c r="A524" s="133" t="s">
        <v>773</v>
      </c>
      <c r="B524" s="7"/>
      <c r="C524" s="7"/>
      <c r="D524" s="7"/>
      <c r="E524" s="7"/>
      <c r="F524" s="7"/>
      <c r="G524" s="7">
        <v>17370000</v>
      </c>
      <c r="H524" s="7">
        <v>3460000</v>
      </c>
      <c r="I524" s="7"/>
      <c r="J524" s="7"/>
      <c r="K524" s="7">
        <v>20830000</v>
      </c>
      <c r="L524" s="134">
        <f t="shared" si="51"/>
        <v>0.99086772295105474</v>
      </c>
      <c r="M524" s="7" t="str">
        <f t="shared" si="47"/>
        <v>C</v>
      </c>
      <c r="N524" s="7">
        <f t="shared" si="48"/>
        <v>0.66778684589534321</v>
      </c>
      <c r="O524" s="7" t="str">
        <f t="shared" si="49"/>
        <v>Z</v>
      </c>
      <c r="P524" s="7" t="str">
        <f t="shared" si="50"/>
        <v>CZ</v>
      </c>
      <c r="S524" s="6" t="s">
        <v>289</v>
      </c>
      <c r="T524" s="25">
        <v>4</v>
      </c>
      <c r="U524" s="7" t="str">
        <v>AZ</v>
      </c>
      <c r="Y524" t="e">
        <v>#N/A</v>
      </c>
      <c r="Z524" s="104"/>
    </row>
    <row r="525" spans="1:26">
      <c r="A525" s="133" t="s">
        <v>774</v>
      </c>
      <c r="B525" s="7">
        <v>20720000</v>
      </c>
      <c r="C525" s="7"/>
      <c r="D525" s="7"/>
      <c r="E525" s="7"/>
      <c r="F525" s="7"/>
      <c r="G525" s="7"/>
      <c r="H525" s="7"/>
      <c r="I525" s="7"/>
      <c r="J525" s="7"/>
      <c r="K525" s="7">
        <v>20720000</v>
      </c>
      <c r="L525" s="134">
        <f t="shared" si="51"/>
        <v>0.99093661067798666</v>
      </c>
      <c r="M525" s="7" t="str">
        <f t="shared" si="47"/>
        <v>C</v>
      </c>
      <c r="N525" s="7">
        <f t="shared" si="48"/>
        <v>0</v>
      </c>
      <c r="O525" s="7" t="str">
        <f t="shared" si="49"/>
        <v>Z</v>
      </c>
      <c r="P525" s="7" t="str">
        <f t="shared" si="50"/>
        <v>CZ</v>
      </c>
      <c r="S525" s="6" t="s">
        <v>289</v>
      </c>
      <c r="T525" s="25">
        <v>2</v>
      </c>
      <c r="U525" s="7" t="str">
        <v>AZ</v>
      </c>
      <c r="Y525" t="e">
        <v>#N/A</v>
      </c>
      <c r="Z525" s="104"/>
    </row>
    <row r="526" spans="1:26">
      <c r="A526" s="133" t="s">
        <v>775</v>
      </c>
      <c r="B526" s="7">
        <v>10200000</v>
      </c>
      <c r="C526" s="7"/>
      <c r="D526" s="7"/>
      <c r="E526" s="7">
        <v>10230000</v>
      </c>
      <c r="F526" s="7"/>
      <c r="G526" s="7"/>
      <c r="H526" s="7"/>
      <c r="I526" s="7"/>
      <c r="J526" s="7"/>
      <c r="K526" s="7">
        <v>20430000</v>
      </c>
      <c r="L526" s="134">
        <f t="shared" si="51"/>
        <v>0.99100453424271739</v>
      </c>
      <c r="M526" s="7" t="str">
        <f t="shared" si="47"/>
        <v>C</v>
      </c>
      <c r="N526" s="7">
        <f t="shared" si="48"/>
        <v>1.4684287812041115E-3</v>
      </c>
      <c r="O526" s="7" t="str">
        <f t="shared" si="49"/>
        <v>X</v>
      </c>
      <c r="P526" s="7" t="str">
        <f t="shared" si="50"/>
        <v>CX</v>
      </c>
      <c r="S526" s="6" t="s">
        <v>293</v>
      </c>
      <c r="T526" s="25">
        <v>1</v>
      </c>
      <c r="U526" s="7" t="str">
        <v>AY</v>
      </c>
      <c r="Y526" t="e">
        <v>#N/A</v>
      </c>
      <c r="Z526" s="104"/>
    </row>
    <row r="527" spans="1:26">
      <c r="A527" s="133" t="s">
        <v>776</v>
      </c>
      <c r="B527" s="7"/>
      <c r="C527" s="7"/>
      <c r="D527" s="7"/>
      <c r="E527" s="7"/>
      <c r="F527" s="7"/>
      <c r="G527" s="7"/>
      <c r="H527" s="7"/>
      <c r="I527" s="7">
        <v>20400000</v>
      </c>
      <c r="J527" s="7"/>
      <c r="K527" s="7">
        <v>20400000</v>
      </c>
      <c r="L527" s="134">
        <f t="shared" si="51"/>
        <v>0.99107235806653071</v>
      </c>
      <c r="M527" s="7" t="str">
        <f t="shared" si="47"/>
        <v>C</v>
      </c>
      <c r="N527" s="7">
        <f t="shared" si="48"/>
        <v>0</v>
      </c>
      <c r="O527" s="7" t="str">
        <f t="shared" si="49"/>
        <v>Z</v>
      </c>
      <c r="P527" s="7" t="str">
        <f t="shared" si="50"/>
        <v>CZ</v>
      </c>
      <c r="S527" s="6" t="s">
        <v>293</v>
      </c>
      <c r="T527" s="25">
        <v>3</v>
      </c>
      <c r="U527" s="7" t="str">
        <v>AY</v>
      </c>
      <c r="Y527" t="e">
        <v>#N/A</v>
      </c>
      <c r="Z527" s="104"/>
    </row>
    <row r="528" spans="1:26">
      <c r="A528" s="133" t="s">
        <v>777</v>
      </c>
      <c r="B528" s="7"/>
      <c r="C528" s="7"/>
      <c r="D528" s="7"/>
      <c r="E528" s="7"/>
      <c r="F528" s="7"/>
      <c r="G528" s="7"/>
      <c r="H528" s="7"/>
      <c r="I528" s="7">
        <v>20363640</v>
      </c>
      <c r="J528" s="7"/>
      <c r="K528" s="7">
        <v>20363640</v>
      </c>
      <c r="L528" s="134">
        <f t="shared" si="51"/>
        <v>0.99114006100435215</v>
      </c>
      <c r="M528" s="7" t="str">
        <f t="shared" si="47"/>
        <v>C</v>
      </c>
      <c r="N528" s="7">
        <f t="shared" si="48"/>
        <v>0</v>
      </c>
      <c r="O528" s="7" t="str">
        <f t="shared" si="49"/>
        <v>Z</v>
      </c>
      <c r="P528" s="7" t="str">
        <f t="shared" si="50"/>
        <v>CZ</v>
      </c>
      <c r="S528" s="6" t="s">
        <v>157</v>
      </c>
      <c r="T528" s="25">
        <v>5</v>
      </c>
      <c r="U528" s="7" t="str">
        <v>AY</v>
      </c>
      <c r="Y528" t="e">
        <v>#N/A</v>
      </c>
      <c r="Z528" s="104"/>
    </row>
    <row r="529" spans="1:26">
      <c r="A529" s="133" t="s">
        <v>778</v>
      </c>
      <c r="B529" s="7"/>
      <c r="C529" s="7">
        <v>10990000</v>
      </c>
      <c r="D529" s="7"/>
      <c r="E529" s="7">
        <v>9363636</v>
      </c>
      <c r="F529" s="7"/>
      <c r="G529" s="7"/>
      <c r="H529" s="7"/>
      <c r="I529" s="7"/>
      <c r="J529" s="7"/>
      <c r="K529" s="7">
        <v>20353636</v>
      </c>
      <c r="L529" s="134">
        <f t="shared" si="51"/>
        <v>0.99120773068190238</v>
      </c>
      <c r="M529" s="7" t="str">
        <f t="shared" si="47"/>
        <v>C</v>
      </c>
      <c r="N529" s="7">
        <f t="shared" si="48"/>
        <v>7.9905329937117867E-2</v>
      </c>
      <c r="O529" s="7" t="str">
        <f t="shared" si="49"/>
        <v>X</v>
      </c>
      <c r="P529" s="7" t="str">
        <f t="shared" si="50"/>
        <v>CX</v>
      </c>
      <c r="S529" s="6" t="s">
        <v>157</v>
      </c>
      <c r="T529" s="25">
        <v>8</v>
      </c>
      <c r="U529" s="7" t="str">
        <v>AY</v>
      </c>
      <c r="Y529" t="e">
        <v>#N/A</v>
      </c>
      <c r="Z529" s="104"/>
    </row>
    <row r="530" spans="1:26">
      <c r="A530" s="133" t="s">
        <v>221</v>
      </c>
      <c r="B530" s="7"/>
      <c r="C530" s="7"/>
      <c r="D530" s="7"/>
      <c r="E530" s="7"/>
      <c r="F530" s="7"/>
      <c r="G530" s="7"/>
      <c r="H530" s="7"/>
      <c r="I530" s="7">
        <v>20250000</v>
      </c>
      <c r="J530" s="7"/>
      <c r="K530" s="7">
        <v>20250000</v>
      </c>
      <c r="L530" s="134">
        <f t="shared" si="51"/>
        <v>0.99127505580112885</v>
      </c>
      <c r="M530" s="7" t="str">
        <f t="shared" si="47"/>
        <v>C</v>
      </c>
      <c r="N530" s="7">
        <f t="shared" si="48"/>
        <v>0</v>
      </c>
      <c r="O530" s="7" t="str">
        <f t="shared" si="49"/>
        <v>Z</v>
      </c>
      <c r="P530" s="7" t="str">
        <f t="shared" si="50"/>
        <v>CZ</v>
      </c>
      <c r="S530" s="6" t="s">
        <v>157</v>
      </c>
      <c r="T530" s="25">
        <v>5</v>
      </c>
      <c r="U530" s="7" t="str">
        <v>AY</v>
      </c>
      <c r="Y530" t="e">
        <v>#N/A</v>
      </c>
      <c r="Z530" s="104"/>
    </row>
    <row r="531" spans="1:26">
      <c r="A531" s="133" t="s">
        <v>779</v>
      </c>
      <c r="B531" s="7"/>
      <c r="C531" s="7"/>
      <c r="D531" s="7"/>
      <c r="E531" s="7"/>
      <c r="F531" s="7"/>
      <c r="G531" s="7">
        <v>16323200</v>
      </c>
      <c r="H531" s="7">
        <v>3745000</v>
      </c>
      <c r="I531" s="7"/>
      <c r="J531" s="7"/>
      <c r="K531" s="7">
        <v>20068200</v>
      </c>
      <c r="L531" s="134">
        <f t="shared" si="51"/>
        <v>0.99134177649039601</v>
      </c>
      <c r="M531" s="7" t="str">
        <f t="shared" si="47"/>
        <v>C</v>
      </c>
      <c r="N531" s="7">
        <f t="shared" si="48"/>
        <v>0.62677270507569194</v>
      </c>
      <c r="O531" s="7" t="str">
        <f t="shared" si="49"/>
        <v>Z</v>
      </c>
      <c r="P531" s="7" t="str">
        <f t="shared" si="50"/>
        <v>CZ</v>
      </c>
      <c r="S531" s="6" t="s">
        <v>274</v>
      </c>
      <c r="T531" s="25">
        <v>2</v>
      </c>
      <c r="U531" s="7" t="str">
        <v>AZ</v>
      </c>
      <c r="Y531" t="e">
        <v>#N/A</v>
      </c>
      <c r="Z531" s="104"/>
    </row>
    <row r="532" spans="1:26">
      <c r="A532" s="133" t="s">
        <v>334</v>
      </c>
      <c r="B532" s="7"/>
      <c r="C532" s="7"/>
      <c r="D532" s="7">
        <v>4007000</v>
      </c>
      <c r="E532" s="7"/>
      <c r="F532" s="7">
        <v>4007000</v>
      </c>
      <c r="G532" s="7"/>
      <c r="H532" s="7">
        <v>4007000</v>
      </c>
      <c r="I532" s="7">
        <v>8014000</v>
      </c>
      <c r="J532" s="7"/>
      <c r="K532" s="7">
        <v>20035000</v>
      </c>
      <c r="L532" s="134">
        <f t="shared" si="51"/>
        <v>0.99140838679971466</v>
      </c>
      <c r="M532" s="7" t="str">
        <f t="shared" si="47"/>
        <v>C</v>
      </c>
      <c r="N532" s="7">
        <f t="shared" si="48"/>
        <v>0.34641016151377546</v>
      </c>
      <c r="O532" s="7" t="str">
        <f t="shared" si="49"/>
        <v>Y</v>
      </c>
      <c r="P532" s="7" t="str">
        <f t="shared" si="50"/>
        <v>CY</v>
      </c>
      <c r="S532" s="6" t="s">
        <v>274</v>
      </c>
      <c r="T532" s="25">
        <v>1</v>
      </c>
      <c r="U532" s="7" t="str">
        <v>AZ</v>
      </c>
      <c r="Y532" t="e">
        <v>#N/A</v>
      </c>
      <c r="Z532" s="104"/>
    </row>
    <row r="533" spans="1:26">
      <c r="A533" s="133" t="s">
        <v>780</v>
      </c>
      <c r="B533" s="7"/>
      <c r="C533" s="7"/>
      <c r="D533" s="7"/>
      <c r="E533" s="7"/>
      <c r="F533" s="7">
        <v>20000000</v>
      </c>
      <c r="G533" s="7"/>
      <c r="H533" s="7"/>
      <c r="I533" s="7"/>
      <c r="J533" s="7"/>
      <c r="K533" s="7">
        <v>20000000</v>
      </c>
      <c r="L533" s="134">
        <f t="shared" si="51"/>
        <v>0.99147488074462964</v>
      </c>
      <c r="M533" s="7" t="str">
        <f t="shared" si="47"/>
        <v>C</v>
      </c>
      <c r="N533" s="7">
        <f t="shared" si="48"/>
        <v>0</v>
      </c>
      <c r="O533" s="7" t="str">
        <f t="shared" si="49"/>
        <v>Z</v>
      </c>
      <c r="P533" s="7" t="str">
        <f t="shared" si="50"/>
        <v>CZ</v>
      </c>
      <c r="S533" s="6" t="s">
        <v>274</v>
      </c>
      <c r="T533" s="25">
        <v>2</v>
      </c>
      <c r="U533" s="7" t="str">
        <v>AZ</v>
      </c>
      <c r="Y533" t="e">
        <v>#N/A</v>
      </c>
      <c r="Z533" s="104"/>
    </row>
    <row r="534" spans="1:26">
      <c r="A534" s="133" t="s">
        <v>763</v>
      </c>
      <c r="B534" s="7"/>
      <c r="C534" s="7"/>
      <c r="D534" s="7"/>
      <c r="E534" s="7"/>
      <c r="F534" s="7"/>
      <c r="G534" s="7"/>
      <c r="H534" s="7"/>
      <c r="I534" s="7"/>
      <c r="J534" s="7">
        <v>19600000</v>
      </c>
      <c r="K534" s="7">
        <v>19600000</v>
      </c>
      <c r="L534" s="134">
        <f t="shared" si="51"/>
        <v>0.99154004481064639</v>
      </c>
      <c r="M534" s="7" t="str">
        <f t="shared" si="47"/>
        <v>C</v>
      </c>
      <c r="N534" s="7">
        <f t="shared" si="48"/>
        <v>0</v>
      </c>
      <c r="O534" s="7" t="str">
        <f t="shared" si="49"/>
        <v>Z</v>
      </c>
      <c r="P534" s="7" t="str">
        <f t="shared" si="50"/>
        <v>CZ</v>
      </c>
      <c r="S534" s="6" t="s">
        <v>208</v>
      </c>
      <c r="T534" s="25">
        <v>2</v>
      </c>
      <c r="U534" s="7" t="str">
        <v>AZ</v>
      </c>
      <c r="Y534" t="e">
        <v>#N/A</v>
      </c>
      <c r="Z534" s="104"/>
    </row>
    <row r="535" spans="1:26">
      <c r="A535" s="133" t="s">
        <v>214</v>
      </c>
      <c r="B535" s="7">
        <v>2520000</v>
      </c>
      <c r="C535" s="7">
        <v>1600000</v>
      </c>
      <c r="D535" s="7">
        <v>1200000</v>
      </c>
      <c r="E535" s="7">
        <v>2080000</v>
      </c>
      <c r="F535" s="7">
        <v>1232000</v>
      </c>
      <c r="G535" s="7">
        <v>1800000</v>
      </c>
      <c r="H535" s="7">
        <v>600000</v>
      </c>
      <c r="I535" s="7">
        <v>6756000</v>
      </c>
      <c r="J535" s="7">
        <v>1705000</v>
      </c>
      <c r="K535" s="7">
        <v>19493000</v>
      </c>
      <c r="L535" s="134">
        <f t="shared" si="51"/>
        <v>0.99160485313405777</v>
      </c>
      <c r="M535" s="7" t="str">
        <f t="shared" si="47"/>
        <v>C</v>
      </c>
      <c r="N535" s="7">
        <f t="shared" si="48"/>
        <v>0.78663811325862132</v>
      </c>
      <c r="O535" s="7" t="str">
        <f t="shared" si="49"/>
        <v>Z</v>
      </c>
      <c r="P535" s="7" t="str">
        <f t="shared" si="50"/>
        <v>CZ</v>
      </c>
      <c r="S535" s="6" t="s">
        <v>650</v>
      </c>
      <c r="T535" s="25">
        <v>1</v>
      </c>
      <c r="U535" s="7" t="str">
        <v>CZ</v>
      </c>
      <c r="Y535" t="e">
        <v>#N/A</v>
      </c>
      <c r="Z535" s="104"/>
    </row>
    <row r="536" spans="1:26">
      <c r="A536" s="133" t="s">
        <v>638</v>
      </c>
      <c r="B536" s="7"/>
      <c r="C536" s="7"/>
      <c r="D536" s="7"/>
      <c r="E536" s="7"/>
      <c r="F536" s="7"/>
      <c r="G536" s="7"/>
      <c r="H536" s="7">
        <v>5000</v>
      </c>
      <c r="I536" s="7">
        <v>19450000</v>
      </c>
      <c r="J536" s="7"/>
      <c r="K536" s="7">
        <v>19455000</v>
      </c>
      <c r="L536" s="134">
        <f t="shared" si="51"/>
        <v>0.99166953511897382</v>
      </c>
      <c r="M536" s="7" t="str">
        <f t="shared" si="47"/>
        <v>C</v>
      </c>
      <c r="N536" s="7">
        <f t="shared" si="48"/>
        <v>0.9994859933179131</v>
      </c>
      <c r="O536" s="7" t="str">
        <f t="shared" si="49"/>
        <v>Z</v>
      </c>
      <c r="P536" s="7" t="str">
        <f t="shared" si="50"/>
        <v>CZ</v>
      </c>
      <c r="S536" s="6" t="s">
        <v>424</v>
      </c>
      <c r="T536" s="25">
        <v>1</v>
      </c>
      <c r="U536" s="7" t="str">
        <v>BZ</v>
      </c>
      <c r="Y536" t="e">
        <v>#N/A</v>
      </c>
      <c r="Z536" s="104"/>
    </row>
    <row r="537" spans="1:26">
      <c r="A537" s="133" t="s">
        <v>385</v>
      </c>
      <c r="B537" s="7"/>
      <c r="C537" s="7"/>
      <c r="D537" s="7"/>
      <c r="E537" s="7"/>
      <c r="F537" s="7"/>
      <c r="G537" s="7"/>
      <c r="H537" s="7"/>
      <c r="I537" s="7"/>
      <c r="J537" s="7">
        <v>19250000</v>
      </c>
      <c r="K537" s="7">
        <v>19250000</v>
      </c>
      <c r="L537" s="134">
        <f t="shared" si="51"/>
        <v>0.99173353554095456</v>
      </c>
      <c r="M537" s="7" t="str">
        <f t="shared" si="47"/>
        <v>C</v>
      </c>
      <c r="N537" s="7">
        <f t="shared" si="48"/>
        <v>0</v>
      </c>
      <c r="O537" s="7" t="str">
        <f t="shared" si="49"/>
        <v>Z</v>
      </c>
      <c r="P537" s="7" t="str">
        <f t="shared" si="50"/>
        <v>CZ</v>
      </c>
      <c r="S537" s="6" t="s">
        <v>311</v>
      </c>
      <c r="T537" s="25">
        <v>1</v>
      </c>
      <c r="U537" s="7" t="str">
        <v>BX</v>
      </c>
      <c r="Y537" t="e">
        <v>#N/A</v>
      </c>
      <c r="Z537" s="104"/>
    </row>
    <row r="538" spans="1:26">
      <c r="A538" s="133" t="s">
        <v>781</v>
      </c>
      <c r="B538" s="7">
        <v>19230000</v>
      </c>
      <c r="C538" s="7"/>
      <c r="D538" s="7"/>
      <c r="E538" s="7"/>
      <c r="F538" s="7"/>
      <c r="G538" s="7"/>
      <c r="H538" s="7"/>
      <c r="I538" s="7"/>
      <c r="J538" s="7"/>
      <c r="K538" s="7">
        <v>19230000</v>
      </c>
      <c r="L538" s="134">
        <f t="shared" si="51"/>
        <v>0.99179746946899039</v>
      </c>
      <c r="M538" s="7" t="str">
        <f t="shared" si="47"/>
        <v>C</v>
      </c>
      <c r="N538" s="7">
        <f t="shared" si="48"/>
        <v>0</v>
      </c>
      <c r="O538" s="7" t="str">
        <f t="shared" si="49"/>
        <v>Z</v>
      </c>
      <c r="P538" s="7" t="str">
        <f t="shared" si="50"/>
        <v>CZ</v>
      </c>
      <c r="S538" s="6" t="s">
        <v>141</v>
      </c>
      <c r="T538" s="25">
        <v>1</v>
      </c>
      <c r="U538" s="7" t="str">
        <v>AY</v>
      </c>
      <c r="Y538" t="e">
        <v>#N/A</v>
      </c>
      <c r="Z538" s="104"/>
    </row>
    <row r="539" spans="1:26">
      <c r="A539" s="133" t="s">
        <v>645</v>
      </c>
      <c r="B539" s="7"/>
      <c r="C539" s="7"/>
      <c r="D539" s="7"/>
      <c r="E539" s="7"/>
      <c r="F539" s="7"/>
      <c r="G539" s="7"/>
      <c r="H539" s="7"/>
      <c r="I539" s="7">
        <v>9500000</v>
      </c>
      <c r="J539" s="7">
        <v>9500000</v>
      </c>
      <c r="K539" s="7">
        <v>19000000</v>
      </c>
      <c r="L539" s="134">
        <f t="shared" si="51"/>
        <v>0.99186063871665964</v>
      </c>
      <c r="M539" s="7" t="str">
        <f t="shared" si="47"/>
        <v>C</v>
      </c>
      <c r="N539" s="7">
        <f t="shared" si="48"/>
        <v>0</v>
      </c>
      <c r="O539" s="7" t="str">
        <f t="shared" si="49"/>
        <v>Z</v>
      </c>
      <c r="P539" s="7" t="str">
        <f t="shared" si="50"/>
        <v>CZ</v>
      </c>
      <c r="S539" s="6" t="s">
        <v>183</v>
      </c>
      <c r="T539" s="25">
        <v>1</v>
      </c>
      <c r="U539" s="7" t="str">
        <v>AZ</v>
      </c>
      <c r="Y539" t="e">
        <v>#N/A</v>
      </c>
      <c r="Z539" s="104"/>
    </row>
    <row r="540" spans="1:26">
      <c r="A540" s="133" t="s">
        <v>648</v>
      </c>
      <c r="B540" s="7"/>
      <c r="C540" s="7"/>
      <c r="D540" s="7"/>
      <c r="E540" s="7"/>
      <c r="F540" s="7"/>
      <c r="G540" s="7"/>
      <c r="H540" s="7"/>
      <c r="I540" s="7">
        <v>9500000</v>
      </c>
      <c r="J540" s="7">
        <v>9500000</v>
      </c>
      <c r="K540" s="7">
        <v>19000000</v>
      </c>
      <c r="L540" s="134">
        <f t="shared" si="51"/>
        <v>0.99192380796432889</v>
      </c>
      <c r="M540" s="7" t="str">
        <f t="shared" si="47"/>
        <v>C</v>
      </c>
      <c r="N540" s="7">
        <f t="shared" si="48"/>
        <v>0</v>
      </c>
      <c r="O540" s="7" t="str">
        <f t="shared" si="49"/>
        <v>Z</v>
      </c>
      <c r="P540" s="7" t="str">
        <f t="shared" si="50"/>
        <v>CZ</v>
      </c>
      <c r="S540" s="6" t="s">
        <v>183</v>
      </c>
      <c r="T540" s="25">
        <v>2</v>
      </c>
      <c r="U540" s="7" t="str">
        <v>AZ</v>
      </c>
      <c r="Y540" t="e">
        <v>#N/A</v>
      </c>
      <c r="Z540" s="104"/>
    </row>
    <row r="541" spans="1:26">
      <c r="A541" s="133" t="s">
        <v>782</v>
      </c>
      <c r="B541" s="7"/>
      <c r="C541" s="7"/>
      <c r="D541" s="7"/>
      <c r="E541" s="7"/>
      <c r="F541" s="7">
        <v>19000000</v>
      </c>
      <c r="G541" s="7"/>
      <c r="H541" s="7"/>
      <c r="I541" s="7"/>
      <c r="J541" s="7"/>
      <c r="K541" s="7">
        <v>19000000</v>
      </c>
      <c r="L541" s="134">
        <f t="shared" si="51"/>
        <v>0.99198697721199813</v>
      </c>
      <c r="M541" s="7" t="str">
        <f t="shared" si="47"/>
        <v>C</v>
      </c>
      <c r="N541" s="7">
        <f t="shared" si="48"/>
        <v>0</v>
      </c>
      <c r="O541" s="7" t="str">
        <f t="shared" si="49"/>
        <v>Z</v>
      </c>
      <c r="P541" s="7" t="str">
        <f t="shared" si="50"/>
        <v>CZ</v>
      </c>
      <c r="S541" s="6" t="s">
        <v>166</v>
      </c>
      <c r="T541" s="25">
        <v>1</v>
      </c>
      <c r="U541" s="7" t="str">
        <v>AZ</v>
      </c>
      <c r="Y541" t="e">
        <v>#N/A</v>
      </c>
      <c r="Z541" s="104"/>
    </row>
    <row r="542" spans="1:26">
      <c r="A542" s="133" t="s">
        <v>671</v>
      </c>
      <c r="B542" s="7"/>
      <c r="C542" s="7"/>
      <c r="D542" s="7"/>
      <c r="E542" s="7"/>
      <c r="F542" s="7"/>
      <c r="G542" s="7"/>
      <c r="H542" s="7"/>
      <c r="I542" s="7"/>
      <c r="J542" s="7">
        <v>18480000</v>
      </c>
      <c r="K542" s="7">
        <v>18480000</v>
      </c>
      <c r="L542" s="134">
        <f t="shared" si="51"/>
        <v>0.99204841761709961</v>
      </c>
      <c r="M542" s="7" t="str">
        <f t="shared" si="47"/>
        <v>C</v>
      </c>
      <c r="N542" s="7">
        <f t="shared" si="48"/>
        <v>0</v>
      </c>
      <c r="O542" s="7" t="str">
        <f t="shared" si="49"/>
        <v>Z</v>
      </c>
      <c r="P542" s="7" t="str">
        <f t="shared" si="50"/>
        <v>CZ</v>
      </c>
      <c r="S542" s="6" t="s">
        <v>166</v>
      </c>
      <c r="T542" s="25">
        <v>2</v>
      </c>
      <c r="U542" s="7" t="str">
        <v>AZ</v>
      </c>
      <c r="Y542" t="e">
        <v>#N/A</v>
      </c>
      <c r="Z542" s="104"/>
    </row>
    <row r="543" spans="1:26">
      <c r="A543" s="133" t="s">
        <v>673</v>
      </c>
      <c r="B543" s="7"/>
      <c r="C543" s="7"/>
      <c r="D543" s="7"/>
      <c r="E543" s="7"/>
      <c r="F543" s="7"/>
      <c r="G543" s="7"/>
      <c r="H543" s="7"/>
      <c r="I543" s="7"/>
      <c r="J543" s="7">
        <v>18480000</v>
      </c>
      <c r="K543" s="7">
        <v>18480000</v>
      </c>
      <c r="L543" s="134">
        <f t="shared" si="51"/>
        <v>0.99210985802220109</v>
      </c>
      <c r="M543" s="7" t="str">
        <f t="shared" si="47"/>
        <v>C</v>
      </c>
      <c r="N543" s="7">
        <f t="shared" si="48"/>
        <v>0</v>
      </c>
      <c r="O543" s="7" t="str">
        <f t="shared" si="49"/>
        <v>Z</v>
      </c>
      <c r="P543" s="7" t="str">
        <f t="shared" si="50"/>
        <v>CZ</v>
      </c>
      <c r="S543" s="6" t="s">
        <v>166</v>
      </c>
      <c r="T543" s="25">
        <v>1</v>
      </c>
      <c r="U543" s="7" t="str">
        <v>AZ</v>
      </c>
      <c r="Y543" t="e">
        <v>#N/A</v>
      </c>
      <c r="Z543" s="104"/>
    </row>
    <row r="544" spans="1:26">
      <c r="A544" s="133" t="s">
        <v>234</v>
      </c>
      <c r="B544" s="7"/>
      <c r="C544" s="7"/>
      <c r="D544" s="7"/>
      <c r="E544" s="7"/>
      <c r="F544" s="7"/>
      <c r="G544" s="7"/>
      <c r="H544" s="7"/>
      <c r="I544" s="7">
        <v>18452711.399999999</v>
      </c>
      <c r="J544" s="7"/>
      <c r="K544" s="7">
        <v>18452711.399999999</v>
      </c>
      <c r="L544" s="134">
        <f t="shared" si="51"/>
        <v>0.99217120770096934</v>
      </c>
      <c r="M544" s="7" t="str">
        <f t="shared" si="47"/>
        <v>C</v>
      </c>
      <c r="N544" s="7">
        <f t="shared" si="48"/>
        <v>0</v>
      </c>
      <c r="O544" s="7" t="str">
        <f t="shared" si="49"/>
        <v>Z</v>
      </c>
      <c r="P544" s="7" t="str">
        <f t="shared" si="50"/>
        <v>CZ</v>
      </c>
      <c r="S544" s="6" t="s">
        <v>146</v>
      </c>
      <c r="T544" s="25">
        <v>2</v>
      </c>
      <c r="U544" s="7" t="str">
        <v>AZ</v>
      </c>
      <c r="Y544" t="e">
        <v>#N/A</v>
      </c>
      <c r="Z544" s="104"/>
    </row>
    <row r="545" spans="1:26">
      <c r="A545" s="133" t="s">
        <v>783</v>
      </c>
      <c r="B545" s="7"/>
      <c r="C545" s="7"/>
      <c r="D545" s="7"/>
      <c r="E545" s="7"/>
      <c r="F545" s="7">
        <v>18250000</v>
      </c>
      <c r="G545" s="7"/>
      <c r="H545" s="7"/>
      <c r="I545" s="7"/>
      <c r="J545" s="7"/>
      <c r="K545" s="7">
        <v>18250000</v>
      </c>
      <c r="L545" s="134">
        <f t="shared" si="51"/>
        <v>0.99223188342570434</v>
      </c>
      <c r="M545" s="7" t="str">
        <f t="shared" si="47"/>
        <v>C</v>
      </c>
      <c r="N545" s="7">
        <f t="shared" si="48"/>
        <v>0</v>
      </c>
      <c r="O545" s="7" t="str">
        <f t="shared" si="49"/>
        <v>Z</v>
      </c>
      <c r="P545" s="7" t="str">
        <f t="shared" si="50"/>
        <v>CZ</v>
      </c>
      <c r="S545" s="6" t="s">
        <v>146</v>
      </c>
      <c r="T545" s="25">
        <v>2</v>
      </c>
      <c r="U545" s="7" t="str">
        <v>AZ</v>
      </c>
      <c r="Y545" t="e">
        <v>#N/A</v>
      </c>
      <c r="Z545" s="104"/>
    </row>
    <row r="546" spans="1:26">
      <c r="A546" s="133" t="s">
        <v>784</v>
      </c>
      <c r="B546" s="7"/>
      <c r="C546" s="7"/>
      <c r="D546" s="7"/>
      <c r="E546" s="7">
        <v>12960000</v>
      </c>
      <c r="F546" s="7">
        <v>5120000</v>
      </c>
      <c r="G546" s="7"/>
      <c r="H546" s="7"/>
      <c r="I546" s="7"/>
      <c r="J546" s="7"/>
      <c r="K546" s="7">
        <v>18080000</v>
      </c>
      <c r="L546" s="134">
        <f t="shared" si="51"/>
        <v>0.99229199395190748</v>
      </c>
      <c r="M546" s="7" t="str">
        <f t="shared" si="47"/>
        <v>C</v>
      </c>
      <c r="N546" s="7">
        <f t="shared" si="48"/>
        <v>0.4336283185840708</v>
      </c>
      <c r="O546" s="7" t="str">
        <f t="shared" si="49"/>
        <v>Y</v>
      </c>
      <c r="P546" s="7" t="str">
        <f t="shared" si="50"/>
        <v>CY</v>
      </c>
      <c r="S546" s="6" t="s">
        <v>146</v>
      </c>
      <c r="T546" s="25">
        <v>2</v>
      </c>
      <c r="U546" s="7" t="str">
        <v>AZ</v>
      </c>
      <c r="Y546" t="e">
        <v>#N/A</v>
      </c>
      <c r="Z546" s="104"/>
    </row>
    <row r="547" spans="1:26">
      <c r="A547" s="133" t="s">
        <v>683</v>
      </c>
      <c r="B547" s="7"/>
      <c r="C547" s="7"/>
      <c r="D547" s="7"/>
      <c r="E547" s="7"/>
      <c r="F547" s="7"/>
      <c r="G547" s="7"/>
      <c r="H547" s="7">
        <v>10500</v>
      </c>
      <c r="I547" s="7"/>
      <c r="J547" s="7">
        <v>17850000</v>
      </c>
      <c r="K547" s="7">
        <v>17860500</v>
      </c>
      <c r="L547" s="134">
        <f t="shared" si="51"/>
        <v>0.99235137470706525</v>
      </c>
      <c r="M547" s="7" t="str">
        <f t="shared" si="47"/>
        <v>C</v>
      </c>
      <c r="N547" s="7">
        <f t="shared" si="48"/>
        <v>0.99882422104644331</v>
      </c>
      <c r="O547" s="7" t="str">
        <f t="shared" si="49"/>
        <v>Z</v>
      </c>
      <c r="P547" s="7" t="str">
        <f t="shared" si="50"/>
        <v>CZ</v>
      </c>
      <c r="S547" s="6" t="s">
        <v>102</v>
      </c>
      <c r="T547" s="25">
        <v>2</v>
      </c>
      <c r="U547" s="7" t="str">
        <v>AZ</v>
      </c>
      <c r="Y547" t="e">
        <v>#N/A</v>
      </c>
      <c r="Z547" s="104"/>
    </row>
    <row r="548" spans="1:26">
      <c r="A548" s="133" t="s">
        <v>660</v>
      </c>
      <c r="B548" s="7"/>
      <c r="C548" s="7"/>
      <c r="D548" s="7"/>
      <c r="E548" s="7"/>
      <c r="F548" s="7"/>
      <c r="G548" s="7"/>
      <c r="H548" s="7"/>
      <c r="I548" s="7"/>
      <c r="J548" s="7">
        <v>17850000</v>
      </c>
      <c r="K548" s="7">
        <v>17850000</v>
      </c>
      <c r="L548" s="134">
        <f t="shared" si="51"/>
        <v>0.99241072055290191</v>
      </c>
      <c r="M548" s="7" t="str">
        <f t="shared" si="47"/>
        <v>C</v>
      </c>
      <c r="N548" s="7">
        <f t="shared" si="48"/>
        <v>0</v>
      </c>
      <c r="O548" s="7" t="str">
        <f t="shared" si="49"/>
        <v>Z</v>
      </c>
      <c r="P548" s="7" t="str">
        <f t="shared" si="50"/>
        <v>CZ</v>
      </c>
      <c r="S548" s="6" t="s">
        <v>66</v>
      </c>
      <c r="T548" s="25">
        <v>3</v>
      </c>
      <c r="U548" s="7" t="str">
        <v>AZ</v>
      </c>
      <c r="Y548" t="e">
        <v>#N/A</v>
      </c>
      <c r="Z548" s="104"/>
    </row>
    <row r="549" spans="1:26">
      <c r="A549" s="133" t="s">
        <v>662</v>
      </c>
      <c r="B549" s="7"/>
      <c r="C549" s="7"/>
      <c r="D549" s="7"/>
      <c r="E549" s="7"/>
      <c r="F549" s="7"/>
      <c r="G549" s="7"/>
      <c r="H549" s="7"/>
      <c r="I549" s="7"/>
      <c r="J549" s="7">
        <v>17850000</v>
      </c>
      <c r="K549" s="7">
        <v>17850000</v>
      </c>
      <c r="L549" s="134">
        <f t="shared" si="51"/>
        <v>0.99247006639873858</v>
      </c>
      <c r="M549" s="7" t="str">
        <f t="shared" si="47"/>
        <v>C</v>
      </c>
      <c r="N549" s="7">
        <f t="shared" si="48"/>
        <v>0</v>
      </c>
      <c r="O549" s="7" t="str">
        <f t="shared" si="49"/>
        <v>Z</v>
      </c>
      <c r="P549" s="7" t="str">
        <f t="shared" si="50"/>
        <v>CZ</v>
      </c>
      <c r="S549" s="6" t="s">
        <v>60</v>
      </c>
      <c r="T549" s="25">
        <v>1</v>
      </c>
      <c r="U549" s="7" t="str">
        <v>AZ</v>
      </c>
      <c r="Y549" t="e">
        <v>#N/A</v>
      </c>
      <c r="Z549" s="104"/>
    </row>
    <row r="550" spans="1:26">
      <c r="A550" s="133" t="s">
        <v>599</v>
      </c>
      <c r="B550" s="7"/>
      <c r="C550" s="7"/>
      <c r="D550" s="7"/>
      <c r="E550" s="7"/>
      <c r="F550" s="7"/>
      <c r="G550" s="7">
        <v>8600000</v>
      </c>
      <c r="H550" s="7"/>
      <c r="I550" s="7">
        <v>8600000</v>
      </c>
      <c r="J550" s="7"/>
      <c r="K550" s="7">
        <v>17200000</v>
      </c>
      <c r="L550" s="134">
        <f t="shared" si="51"/>
        <v>0.99252725119136553</v>
      </c>
      <c r="M550" s="7" t="str">
        <f t="shared" si="47"/>
        <v>C</v>
      </c>
      <c r="N550" s="7">
        <f t="shared" si="48"/>
        <v>0</v>
      </c>
      <c r="O550" s="7" t="str">
        <f t="shared" si="49"/>
        <v>Z</v>
      </c>
      <c r="P550" s="7" t="str">
        <f t="shared" si="50"/>
        <v>CZ</v>
      </c>
      <c r="S550" s="6" t="s">
        <v>197</v>
      </c>
      <c r="T550" s="25">
        <v>2</v>
      </c>
      <c r="U550" s="7" t="str">
        <v>AY</v>
      </c>
      <c r="Y550" t="e">
        <v>#N/A</v>
      </c>
      <c r="Z550" s="104"/>
    </row>
    <row r="551" spans="1:26">
      <c r="A551" s="133" t="s">
        <v>785</v>
      </c>
      <c r="B551" s="7"/>
      <c r="C551" s="7"/>
      <c r="D551" s="7"/>
      <c r="E551" s="7">
        <v>2800000</v>
      </c>
      <c r="F551" s="7"/>
      <c r="G551" s="7">
        <v>5600000</v>
      </c>
      <c r="H551" s="7"/>
      <c r="I551" s="7">
        <v>8400000</v>
      </c>
      <c r="J551" s="7"/>
      <c r="K551" s="7">
        <v>16800000</v>
      </c>
      <c r="L551" s="134">
        <f t="shared" si="51"/>
        <v>0.99258310610509415</v>
      </c>
      <c r="M551" s="7" t="str">
        <f t="shared" si="47"/>
        <v>C</v>
      </c>
      <c r="N551" s="7">
        <f t="shared" si="48"/>
        <v>0.40824829046386302</v>
      </c>
      <c r="O551" s="7" t="str">
        <f t="shared" si="49"/>
        <v>Y</v>
      </c>
      <c r="P551" s="7" t="str">
        <f t="shared" si="50"/>
        <v>CY</v>
      </c>
      <c r="S551" s="6" t="s">
        <v>186</v>
      </c>
      <c r="T551" s="25">
        <v>1</v>
      </c>
      <c r="U551" s="7" t="str">
        <v>AY</v>
      </c>
      <c r="Y551" t="e">
        <v>#N/A</v>
      </c>
      <c r="Z551" s="104"/>
    </row>
    <row r="552" spans="1:26">
      <c r="A552" s="133" t="s">
        <v>219</v>
      </c>
      <c r="B552" s="7"/>
      <c r="C552" s="7"/>
      <c r="D552" s="7"/>
      <c r="E552" s="7">
        <v>7500000</v>
      </c>
      <c r="F552" s="7"/>
      <c r="G552" s="7"/>
      <c r="H552" s="7"/>
      <c r="I552" s="7"/>
      <c r="J552" s="7">
        <v>9000000</v>
      </c>
      <c r="K552" s="7">
        <v>16500000</v>
      </c>
      <c r="L552" s="134">
        <f t="shared" si="51"/>
        <v>0.99263796360964907</v>
      </c>
      <c r="M552" s="7" t="str">
        <f t="shared" si="47"/>
        <v>C</v>
      </c>
      <c r="N552" s="7">
        <f t="shared" si="48"/>
        <v>9.0909090909090912E-2</v>
      </c>
      <c r="O552" s="7" t="str">
        <f t="shared" si="49"/>
        <v>X</v>
      </c>
      <c r="P552" s="7" t="str">
        <f t="shared" si="50"/>
        <v>CX</v>
      </c>
      <c r="S552" s="6" t="s">
        <v>162</v>
      </c>
      <c r="T552" s="25">
        <v>2</v>
      </c>
      <c r="U552" s="7" t="str">
        <v>AY</v>
      </c>
      <c r="Y552" t="e">
        <v>#N/A</v>
      </c>
      <c r="Z552" s="104"/>
    </row>
    <row r="553" spans="1:26">
      <c r="A553" s="133" t="s">
        <v>752</v>
      </c>
      <c r="B553" s="7"/>
      <c r="C553" s="7"/>
      <c r="D553" s="7"/>
      <c r="E553" s="7"/>
      <c r="F553" s="7"/>
      <c r="G553" s="7"/>
      <c r="H553" s="7"/>
      <c r="I553" s="7"/>
      <c r="J553" s="7">
        <v>16500000</v>
      </c>
      <c r="K553" s="7">
        <v>16500000</v>
      </c>
      <c r="L553" s="134">
        <f t="shared" si="51"/>
        <v>0.99269282111420398</v>
      </c>
      <c r="M553" s="7" t="str">
        <f t="shared" si="47"/>
        <v>C</v>
      </c>
      <c r="N553" s="7">
        <f t="shared" si="48"/>
        <v>0</v>
      </c>
      <c r="O553" s="7" t="str">
        <f t="shared" si="49"/>
        <v>Z</v>
      </c>
      <c r="P553" s="7" t="str">
        <f t="shared" si="50"/>
        <v>CZ</v>
      </c>
      <c r="S553" s="6" t="s">
        <v>179</v>
      </c>
      <c r="T553" s="25">
        <v>2</v>
      </c>
      <c r="U553" s="7" t="str">
        <v>AY</v>
      </c>
      <c r="Y553" t="e">
        <v>#N/A</v>
      </c>
      <c r="Z553" s="104"/>
    </row>
    <row r="554" spans="1:26">
      <c r="A554" s="133" t="s">
        <v>754</v>
      </c>
      <c r="B554" s="7"/>
      <c r="C554" s="7"/>
      <c r="D554" s="7"/>
      <c r="E554" s="7"/>
      <c r="F554" s="7"/>
      <c r="G554" s="7"/>
      <c r="H554" s="7"/>
      <c r="I554" s="7"/>
      <c r="J554" s="7">
        <v>16500000</v>
      </c>
      <c r="K554" s="7">
        <v>16500000</v>
      </c>
      <c r="L554" s="134">
        <f t="shared" si="51"/>
        <v>0.9927476786187589</v>
      </c>
      <c r="M554" s="7" t="str">
        <f t="shared" si="47"/>
        <v>C</v>
      </c>
      <c r="N554" s="7">
        <f t="shared" si="48"/>
        <v>0</v>
      </c>
      <c r="O554" s="7" t="str">
        <f t="shared" si="49"/>
        <v>Z</v>
      </c>
      <c r="P554" s="7" t="str">
        <f t="shared" si="50"/>
        <v>CZ</v>
      </c>
      <c r="S554" s="6" t="s">
        <v>179</v>
      </c>
      <c r="T554" s="25">
        <v>2</v>
      </c>
      <c r="U554" s="7" t="str">
        <v>AY</v>
      </c>
      <c r="Y554" t="e">
        <v>#N/A</v>
      </c>
      <c r="Z554" s="104"/>
    </row>
    <row r="555" spans="1:26">
      <c r="A555" s="133" t="s">
        <v>786</v>
      </c>
      <c r="B555" s="7"/>
      <c r="C555" s="7"/>
      <c r="D555" s="7"/>
      <c r="E555" s="7"/>
      <c r="F555" s="7"/>
      <c r="G555" s="7"/>
      <c r="H555" s="7"/>
      <c r="I555" s="7">
        <v>16500000</v>
      </c>
      <c r="J555" s="7"/>
      <c r="K555" s="7">
        <v>16500000</v>
      </c>
      <c r="L555" s="134">
        <f t="shared" si="51"/>
        <v>0.99280253612331382</v>
      </c>
      <c r="M555" s="7" t="str">
        <f t="shared" si="47"/>
        <v>C</v>
      </c>
      <c r="N555" s="7">
        <f t="shared" si="48"/>
        <v>0</v>
      </c>
      <c r="O555" s="7" t="str">
        <f t="shared" si="49"/>
        <v>Z</v>
      </c>
      <c r="P555" s="7" t="str">
        <f t="shared" si="50"/>
        <v>CZ</v>
      </c>
      <c r="S555" s="6" t="s">
        <v>85</v>
      </c>
      <c r="T555" s="25">
        <v>2</v>
      </c>
      <c r="U555" s="7" t="str">
        <v>AY</v>
      </c>
      <c r="Y555" t="e">
        <v>#N/A</v>
      </c>
      <c r="Z555" s="104"/>
    </row>
    <row r="556" spans="1:26">
      <c r="A556" s="133" t="s">
        <v>196</v>
      </c>
      <c r="B556" s="7">
        <v>720414.75515463913</v>
      </c>
      <c r="C556" s="7">
        <v>300000</v>
      </c>
      <c r="D556" s="7">
        <v>156000</v>
      </c>
      <c r="E556" s="7">
        <v>599000</v>
      </c>
      <c r="F556" s="7">
        <v>110000</v>
      </c>
      <c r="G556" s="7">
        <v>1263000</v>
      </c>
      <c r="H556" s="7">
        <v>5040000</v>
      </c>
      <c r="I556" s="7">
        <v>6074600</v>
      </c>
      <c r="J556" s="7">
        <v>2145000</v>
      </c>
      <c r="K556" s="7">
        <v>16408014.755154639</v>
      </c>
      <c r="L556" s="134">
        <f t="shared" si="51"/>
        <v>0.99285708780477855</v>
      </c>
      <c r="M556" s="7" t="str">
        <f t="shared" si="47"/>
        <v>C</v>
      </c>
      <c r="N556" s="7">
        <f t="shared" si="48"/>
        <v>1.1504114892814579</v>
      </c>
      <c r="O556" s="7" t="str">
        <f t="shared" si="49"/>
        <v>Z</v>
      </c>
      <c r="P556" s="7" t="str">
        <f t="shared" si="50"/>
        <v>CZ</v>
      </c>
      <c r="S556" s="6" t="s">
        <v>206</v>
      </c>
      <c r="T556" s="25">
        <v>1</v>
      </c>
      <c r="U556" s="7" t="str">
        <v>AY</v>
      </c>
      <c r="Y556" t="e">
        <v>#N/A</v>
      </c>
      <c r="Z556" s="104"/>
    </row>
    <row r="557" spans="1:26">
      <c r="A557" s="133" t="s">
        <v>787</v>
      </c>
      <c r="B557" s="7">
        <v>1800000</v>
      </c>
      <c r="C557" s="7"/>
      <c r="D557" s="7"/>
      <c r="E557" s="7"/>
      <c r="F557" s="7"/>
      <c r="G557" s="7">
        <v>14600000</v>
      </c>
      <c r="H557" s="7"/>
      <c r="I557" s="7"/>
      <c r="J557" s="7"/>
      <c r="K557" s="7">
        <v>16400000</v>
      </c>
      <c r="L557" s="134">
        <f t="shared" si="51"/>
        <v>0.99291161283960883</v>
      </c>
      <c r="M557" s="7" t="str">
        <f t="shared" si="47"/>
        <v>C</v>
      </c>
      <c r="N557" s="7">
        <f t="shared" si="48"/>
        <v>0.78048780487804881</v>
      </c>
      <c r="O557" s="7" t="str">
        <f t="shared" si="49"/>
        <v>Z</v>
      </c>
      <c r="P557" s="7" t="str">
        <f t="shared" si="50"/>
        <v>CZ</v>
      </c>
      <c r="S557" s="6" t="s">
        <v>537</v>
      </c>
      <c r="T557" s="25">
        <v>2</v>
      </c>
      <c r="U557" s="7" t="str">
        <v>BZ</v>
      </c>
      <c r="Y557" t="e">
        <v>#N/A</v>
      </c>
      <c r="Z557" s="104"/>
    </row>
    <row r="558" spans="1:26">
      <c r="A558" s="133" t="s">
        <v>209</v>
      </c>
      <c r="B558" s="7"/>
      <c r="C558" s="7"/>
      <c r="D558" s="7"/>
      <c r="E558" s="7">
        <v>7909091</v>
      </c>
      <c r="F558" s="7"/>
      <c r="G558" s="7"/>
      <c r="H558" s="7"/>
      <c r="I558" s="7"/>
      <c r="J558" s="7">
        <v>8375000</v>
      </c>
      <c r="K558" s="7">
        <v>16284091</v>
      </c>
      <c r="L558" s="134">
        <f t="shared" si="51"/>
        <v>0.99296575251210606</v>
      </c>
      <c r="M558" s="7" t="str">
        <f t="shared" si="47"/>
        <v>C</v>
      </c>
      <c r="N558" s="7">
        <f t="shared" si="48"/>
        <v>2.8611299212218846E-2</v>
      </c>
      <c r="O558" s="7" t="str">
        <f t="shared" si="49"/>
        <v>X</v>
      </c>
      <c r="P558" s="7" t="str">
        <f t="shared" si="50"/>
        <v>CX</v>
      </c>
      <c r="S558" s="6" t="s">
        <v>284</v>
      </c>
      <c r="T558" s="25">
        <v>4</v>
      </c>
      <c r="U558" s="7" t="str">
        <v>AY</v>
      </c>
      <c r="Y558" t="e">
        <v>#N/A</v>
      </c>
      <c r="Z558" s="104"/>
    </row>
    <row r="559" spans="1:26">
      <c r="A559" s="133" t="s">
        <v>685</v>
      </c>
      <c r="B559" s="7"/>
      <c r="C559" s="7"/>
      <c r="D559" s="7"/>
      <c r="E559" s="7"/>
      <c r="F559" s="7"/>
      <c r="G559" s="7"/>
      <c r="H559" s="7">
        <v>1750</v>
      </c>
      <c r="I559" s="7"/>
      <c r="J559" s="7">
        <v>16222500</v>
      </c>
      <c r="K559" s="7">
        <v>16224250</v>
      </c>
      <c r="L559" s="134">
        <f t="shared" si="51"/>
        <v>0.99301969323139538</v>
      </c>
      <c r="M559" s="7" t="str">
        <f t="shared" si="47"/>
        <v>C</v>
      </c>
      <c r="N559" s="7">
        <f t="shared" si="48"/>
        <v>0.99978427354114985</v>
      </c>
      <c r="O559" s="7" t="str">
        <f t="shared" si="49"/>
        <v>Z</v>
      </c>
      <c r="P559" s="7" t="str">
        <f t="shared" si="50"/>
        <v>CZ</v>
      </c>
      <c r="S559" s="6" t="s">
        <v>342</v>
      </c>
      <c r="T559" s="25">
        <v>2</v>
      </c>
      <c r="U559" s="7" t="str">
        <v>BX</v>
      </c>
      <c r="Y559" t="e">
        <v>#N/A</v>
      </c>
      <c r="Z559" s="104"/>
    </row>
    <row r="560" spans="1:26">
      <c r="A560" s="133" t="s">
        <v>566</v>
      </c>
      <c r="B560" s="7"/>
      <c r="C560" s="7"/>
      <c r="D560" s="7"/>
      <c r="E560" s="7"/>
      <c r="F560" s="7"/>
      <c r="G560" s="7"/>
      <c r="H560" s="7">
        <v>2000000</v>
      </c>
      <c r="I560" s="7"/>
      <c r="J560" s="7">
        <v>13860000</v>
      </c>
      <c r="K560" s="7">
        <v>15860000</v>
      </c>
      <c r="L560" s="134">
        <f t="shared" si="51"/>
        <v>0.99307242292971298</v>
      </c>
      <c r="M560" s="7" t="str">
        <f t="shared" si="47"/>
        <v>C</v>
      </c>
      <c r="N560" s="7">
        <f t="shared" si="48"/>
        <v>0.74779319041614123</v>
      </c>
      <c r="O560" s="7" t="str">
        <f t="shared" si="49"/>
        <v>Z</v>
      </c>
      <c r="P560" s="7" t="str">
        <f t="shared" si="50"/>
        <v>CZ</v>
      </c>
      <c r="S560" s="6" t="s">
        <v>203</v>
      </c>
      <c r="T560" s="25">
        <v>2</v>
      </c>
      <c r="U560" s="7" t="str">
        <v>AY</v>
      </c>
      <c r="Y560" t="e">
        <v>#N/A</v>
      </c>
      <c r="Z560" s="104"/>
    </row>
    <row r="561" spans="1:26">
      <c r="A561" s="133" t="s">
        <v>306</v>
      </c>
      <c r="B561" s="7"/>
      <c r="C561" s="7">
        <v>15828125</v>
      </c>
      <c r="D561" s="7"/>
      <c r="E561" s="7"/>
      <c r="F561" s="7"/>
      <c r="G561" s="7"/>
      <c r="H561" s="7"/>
      <c r="I561" s="7"/>
      <c r="J561" s="7"/>
      <c r="K561" s="7">
        <v>15828125</v>
      </c>
      <c r="L561" s="134">
        <f t="shared" si="51"/>
        <v>0.99312504665330592</v>
      </c>
      <c r="M561" s="7" t="str">
        <f t="shared" si="47"/>
        <v>C</v>
      </c>
      <c r="N561" s="7">
        <f t="shared" si="48"/>
        <v>0</v>
      </c>
      <c r="O561" s="7" t="str">
        <f t="shared" si="49"/>
        <v>Z</v>
      </c>
      <c r="P561" s="7" t="str">
        <f t="shared" si="50"/>
        <v>CZ</v>
      </c>
      <c r="S561" s="6" t="s">
        <v>203</v>
      </c>
      <c r="T561" s="25">
        <v>4</v>
      </c>
      <c r="U561" s="7" t="str">
        <v>AY</v>
      </c>
      <c r="Y561" t="e">
        <v>#N/A</v>
      </c>
      <c r="Z561" s="104"/>
    </row>
    <row r="562" spans="1:26">
      <c r="A562" s="133" t="s">
        <v>788</v>
      </c>
      <c r="B562" s="7">
        <v>15800000</v>
      </c>
      <c r="C562" s="7"/>
      <c r="D562" s="7"/>
      <c r="E562" s="7"/>
      <c r="F562" s="7"/>
      <c r="G562" s="7"/>
      <c r="H562" s="7"/>
      <c r="I562" s="7"/>
      <c r="J562" s="7"/>
      <c r="K562" s="7">
        <v>15800000</v>
      </c>
      <c r="L562" s="134">
        <f t="shared" si="51"/>
        <v>0.9931775768697888</v>
      </c>
      <c r="M562" s="7" t="str">
        <f t="shared" si="47"/>
        <v>C</v>
      </c>
      <c r="N562" s="7">
        <f t="shared" si="48"/>
        <v>0</v>
      </c>
      <c r="O562" s="7" t="str">
        <f t="shared" si="49"/>
        <v>Z</v>
      </c>
      <c r="P562" s="7" t="str">
        <f t="shared" si="50"/>
        <v>CZ</v>
      </c>
      <c r="S562" s="6" t="s">
        <v>203</v>
      </c>
      <c r="T562" s="25">
        <v>4</v>
      </c>
      <c r="U562" s="7" t="str">
        <v>AY</v>
      </c>
      <c r="Y562" t="e">
        <v>#N/A</v>
      </c>
      <c r="Z562" s="104"/>
    </row>
    <row r="563" spans="1:26">
      <c r="A563" s="133" t="s">
        <v>765</v>
      </c>
      <c r="B563" s="7"/>
      <c r="C563" s="7"/>
      <c r="D563" s="7"/>
      <c r="E563" s="7"/>
      <c r="F563" s="7"/>
      <c r="G563" s="7"/>
      <c r="H563" s="7"/>
      <c r="I563" s="7"/>
      <c r="J563" s="7">
        <v>15668000</v>
      </c>
      <c r="K563" s="7">
        <v>15668000</v>
      </c>
      <c r="L563" s="134">
        <f t="shared" si="51"/>
        <v>0.99322966822623526</v>
      </c>
      <c r="M563" s="7" t="str">
        <f t="shared" si="47"/>
        <v>C</v>
      </c>
      <c r="N563" s="7">
        <f t="shared" si="48"/>
        <v>0</v>
      </c>
      <c r="O563" s="7" t="str">
        <f t="shared" si="49"/>
        <v>Z</v>
      </c>
      <c r="P563" s="7" t="str">
        <f t="shared" si="50"/>
        <v>CZ</v>
      </c>
      <c r="S563" s="6" t="s">
        <v>114</v>
      </c>
      <c r="T563" s="25">
        <v>1</v>
      </c>
      <c r="U563" s="7" t="str">
        <v>AZ</v>
      </c>
      <c r="Y563" t="e">
        <v>#N/A</v>
      </c>
      <c r="Z563" s="104"/>
    </row>
    <row r="564" spans="1:26">
      <c r="A564" s="133" t="s">
        <v>789</v>
      </c>
      <c r="B564" s="7">
        <v>6000000</v>
      </c>
      <c r="C564" s="7"/>
      <c r="D564" s="7"/>
      <c r="E564" s="7"/>
      <c r="F564" s="7">
        <v>9600000</v>
      </c>
      <c r="G564" s="7"/>
      <c r="H564" s="7"/>
      <c r="I564" s="7"/>
      <c r="J564" s="7"/>
      <c r="K564" s="7">
        <v>15600000</v>
      </c>
      <c r="L564" s="134">
        <f t="shared" si="51"/>
        <v>0.99328153350326898</v>
      </c>
      <c r="M564" s="7" t="str">
        <f t="shared" si="47"/>
        <v>C</v>
      </c>
      <c r="N564" s="7">
        <f t="shared" si="48"/>
        <v>0.23076923076923078</v>
      </c>
      <c r="O564" s="7" t="str">
        <f t="shared" si="49"/>
        <v>X</v>
      </c>
      <c r="P564" s="7" t="str">
        <f t="shared" si="50"/>
        <v>CX</v>
      </c>
      <c r="S564" s="6" t="s">
        <v>114</v>
      </c>
      <c r="T564" s="25">
        <v>1</v>
      </c>
      <c r="U564" s="7" t="str">
        <v>AZ</v>
      </c>
      <c r="Y564" t="e">
        <v>#N/A</v>
      </c>
      <c r="Z564" s="104"/>
    </row>
    <row r="565" spans="1:26">
      <c r="A565" s="133" t="s">
        <v>365</v>
      </c>
      <c r="B565" s="7"/>
      <c r="C565" s="7"/>
      <c r="D565" s="7"/>
      <c r="E565" s="7"/>
      <c r="F565" s="7">
        <v>15552000</v>
      </c>
      <c r="G565" s="7"/>
      <c r="H565" s="7"/>
      <c r="I565" s="7"/>
      <c r="J565" s="7"/>
      <c r="K565" s="7">
        <v>15552000</v>
      </c>
      <c r="L565" s="134">
        <f t="shared" si="51"/>
        <v>0.99333323919483485</v>
      </c>
      <c r="M565" s="7" t="str">
        <f t="shared" si="47"/>
        <v>C</v>
      </c>
      <c r="N565" s="7">
        <f t="shared" si="48"/>
        <v>0</v>
      </c>
      <c r="O565" s="7" t="str">
        <f t="shared" si="49"/>
        <v>Z</v>
      </c>
      <c r="P565" s="7" t="str">
        <f t="shared" si="50"/>
        <v>CZ</v>
      </c>
      <c r="S565" s="6" t="s">
        <v>114</v>
      </c>
      <c r="T565" s="25">
        <v>2</v>
      </c>
      <c r="U565" s="7" t="str">
        <v>AZ</v>
      </c>
      <c r="Y565" t="e">
        <v>#N/A</v>
      </c>
      <c r="Z565" s="104"/>
    </row>
    <row r="566" spans="1:26">
      <c r="A566" s="133" t="s">
        <v>443</v>
      </c>
      <c r="B566" s="7"/>
      <c r="C566" s="7"/>
      <c r="D566" s="7">
        <v>2000000</v>
      </c>
      <c r="E566" s="7"/>
      <c r="F566" s="7"/>
      <c r="G566" s="7"/>
      <c r="H566" s="7"/>
      <c r="I566" s="7">
        <v>13450000</v>
      </c>
      <c r="J566" s="7"/>
      <c r="K566" s="7">
        <v>15450000</v>
      </c>
      <c r="L566" s="134">
        <f t="shared" si="51"/>
        <v>0.99338460576728171</v>
      </c>
      <c r="M566" s="7" t="str">
        <f t="shared" si="47"/>
        <v>C</v>
      </c>
      <c r="N566" s="7">
        <f t="shared" si="48"/>
        <v>0.74110032362459544</v>
      </c>
      <c r="O566" s="7" t="str">
        <f t="shared" si="49"/>
        <v>Z</v>
      </c>
      <c r="P566" s="7" t="str">
        <f t="shared" si="50"/>
        <v>CZ</v>
      </c>
      <c r="S566" s="6" t="s">
        <v>114</v>
      </c>
      <c r="T566" s="25">
        <v>1</v>
      </c>
      <c r="U566" s="7" t="str">
        <v>AZ</v>
      </c>
      <c r="Y566" t="e">
        <v>#N/A</v>
      </c>
      <c r="Z566" s="104"/>
    </row>
    <row r="567" spans="1:26">
      <c r="A567" s="133" t="s">
        <v>790</v>
      </c>
      <c r="B567" s="7"/>
      <c r="C567" s="7"/>
      <c r="D567" s="7"/>
      <c r="E567" s="7"/>
      <c r="F567" s="7"/>
      <c r="G567" s="7"/>
      <c r="H567" s="7"/>
      <c r="I567" s="7">
        <v>15400000</v>
      </c>
      <c r="J567" s="7"/>
      <c r="K567" s="7">
        <v>15400000</v>
      </c>
      <c r="L567" s="134">
        <f t="shared" si="51"/>
        <v>0.99343580610486626</v>
      </c>
      <c r="M567" s="7" t="str">
        <f t="shared" si="47"/>
        <v>C</v>
      </c>
      <c r="N567" s="7">
        <f t="shared" si="48"/>
        <v>0</v>
      </c>
      <c r="O567" s="7" t="str">
        <f t="shared" si="49"/>
        <v>Z</v>
      </c>
      <c r="P567" s="7" t="str">
        <f t="shared" si="50"/>
        <v>CZ</v>
      </c>
      <c r="S567" s="6" t="s">
        <v>72</v>
      </c>
      <c r="T567" s="25">
        <v>2</v>
      </c>
      <c r="U567" s="7" t="str">
        <v>AZ</v>
      </c>
      <c r="Y567" t="e">
        <v>#N/A</v>
      </c>
      <c r="Z567" s="104"/>
    </row>
    <row r="568" spans="1:26">
      <c r="A568" s="133" t="s">
        <v>567</v>
      </c>
      <c r="B568" s="7"/>
      <c r="C568" s="7"/>
      <c r="D568" s="7"/>
      <c r="E568" s="7"/>
      <c r="F568" s="7"/>
      <c r="G568" s="7"/>
      <c r="H568" s="7"/>
      <c r="I568" s="7">
        <v>15250000</v>
      </c>
      <c r="J568" s="7"/>
      <c r="K568" s="7">
        <v>15250000</v>
      </c>
      <c r="L568" s="134">
        <f t="shared" si="51"/>
        <v>0.99348650773786396</v>
      </c>
      <c r="M568" s="7" t="str">
        <f t="shared" si="47"/>
        <v>C</v>
      </c>
      <c r="N568" s="7">
        <f t="shared" si="48"/>
        <v>0</v>
      </c>
      <c r="O568" s="7" t="str">
        <f t="shared" si="49"/>
        <v>Z</v>
      </c>
      <c r="P568" s="7" t="str">
        <f t="shared" si="50"/>
        <v>CZ</v>
      </c>
      <c r="S568" s="6" t="s">
        <v>72</v>
      </c>
      <c r="T568" s="25">
        <v>3</v>
      </c>
      <c r="U568" s="7" t="str">
        <v>AZ</v>
      </c>
      <c r="Y568" t="e">
        <v>#N/A</v>
      </c>
      <c r="Z568" s="104"/>
    </row>
    <row r="569" spans="1:26">
      <c r="A569" s="133" t="s">
        <v>569</v>
      </c>
      <c r="B569" s="7"/>
      <c r="C569" s="7"/>
      <c r="D569" s="7"/>
      <c r="E569" s="7"/>
      <c r="F569" s="7"/>
      <c r="G569" s="7"/>
      <c r="H569" s="7"/>
      <c r="I569" s="7">
        <v>15250000</v>
      </c>
      <c r="J569" s="7"/>
      <c r="K569" s="7">
        <v>15250000</v>
      </c>
      <c r="L569" s="134">
        <f t="shared" si="51"/>
        <v>0.99353720937086165</v>
      </c>
      <c r="M569" s="7" t="str">
        <f t="shared" si="47"/>
        <v>C</v>
      </c>
      <c r="N569" s="7">
        <f t="shared" si="48"/>
        <v>0</v>
      </c>
      <c r="O569" s="7" t="str">
        <f t="shared" si="49"/>
        <v>Z</v>
      </c>
      <c r="P569" s="7" t="str">
        <f t="shared" si="50"/>
        <v>CZ</v>
      </c>
      <c r="S569" s="6" t="s">
        <v>391</v>
      </c>
      <c r="T569" s="25">
        <v>1</v>
      </c>
      <c r="U569" s="7" t="str">
        <v>CZ</v>
      </c>
      <c r="Y569" t="e">
        <v>#N/A</v>
      </c>
      <c r="Z569" s="104"/>
    </row>
    <row r="570" spans="1:26">
      <c r="A570" s="133" t="s">
        <v>791</v>
      </c>
      <c r="B570" s="7">
        <v>7390000</v>
      </c>
      <c r="C570" s="7">
        <v>7833000</v>
      </c>
      <c r="D570" s="7"/>
      <c r="E570" s="7"/>
      <c r="F570" s="7"/>
      <c r="G570" s="7"/>
      <c r="H570" s="7"/>
      <c r="I570" s="7"/>
      <c r="J570" s="7"/>
      <c r="K570" s="7">
        <v>15223000</v>
      </c>
      <c r="L570" s="134">
        <f t="shared" si="51"/>
        <v>0.99358782123703371</v>
      </c>
      <c r="M570" s="7" t="str">
        <f t="shared" si="47"/>
        <v>C</v>
      </c>
      <c r="N570" s="7">
        <f t="shared" si="48"/>
        <v>2.9100702883794259E-2</v>
      </c>
      <c r="O570" s="7" t="str">
        <f t="shared" si="49"/>
        <v>X</v>
      </c>
      <c r="P570" s="7" t="str">
        <f t="shared" si="50"/>
        <v>CX</v>
      </c>
      <c r="S570" s="6" t="s">
        <v>355</v>
      </c>
      <c r="T570" s="25">
        <v>5</v>
      </c>
      <c r="U570" s="7" t="str">
        <v>BZ</v>
      </c>
      <c r="Y570" t="e">
        <v>#N/A</v>
      </c>
      <c r="Z570" s="104"/>
    </row>
    <row r="571" spans="1:26">
      <c r="A571" s="133" t="s">
        <v>792</v>
      </c>
      <c r="B571" s="7"/>
      <c r="C571" s="7"/>
      <c r="D571" s="7"/>
      <c r="E571" s="7"/>
      <c r="F571" s="7"/>
      <c r="G571" s="7">
        <v>15200000</v>
      </c>
      <c r="H571" s="7"/>
      <c r="I571" s="7"/>
      <c r="J571" s="7"/>
      <c r="K571" s="7">
        <v>15200000</v>
      </c>
      <c r="L571" s="134">
        <f t="shared" si="51"/>
        <v>0.99363835663516908</v>
      </c>
      <c r="M571" s="7" t="str">
        <f t="shared" si="47"/>
        <v>C</v>
      </c>
      <c r="N571" s="7">
        <f t="shared" si="48"/>
        <v>0</v>
      </c>
      <c r="O571" s="7" t="str">
        <f t="shared" si="49"/>
        <v>Z</v>
      </c>
      <c r="P571" s="7" t="str">
        <f t="shared" si="50"/>
        <v>CZ</v>
      </c>
      <c r="S571" s="6" t="s">
        <v>355</v>
      </c>
      <c r="T571" s="25">
        <v>4</v>
      </c>
      <c r="U571" s="7" t="str">
        <v>BZ</v>
      </c>
      <c r="Y571" t="e">
        <v>#N/A</v>
      </c>
      <c r="Z571" s="104"/>
    </row>
    <row r="572" spans="1:26">
      <c r="A572" s="133" t="s">
        <v>628</v>
      </c>
      <c r="B572" s="7"/>
      <c r="C572" s="7"/>
      <c r="D572" s="7"/>
      <c r="E572" s="7"/>
      <c r="F572" s="7"/>
      <c r="G572" s="7">
        <v>15120000</v>
      </c>
      <c r="H572" s="7"/>
      <c r="I572" s="7"/>
      <c r="J572" s="7"/>
      <c r="K572" s="7">
        <v>15120000</v>
      </c>
      <c r="L572" s="134">
        <f t="shared" si="51"/>
        <v>0.99368862605752484</v>
      </c>
      <c r="M572" s="7" t="str">
        <f t="shared" si="47"/>
        <v>C</v>
      </c>
      <c r="N572" s="7">
        <f t="shared" si="48"/>
        <v>0</v>
      </c>
      <c r="O572" s="7" t="str">
        <f t="shared" si="49"/>
        <v>Z</v>
      </c>
      <c r="P572" s="7" t="str">
        <f t="shared" si="50"/>
        <v>CZ</v>
      </c>
      <c r="S572" s="6" t="s">
        <v>276</v>
      </c>
      <c r="T572" s="25">
        <v>7</v>
      </c>
      <c r="U572" s="7" t="str">
        <v>AZ</v>
      </c>
      <c r="Y572" t="e">
        <v>#N/A</v>
      </c>
      <c r="Z572" s="104"/>
    </row>
    <row r="573" spans="1:26">
      <c r="A573" s="133" t="s">
        <v>793</v>
      </c>
      <c r="B573" s="7"/>
      <c r="C573" s="7"/>
      <c r="D573" s="7"/>
      <c r="E573" s="7"/>
      <c r="F573" s="7"/>
      <c r="G573" s="7">
        <v>15052700</v>
      </c>
      <c r="H573" s="7"/>
      <c r="I573" s="7"/>
      <c r="J573" s="7"/>
      <c r="K573" s="7">
        <v>15052700</v>
      </c>
      <c r="L573" s="134">
        <f t="shared" si="51"/>
        <v>0.99373867172775598</v>
      </c>
      <c r="M573" s="7" t="str">
        <f t="shared" si="47"/>
        <v>C</v>
      </c>
      <c r="N573" s="7">
        <f t="shared" si="48"/>
        <v>0</v>
      </c>
      <c r="O573" s="7" t="str">
        <f t="shared" si="49"/>
        <v>Z</v>
      </c>
      <c r="P573" s="7" t="str">
        <f t="shared" si="50"/>
        <v>CZ</v>
      </c>
      <c r="S573" s="6" t="s">
        <v>276</v>
      </c>
      <c r="T573" s="25">
        <v>4</v>
      </c>
      <c r="U573" s="7" t="str">
        <v>AZ</v>
      </c>
      <c r="Y573" t="e">
        <v>#N/A</v>
      </c>
      <c r="Z573" s="104"/>
    </row>
    <row r="574" spans="1:26">
      <c r="A574" s="133" t="s">
        <v>167</v>
      </c>
      <c r="B574" s="7"/>
      <c r="C574" s="7"/>
      <c r="D574" s="7"/>
      <c r="E574" s="7"/>
      <c r="F574" s="7"/>
      <c r="G574" s="7"/>
      <c r="H574" s="7"/>
      <c r="I574" s="7"/>
      <c r="J574" s="7">
        <v>15000040</v>
      </c>
      <c r="K574" s="7">
        <v>15000040</v>
      </c>
      <c r="L574" s="134">
        <f t="shared" si="51"/>
        <v>0.99378854231943015</v>
      </c>
      <c r="M574" s="7" t="str">
        <f t="shared" si="47"/>
        <v>C</v>
      </c>
      <c r="N574" s="7">
        <f t="shared" si="48"/>
        <v>0</v>
      </c>
      <c r="O574" s="7" t="str">
        <f t="shared" si="49"/>
        <v>Z</v>
      </c>
      <c r="P574" s="7" t="str">
        <f t="shared" si="50"/>
        <v>CZ</v>
      </c>
      <c r="S574" s="6" t="s">
        <v>269</v>
      </c>
      <c r="T574" s="25">
        <v>8</v>
      </c>
      <c r="U574" s="7" t="str">
        <v>AZ</v>
      </c>
      <c r="Y574" t="e">
        <v>#N/A</v>
      </c>
      <c r="Z574" s="104"/>
    </row>
    <row r="575" spans="1:26">
      <c r="A575" s="133" t="s">
        <v>794</v>
      </c>
      <c r="B575" s="7"/>
      <c r="C575" s="7"/>
      <c r="D575" s="7"/>
      <c r="E575" s="7"/>
      <c r="F575" s="7">
        <v>15000000</v>
      </c>
      <c r="G575" s="7"/>
      <c r="H575" s="7"/>
      <c r="I575" s="7"/>
      <c r="J575" s="7"/>
      <c r="K575" s="7">
        <v>15000000</v>
      </c>
      <c r="L575" s="134">
        <f t="shared" si="51"/>
        <v>0.99383841277811646</v>
      </c>
      <c r="M575" s="7" t="str">
        <f t="shared" si="47"/>
        <v>C</v>
      </c>
      <c r="N575" s="7">
        <f t="shared" si="48"/>
        <v>0</v>
      </c>
      <c r="O575" s="7" t="str">
        <f t="shared" si="49"/>
        <v>Z</v>
      </c>
      <c r="P575" s="7" t="str">
        <f t="shared" si="50"/>
        <v>CZ</v>
      </c>
      <c r="S575" s="6" t="s">
        <v>269</v>
      </c>
      <c r="T575" s="25">
        <v>5</v>
      </c>
      <c r="U575" s="7" t="str">
        <v>AZ</v>
      </c>
      <c r="Y575" t="e">
        <v>#N/A</v>
      </c>
      <c r="Z575" s="104"/>
    </row>
    <row r="576" spans="1:26">
      <c r="A576" s="133" t="s">
        <v>768</v>
      </c>
      <c r="B576" s="7"/>
      <c r="C576" s="7"/>
      <c r="D576" s="7"/>
      <c r="E576" s="7"/>
      <c r="F576" s="7"/>
      <c r="G576" s="7"/>
      <c r="H576" s="7"/>
      <c r="I576" s="7"/>
      <c r="J576" s="7">
        <v>14685000</v>
      </c>
      <c r="K576" s="7">
        <v>14685000</v>
      </c>
      <c r="L576" s="134">
        <f t="shared" si="51"/>
        <v>0.99388723595717032</v>
      </c>
      <c r="M576" s="7" t="str">
        <f t="shared" si="47"/>
        <v>C</v>
      </c>
      <c r="N576" s="7">
        <f t="shared" si="48"/>
        <v>0</v>
      </c>
      <c r="O576" s="7" t="str">
        <f t="shared" si="49"/>
        <v>Z</v>
      </c>
      <c r="P576" s="7" t="str">
        <f t="shared" si="50"/>
        <v>CZ</v>
      </c>
      <c r="S576" s="6" t="s">
        <v>220</v>
      </c>
      <c r="T576" s="25">
        <v>9</v>
      </c>
      <c r="U576" s="7" t="str">
        <v>AY</v>
      </c>
      <c r="Y576" t="e">
        <v>#N/A</v>
      </c>
      <c r="Z576" s="104"/>
    </row>
    <row r="577" spans="1:26">
      <c r="A577" s="133" t="s">
        <v>795</v>
      </c>
      <c r="B577" s="7"/>
      <c r="C577" s="7"/>
      <c r="D577" s="7"/>
      <c r="E577" s="7">
        <v>14670000</v>
      </c>
      <c r="F577" s="7"/>
      <c r="G577" s="7"/>
      <c r="H577" s="7"/>
      <c r="I577" s="7"/>
      <c r="J577" s="7"/>
      <c r="K577" s="7">
        <v>14670000</v>
      </c>
      <c r="L577" s="134">
        <f t="shared" si="51"/>
        <v>0.99393600926576553</v>
      </c>
      <c r="M577" s="7" t="str">
        <f t="shared" si="47"/>
        <v>C</v>
      </c>
      <c r="N577" s="7">
        <f t="shared" si="48"/>
        <v>0</v>
      </c>
      <c r="O577" s="7" t="str">
        <f t="shared" si="49"/>
        <v>Z</v>
      </c>
      <c r="P577" s="7" t="str">
        <f t="shared" si="50"/>
        <v>CZ</v>
      </c>
      <c r="S577" s="6" t="s">
        <v>220</v>
      </c>
      <c r="T577" s="25">
        <v>5</v>
      </c>
      <c r="U577" s="7" t="str">
        <v>AY</v>
      </c>
      <c r="Y577" t="e">
        <v>#N/A</v>
      </c>
      <c r="Z577" s="104"/>
    </row>
    <row r="578" spans="1:26">
      <c r="A578" s="133" t="s">
        <v>796</v>
      </c>
      <c r="B578" s="7">
        <v>1620000</v>
      </c>
      <c r="C578" s="7"/>
      <c r="D578" s="7"/>
      <c r="E578" s="7"/>
      <c r="F578" s="7">
        <v>12800000</v>
      </c>
      <c r="G578" s="7"/>
      <c r="H578" s="7"/>
      <c r="I578" s="7"/>
      <c r="J578" s="7"/>
      <c r="K578" s="7">
        <v>14420000</v>
      </c>
      <c r="L578" s="134">
        <f t="shared" si="51"/>
        <v>0.99398395140004925</v>
      </c>
      <c r="M578" s="7" t="str">
        <f t="shared" si="47"/>
        <v>C</v>
      </c>
      <c r="N578" s="7">
        <f t="shared" si="48"/>
        <v>0.77531206657420249</v>
      </c>
      <c r="O578" s="7" t="str">
        <f t="shared" si="49"/>
        <v>Z</v>
      </c>
      <c r="P578" s="7" t="str">
        <f t="shared" si="50"/>
        <v>CZ</v>
      </c>
      <c r="S578" s="6" t="s">
        <v>360</v>
      </c>
      <c r="T578" s="25">
        <v>9</v>
      </c>
      <c r="U578" s="7" t="str">
        <v>BZ</v>
      </c>
      <c r="Y578" t="e">
        <v>#N/A</v>
      </c>
      <c r="Z578" s="104"/>
    </row>
    <row r="579" spans="1:26">
      <c r="A579" s="133" t="s">
        <v>797</v>
      </c>
      <c r="B579" s="7"/>
      <c r="C579" s="7"/>
      <c r="D579" s="7"/>
      <c r="E579" s="7"/>
      <c r="F579" s="7"/>
      <c r="G579" s="7"/>
      <c r="H579" s="7"/>
      <c r="I579" s="7">
        <v>14240000</v>
      </c>
      <c r="J579" s="7"/>
      <c r="K579" s="7">
        <v>14240000</v>
      </c>
      <c r="L579" s="134">
        <f t="shared" si="51"/>
        <v>0.9940312950888287</v>
      </c>
      <c r="M579" s="7" t="str">
        <f t="shared" si="47"/>
        <v>C</v>
      </c>
      <c r="N579" s="7">
        <f t="shared" si="48"/>
        <v>0</v>
      </c>
      <c r="O579" s="7" t="str">
        <f t="shared" si="49"/>
        <v>Z</v>
      </c>
      <c r="P579" s="7" t="str">
        <f t="shared" si="50"/>
        <v>CZ</v>
      </c>
      <c r="S579" s="6" t="s">
        <v>360</v>
      </c>
      <c r="T579" s="25">
        <v>4</v>
      </c>
      <c r="U579" s="7" t="str">
        <v>BZ</v>
      </c>
      <c r="Y579" t="e">
        <v>#N/A</v>
      </c>
      <c r="Z579" s="104"/>
    </row>
    <row r="580" spans="1:26">
      <c r="A580" s="133" t="s">
        <v>272</v>
      </c>
      <c r="B580" s="7"/>
      <c r="C580" s="7">
        <v>630000</v>
      </c>
      <c r="D580" s="7"/>
      <c r="E580" s="7"/>
      <c r="F580" s="7">
        <v>3045000</v>
      </c>
      <c r="G580" s="7">
        <v>3150000</v>
      </c>
      <c r="H580" s="7"/>
      <c r="I580" s="7">
        <v>2100000</v>
      </c>
      <c r="J580" s="7">
        <v>5250000</v>
      </c>
      <c r="K580" s="7">
        <v>14175000</v>
      </c>
      <c r="L580" s="134">
        <f t="shared" si="51"/>
        <v>0.99407842267228719</v>
      </c>
      <c r="M580" s="7" t="str">
        <f t="shared" si="47"/>
        <v>C</v>
      </c>
      <c r="N580" s="7">
        <f t="shared" si="48"/>
        <v>0.53209733321682884</v>
      </c>
      <c r="O580" s="7" t="str">
        <f t="shared" si="49"/>
        <v>Y</v>
      </c>
      <c r="P580" s="7" t="str">
        <f t="shared" si="50"/>
        <v>CY</v>
      </c>
      <c r="S580" s="6" t="s">
        <v>233</v>
      </c>
      <c r="T580" s="25">
        <v>3</v>
      </c>
      <c r="U580" s="7" t="str">
        <v>AZ</v>
      </c>
      <c r="Y580" t="e">
        <v>#N/A</v>
      </c>
      <c r="Z580" s="104"/>
    </row>
    <row r="581" spans="1:26">
      <c r="A581" s="133" t="s">
        <v>726</v>
      </c>
      <c r="B581" s="7"/>
      <c r="C581" s="7"/>
      <c r="D581" s="7"/>
      <c r="E581" s="7"/>
      <c r="F581" s="7"/>
      <c r="G581" s="7"/>
      <c r="H581" s="7"/>
      <c r="I581" s="7">
        <v>14100000</v>
      </c>
      <c r="J581" s="7"/>
      <c r="K581" s="7">
        <v>14100000</v>
      </c>
      <c r="L581" s="134">
        <f t="shared" si="51"/>
        <v>0.9941253009034523</v>
      </c>
      <c r="M581" s="7" t="str">
        <f t="shared" ref="M581:M644" si="52">IF(L581&lt;=0.8,"A",IF(L581&lt;=0.95,"B","C"))</f>
        <v>C</v>
      </c>
      <c r="N581" s="7">
        <f t="shared" ref="N581:N644" si="53">STDEVP(B581:J581)/AVERAGE(B581:J581)</f>
        <v>0</v>
      </c>
      <c r="O581" s="7" t="str">
        <f t="shared" ref="O581:O644" si="54">IF(N581=0,"Z",IF(N581&lt;=30%,"X",IF(N581&lt;=60%,"Y","Z")))</f>
        <v>Z</v>
      </c>
      <c r="P581" s="7" t="str">
        <f t="shared" ref="P581:P644" si="55">M581&amp;O581</f>
        <v>CZ</v>
      </c>
      <c r="S581" s="6" t="s">
        <v>233</v>
      </c>
      <c r="T581" s="25">
        <v>3</v>
      </c>
      <c r="U581" s="7" t="str">
        <v>AZ</v>
      </c>
      <c r="Y581" t="e">
        <v>#N/A</v>
      </c>
      <c r="Z581" s="104"/>
    </row>
    <row r="582" spans="1:26">
      <c r="A582" s="133" t="s">
        <v>281</v>
      </c>
      <c r="B582" s="7"/>
      <c r="C582" s="7"/>
      <c r="D582" s="7"/>
      <c r="E582" s="7"/>
      <c r="F582" s="7"/>
      <c r="G582" s="7"/>
      <c r="H582" s="7">
        <v>6339522.2000000002</v>
      </c>
      <c r="I582" s="7"/>
      <c r="J582" s="7">
        <v>7600000</v>
      </c>
      <c r="K582" s="7">
        <v>13939522.199999999</v>
      </c>
      <c r="L582" s="134">
        <f t="shared" ref="L582:L645" si="56">K582/$K$932+L581</f>
        <v>0.99417164559451776</v>
      </c>
      <c r="M582" s="7" t="str">
        <f t="shared" si="52"/>
        <v>C</v>
      </c>
      <c r="N582" s="7">
        <f t="shared" si="53"/>
        <v>9.0424749278709124E-2</v>
      </c>
      <c r="O582" s="7" t="str">
        <f t="shared" si="54"/>
        <v>X</v>
      </c>
      <c r="P582" s="7" t="str">
        <f t="shared" si="55"/>
        <v>CX</v>
      </c>
      <c r="S582" s="6" t="s">
        <v>601</v>
      </c>
      <c r="T582" s="25">
        <v>1</v>
      </c>
      <c r="U582" s="7" t="str">
        <v>CZ</v>
      </c>
      <c r="Y582" t="e">
        <v>#N/A</v>
      </c>
      <c r="Z582" s="104"/>
    </row>
    <row r="583" spans="1:26">
      <c r="A583" s="133" t="s">
        <v>798</v>
      </c>
      <c r="B583" s="7"/>
      <c r="C583" s="7"/>
      <c r="D583" s="7"/>
      <c r="E583" s="7"/>
      <c r="F583" s="7">
        <v>6800000</v>
      </c>
      <c r="G583" s="7">
        <v>6800000</v>
      </c>
      <c r="H583" s="7"/>
      <c r="I583" s="7"/>
      <c r="J583" s="7"/>
      <c r="K583" s="7">
        <v>13600000</v>
      </c>
      <c r="L583" s="134">
        <f t="shared" si="56"/>
        <v>0.99421686147706001</v>
      </c>
      <c r="M583" s="7" t="str">
        <f t="shared" si="52"/>
        <v>C</v>
      </c>
      <c r="N583" s="7">
        <f t="shared" si="53"/>
        <v>0</v>
      </c>
      <c r="O583" s="7" t="str">
        <f t="shared" si="54"/>
        <v>Z</v>
      </c>
      <c r="P583" s="7" t="str">
        <f t="shared" si="55"/>
        <v>CZ</v>
      </c>
      <c r="S583" s="6" t="s">
        <v>315</v>
      </c>
      <c r="T583" s="25">
        <v>8</v>
      </c>
      <c r="U583" s="7" t="str">
        <v>BZ</v>
      </c>
      <c r="Y583" t="e">
        <v>#N/A</v>
      </c>
      <c r="Z583" s="104"/>
    </row>
    <row r="584" spans="1:26">
      <c r="A584" s="133" t="s">
        <v>764</v>
      </c>
      <c r="B584" s="7"/>
      <c r="C584" s="7"/>
      <c r="D584" s="7"/>
      <c r="E584" s="7"/>
      <c r="F584" s="7"/>
      <c r="G584" s="7"/>
      <c r="H584" s="7"/>
      <c r="I584" s="7"/>
      <c r="J584" s="7">
        <v>13600000</v>
      </c>
      <c r="K584" s="7">
        <v>13600000</v>
      </c>
      <c r="L584" s="134">
        <f t="shared" si="56"/>
        <v>0.99426207735960226</v>
      </c>
      <c r="M584" s="7" t="str">
        <f t="shared" si="52"/>
        <v>C</v>
      </c>
      <c r="N584" s="7">
        <f t="shared" si="53"/>
        <v>0</v>
      </c>
      <c r="O584" s="7" t="str">
        <f t="shared" si="54"/>
        <v>Z</v>
      </c>
      <c r="P584" s="7" t="str">
        <f t="shared" si="55"/>
        <v>CZ</v>
      </c>
      <c r="S584" s="6" t="s">
        <v>315</v>
      </c>
      <c r="T584" s="25">
        <v>2</v>
      </c>
      <c r="U584" s="7" t="str">
        <v>BZ</v>
      </c>
      <c r="Y584" t="e">
        <v>#N/A</v>
      </c>
      <c r="Z584" s="104"/>
    </row>
    <row r="585" spans="1:26">
      <c r="A585" s="133" t="s">
        <v>308</v>
      </c>
      <c r="B585" s="7"/>
      <c r="C585" s="7"/>
      <c r="D585" s="7"/>
      <c r="E585" s="7"/>
      <c r="F585" s="7"/>
      <c r="G585" s="7"/>
      <c r="H585" s="7"/>
      <c r="I585" s="7">
        <v>13500000</v>
      </c>
      <c r="J585" s="7"/>
      <c r="K585" s="7">
        <v>13500000</v>
      </c>
      <c r="L585" s="134">
        <f t="shared" si="56"/>
        <v>0.99430696077241987</v>
      </c>
      <c r="M585" s="7" t="str">
        <f t="shared" si="52"/>
        <v>C</v>
      </c>
      <c r="N585" s="7">
        <f t="shared" si="53"/>
        <v>0</v>
      </c>
      <c r="O585" s="7" t="str">
        <f t="shared" si="54"/>
        <v>Z</v>
      </c>
      <c r="P585" s="7" t="str">
        <f t="shared" si="55"/>
        <v>CZ</v>
      </c>
      <c r="S585" s="6" t="s">
        <v>352</v>
      </c>
      <c r="T585" s="25">
        <v>4</v>
      </c>
      <c r="U585" s="7" t="str">
        <v>BZ</v>
      </c>
      <c r="Y585" t="e">
        <v>#N/A</v>
      </c>
      <c r="Z585" s="104"/>
    </row>
    <row r="586" spans="1:26">
      <c r="A586" s="133" t="s">
        <v>736</v>
      </c>
      <c r="B586" s="7"/>
      <c r="C586" s="7"/>
      <c r="D586" s="7"/>
      <c r="E586" s="7"/>
      <c r="F586" s="7"/>
      <c r="G586" s="7"/>
      <c r="H586" s="7"/>
      <c r="I586" s="7">
        <v>13224000</v>
      </c>
      <c r="J586" s="7"/>
      <c r="K586" s="7">
        <v>13224000</v>
      </c>
      <c r="L586" s="134">
        <f t="shared" si="56"/>
        <v>0.99435092656879764</v>
      </c>
      <c r="M586" s="7" t="str">
        <f t="shared" si="52"/>
        <v>C</v>
      </c>
      <c r="N586" s="7">
        <f t="shared" si="53"/>
        <v>0</v>
      </c>
      <c r="O586" s="7" t="str">
        <f t="shared" si="54"/>
        <v>Z</v>
      </c>
      <c r="P586" s="7" t="str">
        <f t="shared" si="55"/>
        <v>CZ</v>
      </c>
      <c r="S586" s="6" t="s">
        <v>352</v>
      </c>
      <c r="T586" s="25">
        <v>2</v>
      </c>
      <c r="U586" s="7" t="str">
        <v>BZ</v>
      </c>
      <c r="Y586" t="e">
        <v>#N/A</v>
      </c>
      <c r="Z586" s="104"/>
    </row>
    <row r="587" spans="1:26">
      <c r="A587" s="133" t="s">
        <v>799</v>
      </c>
      <c r="B587" s="7"/>
      <c r="C587" s="7"/>
      <c r="D587" s="7">
        <v>13025600</v>
      </c>
      <c r="E587" s="7"/>
      <c r="F587" s="7"/>
      <c r="G587" s="7"/>
      <c r="H587" s="7"/>
      <c r="I587" s="7"/>
      <c r="J587" s="7"/>
      <c r="K587" s="7">
        <v>13025600</v>
      </c>
      <c r="L587" s="134">
        <f t="shared" si="56"/>
        <v>0.99439423274524186</v>
      </c>
      <c r="M587" s="7" t="str">
        <f t="shared" si="52"/>
        <v>C</v>
      </c>
      <c r="N587" s="7">
        <f t="shared" si="53"/>
        <v>0</v>
      </c>
      <c r="O587" s="7" t="str">
        <f t="shared" si="54"/>
        <v>Z</v>
      </c>
      <c r="P587" s="7" t="str">
        <f t="shared" si="55"/>
        <v>CZ</v>
      </c>
      <c r="S587" s="6" t="s">
        <v>579</v>
      </c>
      <c r="T587" s="25">
        <v>1</v>
      </c>
      <c r="U587" s="7" t="str">
        <v>CZ</v>
      </c>
      <c r="Y587" t="e">
        <v>#N/A</v>
      </c>
      <c r="Z587" s="104"/>
    </row>
    <row r="588" spans="1:26">
      <c r="A588" s="133" t="s">
        <v>800</v>
      </c>
      <c r="B588" s="7"/>
      <c r="C588" s="7"/>
      <c r="D588" s="7"/>
      <c r="E588" s="7"/>
      <c r="F588" s="7"/>
      <c r="G588" s="7">
        <v>13000000</v>
      </c>
      <c r="H588" s="7"/>
      <c r="I588" s="7"/>
      <c r="J588" s="7"/>
      <c r="K588" s="7">
        <v>13000000</v>
      </c>
      <c r="L588" s="134">
        <f t="shared" si="56"/>
        <v>0.9944374538094366</v>
      </c>
      <c r="M588" s="7" t="str">
        <f t="shared" si="52"/>
        <v>C</v>
      </c>
      <c r="N588" s="7">
        <f t="shared" si="53"/>
        <v>0</v>
      </c>
      <c r="O588" s="7" t="str">
        <f t="shared" si="54"/>
        <v>Z</v>
      </c>
      <c r="P588" s="7" t="str">
        <f t="shared" si="55"/>
        <v>CZ</v>
      </c>
      <c r="S588" s="6" t="s">
        <v>632</v>
      </c>
      <c r="T588" s="25">
        <v>1</v>
      </c>
      <c r="U588" s="7" t="str">
        <v>CZ</v>
      </c>
      <c r="Y588" t="e">
        <v>#N/A</v>
      </c>
      <c r="Z588" s="104"/>
    </row>
    <row r="589" spans="1:26">
      <c r="A589" s="133" t="s">
        <v>640</v>
      </c>
      <c r="B589" s="7"/>
      <c r="C589" s="7"/>
      <c r="D589" s="7"/>
      <c r="E589" s="7"/>
      <c r="F589" s="7"/>
      <c r="G589" s="7"/>
      <c r="H589" s="7">
        <v>6156000</v>
      </c>
      <c r="I589" s="7">
        <v>6780000</v>
      </c>
      <c r="J589" s="7"/>
      <c r="K589" s="7">
        <v>12936000</v>
      </c>
      <c r="L589" s="134">
        <f t="shared" si="56"/>
        <v>0.99448046209300767</v>
      </c>
      <c r="M589" s="7" t="str">
        <f t="shared" si="52"/>
        <v>C</v>
      </c>
      <c r="N589" s="7">
        <f t="shared" si="53"/>
        <v>4.8237476808905382E-2</v>
      </c>
      <c r="O589" s="7" t="str">
        <f t="shared" si="54"/>
        <v>X</v>
      </c>
      <c r="P589" s="7" t="str">
        <f t="shared" si="55"/>
        <v>CX</v>
      </c>
      <c r="S589" s="6" t="s">
        <v>434</v>
      </c>
      <c r="T589" s="25">
        <v>9</v>
      </c>
      <c r="U589" s="7" t="str">
        <v>BX</v>
      </c>
      <c r="Y589" t="e">
        <v>#N/A</v>
      </c>
      <c r="Z589" s="104"/>
    </row>
    <row r="590" spans="1:26">
      <c r="A590" s="133" t="s">
        <v>738</v>
      </c>
      <c r="B590" s="7"/>
      <c r="C590" s="7"/>
      <c r="D590" s="7"/>
      <c r="E590" s="7"/>
      <c r="F590" s="7"/>
      <c r="G590" s="7"/>
      <c r="H590" s="7"/>
      <c r="I590" s="7">
        <v>12800000</v>
      </c>
      <c r="J590" s="7"/>
      <c r="K590" s="7">
        <v>12800000</v>
      </c>
      <c r="L590" s="134">
        <f t="shared" si="56"/>
        <v>0.99452301821775324</v>
      </c>
      <c r="M590" s="7" t="str">
        <f t="shared" si="52"/>
        <v>C</v>
      </c>
      <c r="N590" s="7">
        <f t="shared" si="53"/>
        <v>0</v>
      </c>
      <c r="O590" s="7" t="str">
        <f t="shared" si="54"/>
        <v>Z</v>
      </c>
      <c r="P590" s="7" t="str">
        <f t="shared" si="55"/>
        <v>CZ</v>
      </c>
      <c r="S590" s="6" t="s">
        <v>527</v>
      </c>
      <c r="T590" s="25">
        <v>1</v>
      </c>
      <c r="U590" s="7" t="str">
        <v>BZ</v>
      </c>
      <c r="Y590" t="e">
        <v>#N/A</v>
      </c>
      <c r="Z590" s="104"/>
    </row>
    <row r="591" spans="1:26">
      <c r="A591" s="133" t="s">
        <v>801</v>
      </c>
      <c r="B591" s="7">
        <v>12636000</v>
      </c>
      <c r="C591" s="7"/>
      <c r="D591" s="7"/>
      <c r="E591" s="7"/>
      <c r="F591" s="7"/>
      <c r="G591" s="7"/>
      <c r="H591" s="7"/>
      <c r="I591" s="7"/>
      <c r="J591" s="7"/>
      <c r="K591" s="7">
        <v>12636000</v>
      </c>
      <c r="L591" s="134">
        <f t="shared" si="56"/>
        <v>0.9945650290921505</v>
      </c>
      <c r="M591" s="7" t="str">
        <f t="shared" si="52"/>
        <v>C</v>
      </c>
      <c r="N591" s="7">
        <f t="shared" si="53"/>
        <v>0</v>
      </c>
      <c r="O591" s="7" t="str">
        <f t="shared" si="54"/>
        <v>Z</v>
      </c>
      <c r="P591" s="7" t="str">
        <f t="shared" si="55"/>
        <v>CZ</v>
      </c>
      <c r="S591" s="6" t="s">
        <v>802</v>
      </c>
      <c r="T591" s="25">
        <v>1</v>
      </c>
      <c r="U591" s="7" t="str">
        <v>CZ</v>
      </c>
      <c r="Y591" t="e">
        <v>#N/A</v>
      </c>
      <c r="Z591" s="104"/>
    </row>
    <row r="592" spans="1:26">
      <c r="A592" s="133" t="s">
        <v>395</v>
      </c>
      <c r="B592" s="7">
        <v>6300000</v>
      </c>
      <c r="C592" s="7">
        <v>6300000</v>
      </c>
      <c r="D592" s="7"/>
      <c r="E592" s="7"/>
      <c r="F592" s="7"/>
      <c r="G592" s="7"/>
      <c r="H592" s="7"/>
      <c r="I592" s="7"/>
      <c r="J592" s="7"/>
      <c r="K592" s="7">
        <v>12600000</v>
      </c>
      <c r="L592" s="134">
        <f t="shared" si="56"/>
        <v>0.99460692027744702</v>
      </c>
      <c r="M592" s="7" t="str">
        <f t="shared" si="52"/>
        <v>C</v>
      </c>
      <c r="N592" s="7">
        <f t="shared" si="53"/>
        <v>0</v>
      </c>
      <c r="O592" s="7" t="str">
        <f t="shared" si="54"/>
        <v>Z</v>
      </c>
      <c r="P592" s="7" t="str">
        <f t="shared" si="55"/>
        <v>CZ</v>
      </c>
      <c r="S592" s="6" t="s">
        <v>490</v>
      </c>
      <c r="T592" s="25">
        <v>2</v>
      </c>
      <c r="U592" s="7" t="str">
        <v>BZ</v>
      </c>
      <c r="Y592" t="e">
        <v>#N/A</v>
      </c>
      <c r="Z592" s="104"/>
    </row>
    <row r="593" spans="1:26">
      <c r="A593" s="133" t="s">
        <v>803</v>
      </c>
      <c r="B593" s="7"/>
      <c r="C593" s="7"/>
      <c r="D593" s="7"/>
      <c r="E593" s="7"/>
      <c r="F593" s="7"/>
      <c r="G593" s="7"/>
      <c r="H593" s="7"/>
      <c r="I593" s="7">
        <v>12500000</v>
      </c>
      <c r="J593" s="7"/>
      <c r="K593" s="7">
        <v>12500000</v>
      </c>
      <c r="L593" s="134">
        <f t="shared" si="56"/>
        <v>0.99464847899301889</v>
      </c>
      <c r="M593" s="7" t="str">
        <f t="shared" si="52"/>
        <v>C</v>
      </c>
      <c r="N593" s="7">
        <f t="shared" si="53"/>
        <v>0</v>
      </c>
      <c r="O593" s="7" t="str">
        <f t="shared" si="54"/>
        <v>Z</v>
      </c>
      <c r="P593" s="7" t="str">
        <f t="shared" si="55"/>
        <v>CZ</v>
      </c>
      <c r="S593" s="6" t="s">
        <v>381</v>
      </c>
      <c r="T593" s="25">
        <v>1</v>
      </c>
      <c r="U593" s="7" t="str">
        <v>BZ</v>
      </c>
      <c r="Y593" t="e">
        <v>#N/A</v>
      </c>
      <c r="Z593" s="104"/>
    </row>
    <row r="594" spans="1:26">
      <c r="A594" s="133" t="s">
        <v>804</v>
      </c>
      <c r="B594" s="7"/>
      <c r="C594" s="7"/>
      <c r="D594" s="7">
        <v>12300000</v>
      </c>
      <c r="E594" s="7"/>
      <c r="F594" s="7"/>
      <c r="G594" s="7"/>
      <c r="H594" s="7"/>
      <c r="I594" s="7"/>
      <c r="J594" s="7"/>
      <c r="K594" s="7">
        <v>12300000</v>
      </c>
      <c r="L594" s="134">
        <f t="shared" si="56"/>
        <v>0.9946893727691416</v>
      </c>
      <c r="M594" s="7" t="str">
        <f t="shared" si="52"/>
        <v>C</v>
      </c>
      <c r="N594" s="7">
        <f t="shared" si="53"/>
        <v>0</v>
      </c>
      <c r="O594" s="7" t="str">
        <f t="shared" si="54"/>
        <v>Z</v>
      </c>
      <c r="P594" s="7" t="str">
        <f t="shared" si="55"/>
        <v>CZ</v>
      </c>
      <c r="S594" s="6" t="s">
        <v>501</v>
      </c>
      <c r="T594" s="25">
        <v>1</v>
      </c>
      <c r="U594" s="7" t="str">
        <v>BY</v>
      </c>
      <c r="Y594" t="e">
        <v>#N/A</v>
      </c>
      <c r="Z594" s="104"/>
    </row>
    <row r="595" spans="1:26">
      <c r="A595" s="133" t="s">
        <v>729</v>
      </c>
      <c r="B595" s="7"/>
      <c r="C595" s="7"/>
      <c r="D595" s="7"/>
      <c r="E595" s="7"/>
      <c r="F595" s="7"/>
      <c r="G595" s="7"/>
      <c r="H595" s="7"/>
      <c r="I595" s="7">
        <v>12300000</v>
      </c>
      <c r="J595" s="7"/>
      <c r="K595" s="7">
        <v>12300000</v>
      </c>
      <c r="L595" s="134">
        <f t="shared" si="56"/>
        <v>0.99473026654526431</v>
      </c>
      <c r="M595" s="7" t="str">
        <f t="shared" si="52"/>
        <v>C</v>
      </c>
      <c r="N595" s="7">
        <f t="shared" si="53"/>
        <v>0</v>
      </c>
      <c r="O595" s="7" t="str">
        <f t="shared" si="54"/>
        <v>Z</v>
      </c>
      <c r="P595" s="7" t="str">
        <f t="shared" si="55"/>
        <v>CZ</v>
      </c>
      <c r="S595" s="6" t="s">
        <v>501</v>
      </c>
      <c r="T595" s="25">
        <v>3</v>
      </c>
      <c r="U595" s="7" t="str">
        <v>BY</v>
      </c>
      <c r="Y595" t="e">
        <v>#N/A</v>
      </c>
      <c r="Z595" s="104"/>
    </row>
    <row r="596" spans="1:26">
      <c r="A596" s="133" t="s">
        <v>805</v>
      </c>
      <c r="B596" s="7"/>
      <c r="C596" s="7"/>
      <c r="D596" s="7"/>
      <c r="E596" s="7"/>
      <c r="F596" s="7">
        <v>12180000</v>
      </c>
      <c r="G596" s="7"/>
      <c r="H596" s="7"/>
      <c r="I596" s="7"/>
      <c r="J596" s="7"/>
      <c r="K596" s="7">
        <v>12180000</v>
      </c>
      <c r="L596" s="134">
        <f t="shared" si="56"/>
        <v>0.99477076135771758</v>
      </c>
      <c r="M596" s="7" t="str">
        <f t="shared" si="52"/>
        <v>C</v>
      </c>
      <c r="N596" s="7">
        <f t="shared" si="53"/>
        <v>0</v>
      </c>
      <c r="O596" s="7" t="str">
        <f t="shared" si="54"/>
        <v>Z</v>
      </c>
      <c r="P596" s="7" t="str">
        <f t="shared" si="55"/>
        <v>CZ</v>
      </c>
      <c r="S596" s="6" t="s">
        <v>806</v>
      </c>
      <c r="T596" s="25">
        <v>1</v>
      </c>
      <c r="U596" s="7" t="str">
        <v>CZ</v>
      </c>
      <c r="Y596" t="e">
        <v>#N/A</v>
      </c>
      <c r="Z596" s="104"/>
    </row>
    <row r="597" spans="1:26">
      <c r="A597" s="133" t="s">
        <v>807</v>
      </c>
      <c r="B597" s="7"/>
      <c r="C597" s="7"/>
      <c r="D597" s="7"/>
      <c r="E597" s="7"/>
      <c r="F597" s="7"/>
      <c r="G597" s="7"/>
      <c r="H597" s="7"/>
      <c r="I597" s="7">
        <v>12050000</v>
      </c>
      <c r="J597" s="7"/>
      <c r="K597" s="7">
        <v>12050000</v>
      </c>
      <c r="L597" s="134">
        <f t="shared" si="56"/>
        <v>0.99481082395952891</v>
      </c>
      <c r="M597" s="7" t="str">
        <f t="shared" si="52"/>
        <v>C</v>
      </c>
      <c r="N597" s="7">
        <f t="shared" si="53"/>
        <v>0</v>
      </c>
      <c r="O597" s="7" t="str">
        <f t="shared" si="54"/>
        <v>Z</v>
      </c>
      <c r="P597" s="7" t="str">
        <f t="shared" si="55"/>
        <v>CZ</v>
      </c>
      <c r="S597" s="6" t="s">
        <v>808</v>
      </c>
      <c r="T597" s="25">
        <v>1</v>
      </c>
      <c r="U597" s="7" t="str">
        <v>CZ</v>
      </c>
      <c r="Y597" t="e">
        <v>#N/A</v>
      </c>
      <c r="Z597" s="104"/>
    </row>
    <row r="598" spans="1:26">
      <c r="A598" s="133" t="s">
        <v>625</v>
      </c>
      <c r="B598" s="7"/>
      <c r="C598" s="7"/>
      <c r="D598" s="7"/>
      <c r="E598" s="7"/>
      <c r="F598" s="7"/>
      <c r="G598" s="7"/>
      <c r="H598" s="7">
        <v>12000000</v>
      </c>
      <c r="I598" s="7"/>
      <c r="J598" s="7"/>
      <c r="K598" s="7">
        <v>12000000</v>
      </c>
      <c r="L598" s="134">
        <f t="shared" si="56"/>
        <v>0.99485072032647792</v>
      </c>
      <c r="M598" s="7" t="str">
        <f t="shared" si="52"/>
        <v>C</v>
      </c>
      <c r="N598" s="7">
        <f t="shared" si="53"/>
        <v>0</v>
      </c>
      <c r="O598" s="7" t="str">
        <f t="shared" si="54"/>
        <v>Z</v>
      </c>
      <c r="P598" s="7" t="str">
        <f t="shared" si="55"/>
        <v>CZ</v>
      </c>
      <c r="S598" s="6" t="s">
        <v>809</v>
      </c>
      <c r="T598" s="25">
        <v>1</v>
      </c>
      <c r="U598" s="7" t="str">
        <v>CZ</v>
      </c>
      <c r="Y598" t="e">
        <v>#N/A</v>
      </c>
      <c r="Z598" s="104"/>
    </row>
    <row r="599" spans="1:26">
      <c r="A599" s="133" t="s">
        <v>627</v>
      </c>
      <c r="B599" s="7"/>
      <c r="C599" s="7"/>
      <c r="D599" s="7"/>
      <c r="E599" s="7"/>
      <c r="F599" s="7"/>
      <c r="G599" s="7"/>
      <c r="H599" s="7">
        <v>12000000</v>
      </c>
      <c r="I599" s="7"/>
      <c r="J599" s="7"/>
      <c r="K599" s="7">
        <v>12000000</v>
      </c>
      <c r="L599" s="134">
        <f t="shared" si="56"/>
        <v>0.99489061669342693</v>
      </c>
      <c r="M599" s="7" t="str">
        <f t="shared" si="52"/>
        <v>C</v>
      </c>
      <c r="N599" s="7">
        <f t="shared" si="53"/>
        <v>0</v>
      </c>
      <c r="O599" s="7" t="str">
        <f t="shared" si="54"/>
        <v>Z</v>
      </c>
      <c r="P599" s="7" t="str">
        <f t="shared" si="55"/>
        <v>CZ</v>
      </c>
      <c r="S599" s="6" t="s">
        <v>810</v>
      </c>
      <c r="T599" s="25">
        <v>1</v>
      </c>
      <c r="U599" s="7" t="str">
        <v>CZ</v>
      </c>
      <c r="Y599" t="e">
        <v>#N/A</v>
      </c>
      <c r="Z599" s="104"/>
    </row>
    <row r="600" spans="1:26">
      <c r="A600" s="133" t="s">
        <v>811</v>
      </c>
      <c r="B600" s="7">
        <v>12000000</v>
      </c>
      <c r="C600" s="7"/>
      <c r="D600" s="7"/>
      <c r="E600" s="7"/>
      <c r="F600" s="7"/>
      <c r="G600" s="7"/>
      <c r="H600" s="7"/>
      <c r="I600" s="7"/>
      <c r="J600" s="7"/>
      <c r="K600" s="7">
        <v>12000000</v>
      </c>
      <c r="L600" s="134">
        <f t="shared" si="56"/>
        <v>0.99493051306037594</v>
      </c>
      <c r="M600" s="7" t="str">
        <f t="shared" si="52"/>
        <v>C</v>
      </c>
      <c r="N600" s="7">
        <f t="shared" si="53"/>
        <v>0</v>
      </c>
      <c r="O600" s="7" t="str">
        <f t="shared" si="54"/>
        <v>Z</v>
      </c>
      <c r="P600" s="7" t="str">
        <f t="shared" si="55"/>
        <v>CZ</v>
      </c>
      <c r="S600" s="6" t="s">
        <v>812</v>
      </c>
      <c r="T600" s="25">
        <v>1</v>
      </c>
      <c r="U600" s="7" t="str">
        <v>CZ</v>
      </c>
      <c r="Y600" t="e">
        <v>#N/A</v>
      </c>
      <c r="Z600" s="104"/>
    </row>
    <row r="601" spans="1:26">
      <c r="A601" s="133" t="s">
        <v>813</v>
      </c>
      <c r="B601" s="7">
        <v>4900000</v>
      </c>
      <c r="C601" s="7"/>
      <c r="D601" s="7">
        <v>3500000</v>
      </c>
      <c r="E601" s="7">
        <v>1400000</v>
      </c>
      <c r="F601" s="7">
        <v>1400000</v>
      </c>
      <c r="G601" s="7">
        <v>700000</v>
      </c>
      <c r="H601" s="7"/>
      <c r="I601" s="7"/>
      <c r="J601" s="7"/>
      <c r="K601" s="7">
        <v>11900000</v>
      </c>
      <c r="L601" s="134">
        <f t="shared" si="56"/>
        <v>0.99497007695760042</v>
      </c>
      <c r="M601" s="7" t="str">
        <f t="shared" si="52"/>
        <v>C</v>
      </c>
      <c r="N601" s="7">
        <f t="shared" si="53"/>
        <v>0.66029248001893093</v>
      </c>
      <c r="O601" s="7" t="str">
        <f t="shared" si="54"/>
        <v>Z</v>
      </c>
      <c r="P601" s="7" t="str">
        <f t="shared" si="55"/>
        <v>CZ</v>
      </c>
      <c r="S601" s="6" t="s">
        <v>814</v>
      </c>
      <c r="T601" s="25">
        <v>1</v>
      </c>
      <c r="U601" s="7" t="str">
        <v>CZ</v>
      </c>
      <c r="Y601" t="e">
        <v>#N/A</v>
      </c>
      <c r="Z601" s="104"/>
    </row>
    <row r="602" spans="1:26">
      <c r="A602" s="133" t="s">
        <v>815</v>
      </c>
      <c r="B602" s="7">
        <v>11440000</v>
      </c>
      <c r="C602" s="7"/>
      <c r="D602" s="7"/>
      <c r="E602" s="7"/>
      <c r="F602" s="7"/>
      <c r="G602" s="7"/>
      <c r="H602" s="7"/>
      <c r="I602" s="7"/>
      <c r="J602" s="7"/>
      <c r="K602" s="7">
        <v>11440000</v>
      </c>
      <c r="L602" s="134">
        <f t="shared" si="56"/>
        <v>0.99500811149409185</v>
      </c>
      <c r="M602" s="7" t="str">
        <f t="shared" si="52"/>
        <v>C</v>
      </c>
      <c r="N602" s="7">
        <f t="shared" si="53"/>
        <v>0</v>
      </c>
      <c r="O602" s="7" t="str">
        <f t="shared" si="54"/>
        <v>Z</v>
      </c>
      <c r="P602" s="7" t="str">
        <f t="shared" si="55"/>
        <v>CZ</v>
      </c>
      <c r="S602" s="6" t="s">
        <v>816</v>
      </c>
      <c r="T602" s="25">
        <v>1</v>
      </c>
      <c r="U602" s="7" t="str">
        <v>CZ</v>
      </c>
      <c r="Y602" t="e">
        <v>#N/A</v>
      </c>
      <c r="Z602" s="104"/>
    </row>
    <row r="603" spans="1:26" ht="28.9">
      <c r="A603" s="133" t="s">
        <v>228</v>
      </c>
      <c r="B603" s="7"/>
      <c r="C603" s="7"/>
      <c r="D603" s="7"/>
      <c r="E603" s="7"/>
      <c r="F603" s="7"/>
      <c r="G603" s="7"/>
      <c r="H603" s="7"/>
      <c r="I603" s="7">
        <v>11400000</v>
      </c>
      <c r="J603" s="7"/>
      <c r="K603" s="7">
        <v>11400000</v>
      </c>
      <c r="L603" s="134">
        <f t="shared" si="56"/>
        <v>0.99504601304269347</v>
      </c>
      <c r="M603" s="7" t="str">
        <f t="shared" si="52"/>
        <v>C</v>
      </c>
      <c r="N603" s="7">
        <f t="shared" si="53"/>
        <v>0</v>
      </c>
      <c r="O603" s="7" t="str">
        <f t="shared" si="54"/>
        <v>Z</v>
      </c>
      <c r="P603" s="7" t="str">
        <f t="shared" si="55"/>
        <v>CZ</v>
      </c>
      <c r="S603" s="6" t="s">
        <v>817</v>
      </c>
      <c r="T603" s="25">
        <v>1</v>
      </c>
      <c r="U603" s="7" t="str">
        <v>CZ</v>
      </c>
      <c r="Y603" t="e">
        <v>#N/A</v>
      </c>
      <c r="Z603" s="104"/>
    </row>
    <row r="604" spans="1:26">
      <c r="A604" s="133" t="s">
        <v>818</v>
      </c>
      <c r="B604" s="7"/>
      <c r="C604" s="7">
        <v>11400000</v>
      </c>
      <c r="D604" s="7"/>
      <c r="E604" s="7"/>
      <c r="F604" s="7"/>
      <c r="G604" s="7"/>
      <c r="H604" s="7"/>
      <c r="I604" s="7"/>
      <c r="J604" s="7"/>
      <c r="K604" s="7">
        <v>11400000</v>
      </c>
      <c r="L604" s="134">
        <f t="shared" si="56"/>
        <v>0.99508391459129508</v>
      </c>
      <c r="M604" s="7" t="str">
        <f t="shared" si="52"/>
        <v>C</v>
      </c>
      <c r="N604" s="7">
        <f t="shared" si="53"/>
        <v>0</v>
      </c>
      <c r="O604" s="7" t="str">
        <f t="shared" si="54"/>
        <v>Z</v>
      </c>
      <c r="P604" s="7" t="str">
        <f t="shared" si="55"/>
        <v>CZ</v>
      </c>
      <c r="S604" s="6" t="s">
        <v>377</v>
      </c>
      <c r="T604" s="25">
        <v>1</v>
      </c>
      <c r="U604" s="7" t="str">
        <v>BZ</v>
      </c>
      <c r="Y604" t="e">
        <v>#N/A</v>
      </c>
      <c r="Z604" s="104"/>
    </row>
    <row r="605" spans="1:26">
      <c r="A605" s="133" t="s">
        <v>819</v>
      </c>
      <c r="B605" s="7"/>
      <c r="C605" s="7">
        <v>7500000</v>
      </c>
      <c r="D605" s="7"/>
      <c r="E605" s="7">
        <v>3750000</v>
      </c>
      <c r="F605" s="7"/>
      <c r="G605" s="7"/>
      <c r="H605" s="7"/>
      <c r="I605" s="7"/>
      <c r="J605" s="7"/>
      <c r="K605" s="7">
        <v>11250000</v>
      </c>
      <c r="L605" s="134">
        <f t="shared" si="56"/>
        <v>0.99512131743530974</v>
      </c>
      <c r="M605" s="7" t="str">
        <f t="shared" si="52"/>
        <v>C</v>
      </c>
      <c r="N605" s="7">
        <f t="shared" si="53"/>
        <v>0.33333333333333331</v>
      </c>
      <c r="O605" s="7" t="str">
        <f t="shared" si="54"/>
        <v>Y</v>
      </c>
      <c r="P605" s="7" t="str">
        <f t="shared" si="55"/>
        <v>CY</v>
      </c>
      <c r="S605" s="6" t="s">
        <v>462</v>
      </c>
      <c r="T605" s="25">
        <v>1</v>
      </c>
      <c r="U605" s="7" t="str">
        <v>BX</v>
      </c>
      <c r="Y605" t="e">
        <v>#N/A</v>
      </c>
      <c r="Z605" s="104"/>
    </row>
    <row r="606" spans="1:26">
      <c r="A606" s="133" t="s">
        <v>820</v>
      </c>
      <c r="B606" s="7">
        <v>4900000</v>
      </c>
      <c r="C606" s="7"/>
      <c r="D606" s="7">
        <v>3500000</v>
      </c>
      <c r="E606" s="7">
        <v>1400000</v>
      </c>
      <c r="F606" s="7">
        <v>1400000</v>
      </c>
      <c r="G606" s="7"/>
      <c r="H606" s="7"/>
      <c r="I606" s="7"/>
      <c r="J606" s="7"/>
      <c r="K606" s="7">
        <v>11200000</v>
      </c>
      <c r="L606" s="134">
        <f t="shared" si="56"/>
        <v>0.99515855404446218</v>
      </c>
      <c r="M606" s="7" t="str">
        <f t="shared" si="52"/>
        <v>C</v>
      </c>
      <c r="N606" s="7">
        <f t="shared" si="53"/>
        <v>0.5303300858899106</v>
      </c>
      <c r="O606" s="7" t="str">
        <f t="shared" si="54"/>
        <v>Y</v>
      </c>
      <c r="P606" s="7" t="str">
        <f t="shared" si="55"/>
        <v>CY</v>
      </c>
      <c r="S606" s="6" t="s">
        <v>745</v>
      </c>
      <c r="T606" s="25">
        <v>1</v>
      </c>
      <c r="U606" s="7" t="str">
        <v>CX</v>
      </c>
      <c r="Y606" t="e">
        <v>#N/A</v>
      </c>
      <c r="Z606" s="104"/>
    </row>
    <row r="607" spans="1:26">
      <c r="A607" s="133" t="s">
        <v>655</v>
      </c>
      <c r="B607" s="7"/>
      <c r="C607" s="7"/>
      <c r="D607" s="7"/>
      <c r="E607" s="7"/>
      <c r="F607" s="7"/>
      <c r="G607" s="7"/>
      <c r="H607" s="7">
        <v>4001000</v>
      </c>
      <c r="I607" s="7">
        <v>7167000</v>
      </c>
      <c r="J607" s="7"/>
      <c r="K607" s="7">
        <v>11168000</v>
      </c>
      <c r="L607" s="134">
        <f t="shared" si="56"/>
        <v>0.99519568426330274</v>
      </c>
      <c r="M607" s="7" t="str">
        <f t="shared" si="52"/>
        <v>C</v>
      </c>
      <c r="N607" s="7">
        <f t="shared" si="53"/>
        <v>0.2834885386819484</v>
      </c>
      <c r="O607" s="7" t="str">
        <f t="shared" si="54"/>
        <v>X</v>
      </c>
      <c r="P607" s="7" t="str">
        <f t="shared" si="55"/>
        <v>CX</v>
      </c>
      <c r="S607" s="6" t="s">
        <v>414</v>
      </c>
      <c r="T607" s="25">
        <v>1</v>
      </c>
      <c r="U607" s="7" t="str">
        <v>BZ</v>
      </c>
      <c r="Y607" t="e">
        <v>#N/A</v>
      </c>
      <c r="Z607" s="104"/>
    </row>
    <row r="608" spans="1:26">
      <c r="A608" s="133" t="s">
        <v>821</v>
      </c>
      <c r="B608" s="7">
        <v>11020000</v>
      </c>
      <c r="C608" s="7"/>
      <c r="D608" s="7"/>
      <c r="E608" s="7"/>
      <c r="F608" s="7"/>
      <c r="G608" s="7"/>
      <c r="H608" s="7"/>
      <c r="I608" s="7"/>
      <c r="J608" s="7"/>
      <c r="K608" s="7">
        <v>11020000</v>
      </c>
      <c r="L608" s="134">
        <f t="shared" si="56"/>
        <v>0.99523232242695092</v>
      </c>
      <c r="M608" s="7" t="str">
        <f t="shared" si="52"/>
        <v>C</v>
      </c>
      <c r="N608" s="7">
        <f t="shared" si="53"/>
        <v>0</v>
      </c>
      <c r="O608" s="7" t="str">
        <f t="shared" si="54"/>
        <v>Z</v>
      </c>
      <c r="P608" s="7" t="str">
        <f t="shared" si="55"/>
        <v>CZ</v>
      </c>
      <c r="S608" s="6" t="s">
        <v>414</v>
      </c>
      <c r="T608" s="25">
        <v>1</v>
      </c>
      <c r="U608" s="7" t="str">
        <v>BZ</v>
      </c>
      <c r="Y608" t="e">
        <v>#N/A</v>
      </c>
      <c r="Z608" s="104"/>
    </row>
    <row r="609" spans="1:26">
      <c r="A609" s="133" t="s">
        <v>822</v>
      </c>
      <c r="B609" s="7"/>
      <c r="C609" s="7"/>
      <c r="D609" s="7"/>
      <c r="E609" s="7">
        <v>10848000</v>
      </c>
      <c r="F609" s="7"/>
      <c r="G609" s="7"/>
      <c r="H609" s="7"/>
      <c r="I609" s="7"/>
      <c r="J609" s="7"/>
      <c r="K609" s="7">
        <v>10848000</v>
      </c>
      <c r="L609" s="134">
        <f t="shared" si="56"/>
        <v>0.99526838874267287</v>
      </c>
      <c r="M609" s="7" t="str">
        <f t="shared" si="52"/>
        <v>C</v>
      </c>
      <c r="N609" s="7">
        <f t="shared" si="53"/>
        <v>0</v>
      </c>
      <c r="O609" s="7" t="str">
        <f t="shared" si="54"/>
        <v>Z</v>
      </c>
      <c r="P609" s="7" t="str">
        <f t="shared" si="55"/>
        <v>CZ</v>
      </c>
      <c r="S609" s="6" t="s">
        <v>414</v>
      </c>
      <c r="T609" s="25">
        <v>2</v>
      </c>
      <c r="U609" s="7" t="str">
        <v>BZ</v>
      </c>
      <c r="Y609" t="e">
        <v>#N/A</v>
      </c>
      <c r="Z609" s="104"/>
    </row>
    <row r="610" spans="1:26">
      <c r="A610" s="133" t="s">
        <v>823</v>
      </c>
      <c r="B610" s="7">
        <v>4560000</v>
      </c>
      <c r="C610" s="7"/>
      <c r="D610" s="7">
        <v>6080000</v>
      </c>
      <c r="E610" s="7"/>
      <c r="F610" s="7"/>
      <c r="G610" s="7"/>
      <c r="H610" s="7"/>
      <c r="I610" s="7"/>
      <c r="J610" s="7"/>
      <c r="K610" s="7">
        <v>10640000</v>
      </c>
      <c r="L610" s="134">
        <f t="shared" si="56"/>
        <v>0.99530376352136762</v>
      </c>
      <c r="M610" s="7" t="str">
        <f t="shared" si="52"/>
        <v>C</v>
      </c>
      <c r="N610" s="7">
        <f t="shared" si="53"/>
        <v>0.14285714285714285</v>
      </c>
      <c r="O610" s="7" t="str">
        <f t="shared" si="54"/>
        <v>X</v>
      </c>
      <c r="P610" s="7" t="str">
        <f t="shared" si="55"/>
        <v>CX</v>
      </c>
      <c r="S610" s="6" t="s">
        <v>414</v>
      </c>
      <c r="T610" s="25">
        <v>1</v>
      </c>
      <c r="U610" s="7" t="str">
        <v>BZ</v>
      </c>
      <c r="Y610" t="e">
        <v>#N/A</v>
      </c>
      <c r="Z610" s="104"/>
    </row>
    <row r="611" spans="1:26">
      <c r="A611" s="133" t="s">
        <v>824</v>
      </c>
      <c r="B611" s="7"/>
      <c r="C611" s="7"/>
      <c r="D611" s="7"/>
      <c r="E611" s="7"/>
      <c r="F611" s="7">
        <v>10600000</v>
      </c>
      <c r="G611" s="7"/>
      <c r="H611" s="7"/>
      <c r="I611" s="7"/>
      <c r="J611" s="7"/>
      <c r="K611" s="7">
        <v>10600000</v>
      </c>
      <c r="L611" s="134">
        <f t="shared" si="56"/>
        <v>0.99533900531217256</v>
      </c>
      <c r="M611" s="7" t="str">
        <f t="shared" si="52"/>
        <v>C</v>
      </c>
      <c r="N611" s="7">
        <f t="shared" si="53"/>
        <v>0</v>
      </c>
      <c r="O611" s="7" t="str">
        <f t="shared" si="54"/>
        <v>Z</v>
      </c>
      <c r="P611" s="7" t="str">
        <f t="shared" si="55"/>
        <v>CZ</v>
      </c>
      <c r="S611" s="6" t="s">
        <v>414</v>
      </c>
      <c r="T611" s="25">
        <v>1</v>
      </c>
      <c r="U611" s="7" t="str">
        <v>BZ</v>
      </c>
      <c r="Y611" t="e">
        <v>#N/A</v>
      </c>
      <c r="Z611" s="104"/>
    </row>
    <row r="612" spans="1:26">
      <c r="A612" s="133" t="s">
        <v>588</v>
      </c>
      <c r="B612" s="7"/>
      <c r="C612" s="7"/>
      <c r="D612" s="7"/>
      <c r="E612" s="7"/>
      <c r="F612" s="7"/>
      <c r="G612" s="7">
        <v>2950000</v>
      </c>
      <c r="H612" s="7">
        <v>2700000</v>
      </c>
      <c r="I612" s="7">
        <v>4900000</v>
      </c>
      <c r="J612" s="7"/>
      <c r="K612" s="7">
        <v>10550000</v>
      </c>
      <c r="L612" s="134">
        <f t="shared" si="56"/>
        <v>0.99537408086811519</v>
      </c>
      <c r="M612" s="7" t="str">
        <f t="shared" si="52"/>
        <v>C</v>
      </c>
      <c r="N612" s="7">
        <f t="shared" si="53"/>
        <v>0.27966101406506028</v>
      </c>
      <c r="O612" s="7" t="str">
        <f t="shared" si="54"/>
        <v>X</v>
      </c>
      <c r="P612" s="7" t="str">
        <f t="shared" si="55"/>
        <v>CX</v>
      </c>
      <c r="S612" s="6" t="s">
        <v>540</v>
      </c>
      <c r="T612" s="25">
        <v>1</v>
      </c>
      <c r="U612" s="7" t="str">
        <v>BZ</v>
      </c>
      <c r="Y612" t="e">
        <v>#N/A</v>
      </c>
      <c r="Z612" s="104"/>
    </row>
    <row r="613" spans="1:26">
      <c r="A613" s="133" t="s">
        <v>591</v>
      </c>
      <c r="B613" s="7"/>
      <c r="C613" s="7"/>
      <c r="D613" s="7"/>
      <c r="E613" s="7"/>
      <c r="F613" s="7"/>
      <c r="G613" s="7">
        <v>2950000</v>
      </c>
      <c r="H613" s="7">
        <v>2700000</v>
      </c>
      <c r="I613" s="7">
        <v>4900000</v>
      </c>
      <c r="J613" s="7"/>
      <c r="K613" s="7">
        <v>10550000</v>
      </c>
      <c r="L613" s="134">
        <f t="shared" si="56"/>
        <v>0.99540915642405781</v>
      </c>
      <c r="M613" s="7" t="str">
        <f t="shared" si="52"/>
        <v>C</v>
      </c>
      <c r="N613" s="7">
        <f t="shared" si="53"/>
        <v>0.27966101406506028</v>
      </c>
      <c r="O613" s="7" t="str">
        <f t="shared" si="54"/>
        <v>X</v>
      </c>
      <c r="P613" s="7" t="str">
        <f t="shared" si="55"/>
        <v>CX</v>
      </c>
      <c r="S613" s="6" t="s">
        <v>540</v>
      </c>
      <c r="T613" s="25">
        <v>2</v>
      </c>
      <c r="U613" s="7" t="str">
        <v>BZ</v>
      </c>
      <c r="Y613" t="e">
        <v>#N/A</v>
      </c>
      <c r="Z613" s="104"/>
    </row>
    <row r="614" spans="1:26">
      <c r="A614" s="133" t="s">
        <v>825</v>
      </c>
      <c r="B614" s="7"/>
      <c r="C614" s="7"/>
      <c r="D614" s="7"/>
      <c r="E614" s="7"/>
      <c r="F614" s="7"/>
      <c r="G614" s="7"/>
      <c r="H614" s="7">
        <v>10500000</v>
      </c>
      <c r="I614" s="7"/>
      <c r="J614" s="7"/>
      <c r="K614" s="7">
        <v>10500000</v>
      </c>
      <c r="L614" s="134">
        <f t="shared" si="56"/>
        <v>0.99544406574513822</v>
      </c>
      <c r="M614" s="7" t="str">
        <f t="shared" si="52"/>
        <v>C</v>
      </c>
      <c r="N614" s="7">
        <f t="shared" si="53"/>
        <v>0</v>
      </c>
      <c r="O614" s="7" t="str">
        <f t="shared" si="54"/>
        <v>Z</v>
      </c>
      <c r="P614" s="7" t="str">
        <f t="shared" si="55"/>
        <v>CZ</v>
      </c>
      <c r="S614" s="6" t="s">
        <v>540</v>
      </c>
      <c r="T614" s="25">
        <v>3</v>
      </c>
      <c r="U614" s="7" t="str">
        <v>BZ</v>
      </c>
      <c r="Y614" t="e">
        <v>#N/A</v>
      </c>
      <c r="Z614" s="104"/>
    </row>
    <row r="615" spans="1:26">
      <c r="A615" s="133" t="s">
        <v>826</v>
      </c>
      <c r="B615" s="7"/>
      <c r="C615" s="7"/>
      <c r="D615" s="7"/>
      <c r="E615" s="7">
        <v>10500000</v>
      </c>
      <c r="F615" s="7"/>
      <c r="G615" s="7"/>
      <c r="H615" s="7"/>
      <c r="I615" s="7"/>
      <c r="J615" s="7"/>
      <c r="K615" s="7">
        <v>10500000</v>
      </c>
      <c r="L615" s="134">
        <f t="shared" si="56"/>
        <v>0.99547897506621863</v>
      </c>
      <c r="M615" s="7" t="str">
        <f t="shared" si="52"/>
        <v>C</v>
      </c>
      <c r="N615" s="7">
        <f t="shared" si="53"/>
        <v>0</v>
      </c>
      <c r="O615" s="7" t="str">
        <f t="shared" si="54"/>
        <v>Z</v>
      </c>
      <c r="P615" s="7" t="str">
        <f t="shared" si="55"/>
        <v>CZ</v>
      </c>
      <c r="S615" s="6" t="s">
        <v>540</v>
      </c>
      <c r="T615" s="25">
        <v>1</v>
      </c>
      <c r="U615" s="7" t="str">
        <v>BZ</v>
      </c>
      <c r="Y615" t="e">
        <v>#N/A</v>
      </c>
      <c r="Z615" s="104"/>
    </row>
    <row r="616" spans="1:26">
      <c r="A616" s="133" t="s">
        <v>827</v>
      </c>
      <c r="B616" s="7"/>
      <c r="C616" s="7"/>
      <c r="D616" s="7"/>
      <c r="E616" s="7"/>
      <c r="F616" s="7"/>
      <c r="G616" s="7"/>
      <c r="H616" s="7"/>
      <c r="I616" s="7">
        <v>10500000</v>
      </c>
      <c r="J616" s="7"/>
      <c r="K616" s="7">
        <v>10500000</v>
      </c>
      <c r="L616" s="134">
        <f t="shared" si="56"/>
        <v>0.99551388438729904</v>
      </c>
      <c r="M616" s="7" t="str">
        <f t="shared" si="52"/>
        <v>C</v>
      </c>
      <c r="N616" s="7">
        <f t="shared" si="53"/>
        <v>0</v>
      </c>
      <c r="O616" s="7" t="str">
        <f t="shared" si="54"/>
        <v>Z</v>
      </c>
      <c r="P616" s="7" t="str">
        <f t="shared" si="55"/>
        <v>CZ</v>
      </c>
      <c r="S616" s="6" t="s">
        <v>429</v>
      </c>
      <c r="T616" s="25">
        <v>1</v>
      </c>
      <c r="U616" s="7" t="str">
        <v>BZ</v>
      </c>
      <c r="Y616" t="e">
        <v>#N/A</v>
      </c>
      <c r="Z616" s="104"/>
    </row>
    <row r="617" spans="1:26">
      <c r="A617" s="133" t="s">
        <v>828</v>
      </c>
      <c r="B617" s="7">
        <v>10435000</v>
      </c>
      <c r="C617" s="7"/>
      <c r="D617" s="7"/>
      <c r="E617" s="7"/>
      <c r="F617" s="7"/>
      <c r="G617" s="7"/>
      <c r="H617" s="7"/>
      <c r="I617" s="7"/>
      <c r="J617" s="7"/>
      <c r="K617" s="7">
        <v>10435000</v>
      </c>
      <c r="L617" s="134">
        <f t="shared" si="56"/>
        <v>0.99554857760305848</v>
      </c>
      <c r="M617" s="7" t="str">
        <f t="shared" si="52"/>
        <v>C</v>
      </c>
      <c r="N617" s="7">
        <f t="shared" si="53"/>
        <v>0</v>
      </c>
      <c r="O617" s="7" t="str">
        <f t="shared" si="54"/>
        <v>Z</v>
      </c>
      <c r="P617" s="7" t="str">
        <f t="shared" si="55"/>
        <v>CZ</v>
      </c>
      <c r="S617" s="6" t="s">
        <v>429</v>
      </c>
      <c r="T617" s="25">
        <v>1</v>
      </c>
      <c r="U617" s="7" t="str">
        <v>BZ</v>
      </c>
      <c r="Y617" t="e">
        <v>#N/A</v>
      </c>
      <c r="Z617" s="104"/>
    </row>
    <row r="618" spans="1:26">
      <c r="A618" s="133" t="s">
        <v>829</v>
      </c>
      <c r="B618" s="7"/>
      <c r="C618" s="7"/>
      <c r="D618" s="7"/>
      <c r="E618" s="7"/>
      <c r="F618" s="7"/>
      <c r="G618" s="7">
        <v>10240000</v>
      </c>
      <c r="H618" s="7"/>
      <c r="I618" s="7"/>
      <c r="J618" s="7"/>
      <c r="K618" s="7">
        <v>10240000</v>
      </c>
      <c r="L618" s="134">
        <f t="shared" si="56"/>
        <v>0.99558262250285501</v>
      </c>
      <c r="M618" s="7" t="str">
        <f t="shared" si="52"/>
        <v>C</v>
      </c>
      <c r="N618" s="7">
        <f t="shared" si="53"/>
        <v>0</v>
      </c>
      <c r="O618" s="7" t="str">
        <f t="shared" si="54"/>
        <v>Z</v>
      </c>
      <c r="P618" s="7" t="str">
        <f t="shared" si="55"/>
        <v>CZ</v>
      </c>
      <c r="S618" s="6" t="s">
        <v>717</v>
      </c>
      <c r="T618" s="25">
        <v>1</v>
      </c>
      <c r="U618" s="7" t="str">
        <v>CY</v>
      </c>
      <c r="Y618" t="e">
        <v>#N/A</v>
      </c>
      <c r="Z618" s="104"/>
    </row>
    <row r="619" spans="1:26">
      <c r="A619" s="133" t="s">
        <v>830</v>
      </c>
      <c r="B619" s="7">
        <v>3003529.4117647042</v>
      </c>
      <c r="C619" s="7"/>
      <c r="D619" s="7"/>
      <c r="E619" s="7"/>
      <c r="F619" s="7">
        <v>1332500</v>
      </c>
      <c r="G619" s="7">
        <v>5797000</v>
      </c>
      <c r="H619" s="7"/>
      <c r="I619" s="7"/>
      <c r="J619" s="7"/>
      <c r="K619" s="7">
        <v>10133029.411764704</v>
      </c>
      <c r="L619" s="134">
        <f t="shared" si="56"/>
        <v>0.99561631175783138</v>
      </c>
      <c r="M619" s="7" t="str">
        <f t="shared" si="52"/>
        <v>C</v>
      </c>
      <c r="N619" s="7">
        <f t="shared" si="53"/>
        <v>0.54526405352058416</v>
      </c>
      <c r="O619" s="7" t="str">
        <f t="shared" si="54"/>
        <v>Y</v>
      </c>
      <c r="P619" s="7" t="str">
        <f t="shared" si="55"/>
        <v>CY</v>
      </c>
      <c r="S619" s="6" t="s">
        <v>831</v>
      </c>
      <c r="T619" s="25">
        <v>1</v>
      </c>
      <c r="U619" s="7" t="str">
        <v>CZ</v>
      </c>
      <c r="Y619" t="e">
        <v>#N/A</v>
      </c>
      <c r="Z619" s="104"/>
    </row>
    <row r="620" spans="1:26">
      <c r="A620" s="133" t="s">
        <v>832</v>
      </c>
      <c r="B620" s="7"/>
      <c r="C620" s="7"/>
      <c r="D620" s="7"/>
      <c r="E620" s="7">
        <v>3816363.63636364</v>
      </c>
      <c r="F620" s="7">
        <v>6300000</v>
      </c>
      <c r="G620" s="7"/>
      <c r="H620" s="7"/>
      <c r="I620" s="7"/>
      <c r="J620" s="7"/>
      <c r="K620" s="7">
        <v>10116363.63636364</v>
      </c>
      <c r="L620" s="134">
        <f t="shared" si="56"/>
        <v>0.99564994560415021</v>
      </c>
      <c r="M620" s="7" t="str">
        <f t="shared" si="52"/>
        <v>C</v>
      </c>
      <c r="N620" s="7">
        <f t="shared" si="53"/>
        <v>0.24550682961897843</v>
      </c>
      <c r="O620" s="7" t="str">
        <f t="shared" si="54"/>
        <v>X</v>
      </c>
      <c r="P620" s="7" t="str">
        <f t="shared" si="55"/>
        <v>CX</v>
      </c>
      <c r="S620" s="6" t="s">
        <v>539</v>
      </c>
      <c r="T620" s="25">
        <v>1</v>
      </c>
      <c r="U620" s="7" t="str">
        <v>BY</v>
      </c>
      <c r="Y620" t="e">
        <v>#N/A</v>
      </c>
      <c r="Z620" s="104"/>
    </row>
    <row r="621" spans="1:26">
      <c r="A621" s="133" t="s">
        <v>833</v>
      </c>
      <c r="B621" s="7">
        <v>2233750</v>
      </c>
      <c r="C621" s="7"/>
      <c r="D621" s="7">
        <v>1942500</v>
      </c>
      <c r="E621" s="7">
        <v>2117500</v>
      </c>
      <c r="F621" s="7">
        <v>105000</v>
      </c>
      <c r="G621" s="7">
        <v>3552500</v>
      </c>
      <c r="H621" s="7">
        <v>105000</v>
      </c>
      <c r="I621" s="7"/>
      <c r="J621" s="7"/>
      <c r="K621" s="7">
        <v>10056250</v>
      </c>
      <c r="L621" s="134">
        <f t="shared" si="56"/>
        <v>0.99568337959082776</v>
      </c>
      <c r="M621" s="7" t="str">
        <f t="shared" si="52"/>
        <v>C</v>
      </c>
      <c r="N621" s="7">
        <f t="shared" si="53"/>
        <v>0.73213024994014608</v>
      </c>
      <c r="O621" s="7" t="str">
        <f t="shared" si="54"/>
        <v>Z</v>
      </c>
      <c r="P621" s="7" t="str">
        <f t="shared" si="55"/>
        <v>CZ</v>
      </c>
      <c r="S621" s="6" t="s">
        <v>539</v>
      </c>
      <c r="T621" s="25">
        <v>1</v>
      </c>
      <c r="U621" s="7" t="str">
        <v>BY</v>
      </c>
      <c r="Y621" t="e">
        <v>#N/A</v>
      </c>
      <c r="Z621" s="104"/>
    </row>
    <row r="622" spans="1:26">
      <c r="A622" s="133" t="s">
        <v>520</v>
      </c>
      <c r="B622" s="7"/>
      <c r="C622" s="7"/>
      <c r="D622" s="7"/>
      <c r="E622" s="7">
        <v>3349500</v>
      </c>
      <c r="F622" s="7"/>
      <c r="G622" s="7"/>
      <c r="H622" s="7">
        <v>6699000</v>
      </c>
      <c r="I622" s="7"/>
      <c r="J622" s="7"/>
      <c r="K622" s="7">
        <v>10048500</v>
      </c>
      <c r="L622" s="134">
        <f t="shared" si="56"/>
        <v>0.99571678781110173</v>
      </c>
      <c r="M622" s="7" t="str">
        <f t="shared" si="52"/>
        <v>C</v>
      </c>
      <c r="N622" s="7">
        <f t="shared" si="53"/>
        <v>0.33333333333333331</v>
      </c>
      <c r="O622" s="7" t="str">
        <f t="shared" si="54"/>
        <v>Y</v>
      </c>
      <c r="P622" s="7" t="str">
        <f t="shared" si="55"/>
        <v>CY</v>
      </c>
      <c r="S622" s="6" t="s">
        <v>539</v>
      </c>
      <c r="T622" s="25">
        <v>1</v>
      </c>
      <c r="U622" s="7" t="str">
        <v>BY</v>
      </c>
      <c r="Y622" t="e">
        <v>#N/A</v>
      </c>
      <c r="Z622" s="104"/>
    </row>
    <row r="623" spans="1:26">
      <c r="A623" s="133" t="s">
        <v>834</v>
      </c>
      <c r="B623" s="7"/>
      <c r="C623" s="7">
        <v>10000000</v>
      </c>
      <c r="D623" s="7"/>
      <c r="E623" s="7"/>
      <c r="F623" s="7"/>
      <c r="G623" s="7"/>
      <c r="H623" s="7"/>
      <c r="I623" s="7"/>
      <c r="J623" s="7"/>
      <c r="K623" s="7">
        <v>10000000</v>
      </c>
      <c r="L623" s="134">
        <f t="shared" si="56"/>
        <v>0.99575003478355928</v>
      </c>
      <c r="M623" s="7" t="str">
        <f t="shared" si="52"/>
        <v>C</v>
      </c>
      <c r="N623" s="7">
        <f t="shared" si="53"/>
        <v>0</v>
      </c>
      <c r="O623" s="7" t="str">
        <f t="shared" si="54"/>
        <v>Z</v>
      </c>
      <c r="P623" s="7" t="str">
        <f t="shared" si="55"/>
        <v>CZ</v>
      </c>
      <c r="S623" s="6" t="s">
        <v>539</v>
      </c>
      <c r="T623" s="25">
        <v>3</v>
      </c>
      <c r="U623" s="7" t="str">
        <v>BY</v>
      </c>
      <c r="Y623" t="e">
        <v>#N/A</v>
      </c>
      <c r="Z623" s="104"/>
    </row>
    <row r="624" spans="1:26">
      <c r="A624" s="133" t="s">
        <v>747</v>
      </c>
      <c r="B624" s="7"/>
      <c r="C624" s="7"/>
      <c r="D624" s="7"/>
      <c r="E624" s="7"/>
      <c r="F624" s="7"/>
      <c r="G624" s="7"/>
      <c r="H624" s="7"/>
      <c r="I624" s="7">
        <v>10000000</v>
      </c>
      <c r="J624" s="7"/>
      <c r="K624" s="7">
        <v>10000000</v>
      </c>
      <c r="L624" s="134">
        <f t="shared" si="56"/>
        <v>0.99578328175601682</v>
      </c>
      <c r="M624" s="7" t="str">
        <f t="shared" si="52"/>
        <v>C</v>
      </c>
      <c r="N624" s="7">
        <f t="shared" si="53"/>
        <v>0</v>
      </c>
      <c r="O624" s="7" t="str">
        <f t="shared" si="54"/>
        <v>Z</v>
      </c>
      <c r="P624" s="7" t="str">
        <f t="shared" si="55"/>
        <v>CZ</v>
      </c>
      <c r="S624" s="6" t="s">
        <v>539</v>
      </c>
      <c r="T624" s="25">
        <v>1</v>
      </c>
      <c r="U624" s="7" t="str">
        <v>BY</v>
      </c>
      <c r="Y624" t="e">
        <v>#N/A</v>
      </c>
      <c r="Z624" s="104"/>
    </row>
    <row r="625" spans="1:26">
      <c r="A625" s="133" t="s">
        <v>835</v>
      </c>
      <c r="B625" s="7"/>
      <c r="C625" s="7"/>
      <c r="D625" s="7"/>
      <c r="E625" s="7"/>
      <c r="F625" s="7"/>
      <c r="G625" s="7"/>
      <c r="H625" s="7">
        <v>9966000</v>
      </c>
      <c r="I625" s="7"/>
      <c r="J625" s="7"/>
      <c r="K625" s="7">
        <v>9966000</v>
      </c>
      <c r="L625" s="134">
        <f t="shared" si="56"/>
        <v>0.995816415688768</v>
      </c>
      <c r="M625" s="7" t="str">
        <f t="shared" si="52"/>
        <v>C</v>
      </c>
      <c r="N625" s="7">
        <f t="shared" si="53"/>
        <v>0</v>
      </c>
      <c r="O625" s="7" t="str">
        <f t="shared" si="54"/>
        <v>Z</v>
      </c>
      <c r="P625" s="7" t="str">
        <f t="shared" si="55"/>
        <v>CZ</v>
      </c>
      <c r="S625" s="6" t="s">
        <v>539</v>
      </c>
      <c r="T625" s="25">
        <v>2</v>
      </c>
      <c r="U625" s="7" t="str">
        <v>BY</v>
      </c>
      <c r="Y625" t="e">
        <v>#N/A</v>
      </c>
      <c r="Z625" s="104"/>
    </row>
    <row r="626" spans="1:26">
      <c r="A626" s="133" t="s">
        <v>836</v>
      </c>
      <c r="B626" s="7">
        <v>9940000</v>
      </c>
      <c r="C626" s="7"/>
      <c r="D626" s="7"/>
      <c r="E626" s="7"/>
      <c r="F626" s="7"/>
      <c r="G626" s="7"/>
      <c r="H626" s="7"/>
      <c r="I626" s="7"/>
      <c r="J626" s="7"/>
      <c r="K626" s="7">
        <v>9940000</v>
      </c>
      <c r="L626" s="134">
        <f t="shared" si="56"/>
        <v>0.99584946317939071</v>
      </c>
      <c r="M626" s="7" t="str">
        <f t="shared" si="52"/>
        <v>C</v>
      </c>
      <c r="N626" s="7">
        <f t="shared" si="53"/>
        <v>0</v>
      </c>
      <c r="O626" s="7" t="str">
        <f t="shared" si="54"/>
        <v>Z</v>
      </c>
      <c r="P626" s="7" t="str">
        <f t="shared" si="55"/>
        <v>CZ</v>
      </c>
      <c r="S626" s="6" t="s">
        <v>309</v>
      </c>
      <c r="T626" s="25">
        <v>2</v>
      </c>
      <c r="U626" s="7" t="str">
        <v>BY</v>
      </c>
      <c r="Y626" t="e">
        <v>#N/A</v>
      </c>
      <c r="Z626" s="104"/>
    </row>
    <row r="627" spans="1:26">
      <c r="A627" s="133" t="s">
        <v>733</v>
      </c>
      <c r="B627" s="7"/>
      <c r="C627" s="7"/>
      <c r="D627" s="7"/>
      <c r="E627" s="7"/>
      <c r="F627" s="7"/>
      <c r="G627" s="7"/>
      <c r="H627" s="7"/>
      <c r="I627" s="7">
        <v>9900000</v>
      </c>
      <c r="J627" s="7"/>
      <c r="K627" s="7">
        <v>9900000</v>
      </c>
      <c r="L627" s="134">
        <f t="shared" si="56"/>
        <v>0.99588237768212362</v>
      </c>
      <c r="M627" s="7" t="str">
        <f t="shared" si="52"/>
        <v>C</v>
      </c>
      <c r="N627" s="7">
        <f t="shared" si="53"/>
        <v>0</v>
      </c>
      <c r="O627" s="7" t="str">
        <f t="shared" si="54"/>
        <v>Z</v>
      </c>
      <c r="P627" s="7" t="str">
        <f t="shared" si="55"/>
        <v>CZ</v>
      </c>
      <c r="S627" s="6" t="s">
        <v>309</v>
      </c>
      <c r="T627" s="25">
        <v>3</v>
      </c>
      <c r="U627" s="7" t="str">
        <v>BY</v>
      </c>
      <c r="Y627" t="e">
        <v>#N/A</v>
      </c>
      <c r="Z627" s="104"/>
    </row>
    <row r="628" spans="1:26">
      <c r="A628" s="133" t="s">
        <v>837</v>
      </c>
      <c r="B628" s="7"/>
      <c r="C628" s="7"/>
      <c r="D628" s="7"/>
      <c r="E628" s="7"/>
      <c r="F628" s="7">
        <v>9900000</v>
      </c>
      <c r="G628" s="7"/>
      <c r="H628" s="7"/>
      <c r="I628" s="7"/>
      <c r="J628" s="7"/>
      <c r="K628" s="7">
        <v>9900000</v>
      </c>
      <c r="L628" s="134">
        <f t="shared" si="56"/>
        <v>0.99591529218485653</v>
      </c>
      <c r="M628" s="7" t="str">
        <f t="shared" si="52"/>
        <v>C</v>
      </c>
      <c r="N628" s="7">
        <f t="shared" si="53"/>
        <v>0</v>
      </c>
      <c r="O628" s="7" t="str">
        <f t="shared" si="54"/>
        <v>Z</v>
      </c>
      <c r="P628" s="7" t="str">
        <f t="shared" si="55"/>
        <v>CZ</v>
      </c>
      <c r="S628" s="6" t="s">
        <v>309</v>
      </c>
      <c r="T628" s="25">
        <v>1</v>
      </c>
      <c r="U628" s="7" t="str">
        <v>BY</v>
      </c>
      <c r="Y628" t="e">
        <v>#N/A</v>
      </c>
      <c r="Z628" s="104"/>
    </row>
    <row r="629" spans="1:26">
      <c r="A629" s="133" t="s">
        <v>838</v>
      </c>
      <c r="B629" s="7"/>
      <c r="C629" s="7"/>
      <c r="D629" s="7"/>
      <c r="E629" s="7"/>
      <c r="F629" s="7"/>
      <c r="G629" s="7"/>
      <c r="H629" s="7">
        <v>9650000</v>
      </c>
      <c r="I629" s="7"/>
      <c r="J629" s="7"/>
      <c r="K629" s="7">
        <v>9650000</v>
      </c>
      <c r="L629" s="134">
        <f t="shared" si="56"/>
        <v>0.99594737551327805</v>
      </c>
      <c r="M629" s="7" t="str">
        <f t="shared" si="52"/>
        <v>C</v>
      </c>
      <c r="N629" s="7">
        <f t="shared" si="53"/>
        <v>0</v>
      </c>
      <c r="O629" s="7" t="str">
        <f t="shared" si="54"/>
        <v>Z</v>
      </c>
      <c r="P629" s="7" t="str">
        <f t="shared" si="55"/>
        <v>CZ</v>
      </c>
      <c r="S629" s="6" t="s">
        <v>309</v>
      </c>
      <c r="T629" s="25">
        <v>1</v>
      </c>
      <c r="U629" s="7" t="str">
        <v>BY</v>
      </c>
      <c r="Y629" t="e">
        <v>#N/A</v>
      </c>
      <c r="Z629" s="104"/>
    </row>
    <row r="630" spans="1:26">
      <c r="A630" s="133" t="s">
        <v>743</v>
      </c>
      <c r="B630" s="7"/>
      <c r="C630" s="7"/>
      <c r="D630" s="7"/>
      <c r="E630" s="7"/>
      <c r="F630" s="7"/>
      <c r="G630" s="7"/>
      <c r="H630" s="7"/>
      <c r="I630" s="7">
        <v>9600000</v>
      </c>
      <c r="J630" s="7"/>
      <c r="K630" s="7">
        <v>9600000</v>
      </c>
      <c r="L630" s="134">
        <f t="shared" si="56"/>
        <v>0.99597929260683726</v>
      </c>
      <c r="M630" s="7" t="str">
        <f t="shared" si="52"/>
        <v>C</v>
      </c>
      <c r="N630" s="7">
        <f t="shared" si="53"/>
        <v>0</v>
      </c>
      <c r="O630" s="7" t="str">
        <f t="shared" si="54"/>
        <v>Z</v>
      </c>
      <c r="P630" s="7" t="str">
        <f t="shared" si="55"/>
        <v>CZ</v>
      </c>
      <c r="S630" s="6" t="s">
        <v>309</v>
      </c>
      <c r="T630" s="25">
        <v>3</v>
      </c>
      <c r="U630" s="7" t="str">
        <v>BY</v>
      </c>
      <c r="Y630" t="e">
        <v>#N/A</v>
      </c>
      <c r="Z630" s="104"/>
    </row>
    <row r="631" spans="1:26">
      <c r="A631" s="133" t="s">
        <v>686</v>
      </c>
      <c r="B631" s="7"/>
      <c r="C631" s="7"/>
      <c r="D631" s="7"/>
      <c r="E631" s="7"/>
      <c r="F631" s="7"/>
      <c r="G631" s="7"/>
      <c r="H631" s="7">
        <v>9500000</v>
      </c>
      <c r="I631" s="7"/>
      <c r="J631" s="7"/>
      <c r="K631" s="7">
        <v>9500000</v>
      </c>
      <c r="L631" s="134">
        <f t="shared" si="56"/>
        <v>0.99601087723067194</v>
      </c>
      <c r="M631" s="7" t="str">
        <f t="shared" si="52"/>
        <v>C</v>
      </c>
      <c r="N631" s="7">
        <f t="shared" si="53"/>
        <v>0</v>
      </c>
      <c r="O631" s="7" t="str">
        <f t="shared" si="54"/>
        <v>Z</v>
      </c>
      <c r="P631" s="7" t="str">
        <f t="shared" si="55"/>
        <v>CZ</v>
      </c>
      <c r="S631" s="6" t="s">
        <v>407</v>
      </c>
      <c r="T631" s="25">
        <v>1</v>
      </c>
      <c r="U631" s="7" t="str">
        <v>CY</v>
      </c>
      <c r="Y631" t="e">
        <v>#N/A</v>
      </c>
      <c r="Z631" s="104"/>
    </row>
    <row r="632" spans="1:26">
      <c r="A632" s="133" t="s">
        <v>687</v>
      </c>
      <c r="B632" s="7"/>
      <c r="C632" s="7"/>
      <c r="D632" s="7"/>
      <c r="E632" s="7"/>
      <c r="F632" s="7"/>
      <c r="G632" s="7"/>
      <c r="H632" s="7">
        <v>9500000</v>
      </c>
      <c r="I632" s="7"/>
      <c r="J632" s="7"/>
      <c r="K632" s="7">
        <v>9500000</v>
      </c>
      <c r="L632" s="134">
        <f t="shared" si="56"/>
        <v>0.99604246185450662</v>
      </c>
      <c r="M632" s="7" t="str">
        <f t="shared" si="52"/>
        <v>C</v>
      </c>
      <c r="N632" s="7">
        <f t="shared" si="53"/>
        <v>0</v>
      </c>
      <c r="O632" s="7" t="str">
        <f t="shared" si="54"/>
        <v>Z</v>
      </c>
      <c r="P632" s="7" t="str">
        <f t="shared" si="55"/>
        <v>CZ</v>
      </c>
      <c r="S632" s="6" t="s">
        <v>458</v>
      </c>
      <c r="T632" s="25">
        <v>1</v>
      </c>
      <c r="U632" s="7" t="str">
        <v>BZ</v>
      </c>
      <c r="Y632" t="e">
        <v>#N/A</v>
      </c>
      <c r="Z632" s="104"/>
    </row>
    <row r="633" spans="1:26">
      <c r="A633" s="133" t="s">
        <v>689</v>
      </c>
      <c r="B633" s="7"/>
      <c r="C633" s="7"/>
      <c r="D633" s="7"/>
      <c r="E633" s="7"/>
      <c r="F633" s="7"/>
      <c r="G633" s="7"/>
      <c r="H633" s="7">
        <v>9500000</v>
      </c>
      <c r="I633" s="7"/>
      <c r="J633" s="7"/>
      <c r="K633" s="7">
        <v>9500000</v>
      </c>
      <c r="L633" s="134">
        <f t="shared" si="56"/>
        <v>0.9960740464783413</v>
      </c>
      <c r="M633" s="7" t="str">
        <f t="shared" si="52"/>
        <v>C</v>
      </c>
      <c r="N633" s="7">
        <f t="shared" si="53"/>
        <v>0</v>
      </c>
      <c r="O633" s="7" t="str">
        <f t="shared" si="54"/>
        <v>Z</v>
      </c>
      <c r="P633" s="7" t="str">
        <f t="shared" si="55"/>
        <v>CZ</v>
      </c>
      <c r="S633" s="6" t="s">
        <v>762</v>
      </c>
      <c r="T633" s="25">
        <v>1</v>
      </c>
      <c r="U633" s="7" t="str">
        <v>CX</v>
      </c>
      <c r="Y633" t="e">
        <v>#N/A</v>
      </c>
      <c r="Z633" s="104"/>
    </row>
    <row r="634" spans="1:26">
      <c r="A634" s="133" t="s">
        <v>691</v>
      </c>
      <c r="B634" s="7"/>
      <c r="C634" s="7"/>
      <c r="D634" s="7"/>
      <c r="E634" s="7"/>
      <c r="F634" s="7"/>
      <c r="G634" s="7"/>
      <c r="H634" s="7">
        <v>9500000</v>
      </c>
      <c r="I634" s="7"/>
      <c r="J634" s="7"/>
      <c r="K634" s="7">
        <v>9500000</v>
      </c>
      <c r="L634" s="134">
        <f t="shared" si="56"/>
        <v>0.99610563110217598</v>
      </c>
      <c r="M634" s="7" t="str">
        <f t="shared" si="52"/>
        <v>C</v>
      </c>
      <c r="N634" s="7">
        <f t="shared" si="53"/>
        <v>0</v>
      </c>
      <c r="O634" s="7" t="str">
        <f t="shared" si="54"/>
        <v>Z</v>
      </c>
      <c r="P634" s="7" t="str">
        <f t="shared" si="55"/>
        <v>CZ</v>
      </c>
      <c r="S634" s="6" t="s">
        <v>839</v>
      </c>
      <c r="T634" s="25">
        <v>1</v>
      </c>
      <c r="U634" s="7" t="str">
        <v>CZ</v>
      </c>
      <c r="Y634" t="e">
        <v>#N/A</v>
      </c>
      <c r="Z634" s="104"/>
    </row>
    <row r="635" spans="1:26">
      <c r="A635" s="133" t="s">
        <v>693</v>
      </c>
      <c r="B635" s="7"/>
      <c r="C635" s="7"/>
      <c r="D635" s="7"/>
      <c r="E635" s="7"/>
      <c r="F635" s="7"/>
      <c r="G635" s="7"/>
      <c r="H635" s="7">
        <v>9500000</v>
      </c>
      <c r="I635" s="7"/>
      <c r="J635" s="7"/>
      <c r="K635" s="7">
        <v>9500000</v>
      </c>
      <c r="L635" s="134">
        <f t="shared" si="56"/>
        <v>0.99613721572601066</v>
      </c>
      <c r="M635" s="7" t="str">
        <f t="shared" si="52"/>
        <v>C</v>
      </c>
      <c r="N635" s="7">
        <f t="shared" si="53"/>
        <v>0</v>
      </c>
      <c r="O635" s="7" t="str">
        <f t="shared" si="54"/>
        <v>Z</v>
      </c>
      <c r="P635" s="7" t="str">
        <f t="shared" si="55"/>
        <v>CZ</v>
      </c>
      <c r="S635" s="6" t="s">
        <v>500</v>
      </c>
      <c r="T635" s="25">
        <v>3</v>
      </c>
      <c r="U635" s="7" t="str">
        <v>BZ</v>
      </c>
      <c r="Y635" t="e">
        <v>#N/A</v>
      </c>
      <c r="Z635" s="104"/>
    </row>
    <row r="636" spans="1:26">
      <c r="A636" s="133" t="s">
        <v>694</v>
      </c>
      <c r="B636" s="7"/>
      <c r="C636" s="7"/>
      <c r="D636" s="7"/>
      <c r="E636" s="7"/>
      <c r="F636" s="7"/>
      <c r="G636" s="7"/>
      <c r="H636" s="7">
        <v>9500000</v>
      </c>
      <c r="I636" s="7"/>
      <c r="J636" s="7"/>
      <c r="K636" s="7">
        <v>9500000</v>
      </c>
      <c r="L636" s="134">
        <f t="shared" si="56"/>
        <v>0.99616880034984534</v>
      </c>
      <c r="M636" s="7" t="str">
        <f t="shared" si="52"/>
        <v>C</v>
      </c>
      <c r="N636" s="7">
        <f t="shared" si="53"/>
        <v>0</v>
      </c>
      <c r="O636" s="7" t="str">
        <f t="shared" si="54"/>
        <v>Z</v>
      </c>
      <c r="P636" s="7" t="str">
        <f t="shared" si="55"/>
        <v>CZ</v>
      </c>
      <c r="S636" s="6" t="s">
        <v>500</v>
      </c>
      <c r="T636" s="25">
        <v>1</v>
      </c>
      <c r="U636" s="7" t="str">
        <v>BZ</v>
      </c>
      <c r="Y636" t="e">
        <v>#N/A</v>
      </c>
      <c r="Z636" s="104"/>
    </row>
    <row r="637" spans="1:26">
      <c r="A637" s="133" t="s">
        <v>695</v>
      </c>
      <c r="B637" s="7"/>
      <c r="C637" s="7"/>
      <c r="D637" s="7"/>
      <c r="E637" s="7"/>
      <c r="F637" s="7"/>
      <c r="G637" s="7"/>
      <c r="H637" s="7">
        <v>9500000</v>
      </c>
      <c r="I637" s="7"/>
      <c r="J637" s="7"/>
      <c r="K637" s="7">
        <v>9500000</v>
      </c>
      <c r="L637" s="134">
        <f t="shared" si="56"/>
        <v>0.99620038497368002</v>
      </c>
      <c r="M637" s="7" t="str">
        <f t="shared" si="52"/>
        <v>C</v>
      </c>
      <c r="N637" s="7">
        <f t="shared" si="53"/>
        <v>0</v>
      </c>
      <c r="O637" s="7" t="str">
        <f t="shared" si="54"/>
        <v>Z</v>
      </c>
      <c r="P637" s="7" t="str">
        <f t="shared" si="55"/>
        <v>CZ</v>
      </c>
      <c r="S637" s="6" t="s">
        <v>215</v>
      </c>
      <c r="T637" s="25">
        <v>1</v>
      </c>
      <c r="U637" s="7" t="str">
        <v>AZ</v>
      </c>
      <c r="Y637" t="e">
        <v>#N/A</v>
      </c>
      <c r="Z637" s="104"/>
    </row>
    <row r="638" spans="1:26">
      <c r="A638" s="133" t="s">
        <v>700</v>
      </c>
      <c r="B638" s="7"/>
      <c r="C638" s="7"/>
      <c r="D638" s="7"/>
      <c r="E638" s="7"/>
      <c r="F638" s="7"/>
      <c r="G638" s="7"/>
      <c r="H638" s="7">
        <v>9500000</v>
      </c>
      <c r="I638" s="7"/>
      <c r="J638" s="7"/>
      <c r="K638" s="7">
        <v>9500000</v>
      </c>
      <c r="L638" s="134">
        <f t="shared" si="56"/>
        <v>0.9962319695975147</v>
      </c>
      <c r="M638" s="7" t="str">
        <f t="shared" si="52"/>
        <v>C</v>
      </c>
      <c r="N638" s="7">
        <f t="shared" si="53"/>
        <v>0</v>
      </c>
      <c r="O638" s="7" t="str">
        <f t="shared" si="54"/>
        <v>Z</v>
      </c>
      <c r="P638" s="7" t="str">
        <f t="shared" si="55"/>
        <v>CZ</v>
      </c>
      <c r="S638" s="6" t="s">
        <v>91</v>
      </c>
      <c r="T638" s="25">
        <v>1</v>
      </c>
      <c r="U638" s="7" t="str">
        <v>AX</v>
      </c>
      <c r="Y638" t="e">
        <v>#N/A</v>
      </c>
      <c r="Z638" s="104"/>
    </row>
    <row r="639" spans="1:26">
      <c r="A639" s="133" t="s">
        <v>470</v>
      </c>
      <c r="B639" s="7"/>
      <c r="C639" s="7"/>
      <c r="D639" s="7"/>
      <c r="E639" s="7"/>
      <c r="F639" s="7">
        <v>9440000</v>
      </c>
      <c r="G639" s="7"/>
      <c r="H639" s="7"/>
      <c r="I639" s="7"/>
      <c r="J639" s="7"/>
      <c r="K639" s="7">
        <v>9440000</v>
      </c>
      <c r="L639" s="134">
        <f t="shared" si="56"/>
        <v>0.99626335473951455</v>
      </c>
      <c r="M639" s="7" t="str">
        <f t="shared" si="52"/>
        <v>C</v>
      </c>
      <c r="N639" s="7">
        <f t="shared" si="53"/>
        <v>0</v>
      </c>
      <c r="O639" s="7" t="str">
        <f t="shared" si="54"/>
        <v>Z</v>
      </c>
      <c r="P639" s="7" t="str">
        <f t="shared" si="55"/>
        <v>CZ</v>
      </c>
      <c r="S639" s="6" t="s">
        <v>282</v>
      </c>
      <c r="T639" s="25">
        <v>1</v>
      </c>
      <c r="U639" s="7" t="str">
        <v>AX</v>
      </c>
      <c r="Y639" t="e">
        <v>#N/A</v>
      </c>
      <c r="Z639" s="104"/>
    </row>
    <row r="640" spans="1:26">
      <c r="A640" s="133" t="s">
        <v>840</v>
      </c>
      <c r="B640" s="7"/>
      <c r="C640" s="7"/>
      <c r="D640" s="7"/>
      <c r="E640" s="7"/>
      <c r="F640" s="7">
        <v>9300000</v>
      </c>
      <c r="G640" s="7"/>
      <c r="H640" s="7"/>
      <c r="I640" s="7"/>
      <c r="J640" s="7"/>
      <c r="K640" s="7">
        <v>9300000</v>
      </c>
      <c r="L640" s="134">
        <f t="shared" si="56"/>
        <v>0.99629427442390006</v>
      </c>
      <c r="M640" s="7" t="str">
        <f t="shared" si="52"/>
        <v>C</v>
      </c>
      <c r="N640" s="7">
        <f t="shared" si="53"/>
        <v>0</v>
      </c>
      <c r="O640" s="7" t="str">
        <f t="shared" si="54"/>
        <v>Z</v>
      </c>
      <c r="P640" s="7" t="str">
        <f t="shared" si="55"/>
        <v>CZ</v>
      </c>
      <c r="S640" s="6" t="s">
        <v>515</v>
      </c>
      <c r="T640" s="25">
        <v>1</v>
      </c>
      <c r="U640" s="7" t="str">
        <v>BY</v>
      </c>
      <c r="Y640" t="e">
        <v>#N/A</v>
      </c>
      <c r="Z640" s="104"/>
    </row>
    <row r="641" spans="1:26">
      <c r="A641" s="133" t="s">
        <v>841</v>
      </c>
      <c r="B641" s="7"/>
      <c r="C641" s="7"/>
      <c r="D641" s="7"/>
      <c r="E641" s="7">
        <v>9250000</v>
      </c>
      <c r="F641" s="7"/>
      <c r="G641" s="7"/>
      <c r="H641" s="7"/>
      <c r="I641" s="7"/>
      <c r="J641" s="7"/>
      <c r="K641" s="7">
        <v>9250000</v>
      </c>
      <c r="L641" s="134">
        <f t="shared" si="56"/>
        <v>0.99632502787342325</v>
      </c>
      <c r="M641" s="7" t="str">
        <f t="shared" si="52"/>
        <v>C</v>
      </c>
      <c r="N641" s="7">
        <f t="shared" si="53"/>
        <v>0</v>
      </c>
      <c r="O641" s="7" t="str">
        <f t="shared" si="54"/>
        <v>Z</v>
      </c>
      <c r="P641" s="7" t="str">
        <f t="shared" si="55"/>
        <v>CZ</v>
      </c>
      <c r="S641" s="6" t="s">
        <v>842</v>
      </c>
      <c r="T641" s="25">
        <v>1</v>
      </c>
      <c r="U641" s="7" t="str">
        <v>CZ</v>
      </c>
      <c r="Y641" t="e">
        <v>#N/A</v>
      </c>
      <c r="Z641" s="104"/>
    </row>
    <row r="642" spans="1:26">
      <c r="A642" s="133" t="s">
        <v>448</v>
      </c>
      <c r="B642" s="7"/>
      <c r="C642" s="7">
        <v>7470000</v>
      </c>
      <c r="D642" s="7"/>
      <c r="E642" s="7">
        <v>1718182</v>
      </c>
      <c r="F642" s="7"/>
      <c r="G642" s="7"/>
      <c r="H642" s="7"/>
      <c r="I642" s="7"/>
      <c r="J642" s="7"/>
      <c r="K642" s="7">
        <v>9188182</v>
      </c>
      <c r="L642" s="134">
        <f t="shared" si="56"/>
        <v>0.99635557579681211</v>
      </c>
      <c r="M642" s="7" t="str">
        <f t="shared" si="52"/>
        <v>C</v>
      </c>
      <c r="N642" s="7">
        <f t="shared" si="53"/>
        <v>0.62600174876814585</v>
      </c>
      <c r="O642" s="7" t="str">
        <f t="shared" si="54"/>
        <v>Z</v>
      </c>
      <c r="P642" s="7" t="str">
        <f t="shared" si="55"/>
        <v>CZ</v>
      </c>
      <c r="S642" s="6" t="s">
        <v>705</v>
      </c>
      <c r="T642" s="25">
        <v>1</v>
      </c>
      <c r="U642" s="7" t="str">
        <v>CZ</v>
      </c>
      <c r="Y642" t="e">
        <v>#N/A</v>
      </c>
      <c r="Z642" s="104"/>
    </row>
    <row r="643" spans="1:26">
      <c r="A643" s="133" t="s">
        <v>843</v>
      </c>
      <c r="B643" s="7"/>
      <c r="C643" s="7">
        <v>9120000</v>
      </c>
      <c r="D643" s="7"/>
      <c r="E643" s="7"/>
      <c r="F643" s="7"/>
      <c r="G643" s="7"/>
      <c r="H643" s="7"/>
      <c r="I643" s="7"/>
      <c r="J643" s="7"/>
      <c r="K643" s="7">
        <v>9120000</v>
      </c>
      <c r="L643" s="134">
        <f t="shared" si="56"/>
        <v>0.99638589703569336</v>
      </c>
      <c r="M643" s="7" t="str">
        <f t="shared" si="52"/>
        <v>C</v>
      </c>
      <c r="N643" s="7">
        <f t="shared" si="53"/>
        <v>0</v>
      </c>
      <c r="O643" s="7" t="str">
        <f t="shared" si="54"/>
        <v>Z</v>
      </c>
      <c r="P643" s="7" t="str">
        <f t="shared" si="55"/>
        <v>CZ</v>
      </c>
      <c r="S643" s="6" t="s">
        <v>705</v>
      </c>
      <c r="T643" s="25">
        <v>2</v>
      </c>
      <c r="U643" s="7" t="str">
        <v>CZ</v>
      </c>
      <c r="Y643" t="e">
        <v>#N/A</v>
      </c>
      <c r="Z643" s="104"/>
    </row>
    <row r="644" spans="1:26">
      <c r="A644" s="133" t="s">
        <v>205</v>
      </c>
      <c r="B644" s="7">
        <v>2385000</v>
      </c>
      <c r="C644" s="7">
        <v>147121.68799999999</v>
      </c>
      <c r="D644" s="7">
        <v>331951.05499999999</v>
      </c>
      <c r="E644" s="7">
        <v>140000</v>
      </c>
      <c r="F644" s="7">
        <v>1067000</v>
      </c>
      <c r="G644" s="7">
        <v>1102000</v>
      </c>
      <c r="H644" s="7">
        <v>703000</v>
      </c>
      <c r="I644" s="7">
        <v>2274800</v>
      </c>
      <c r="J644" s="7">
        <v>962000</v>
      </c>
      <c r="K644" s="7">
        <v>9112872.7430000007</v>
      </c>
      <c r="L644" s="134">
        <f t="shared" si="56"/>
        <v>0.99641619457860287</v>
      </c>
      <c r="M644" s="7" t="str">
        <f t="shared" si="52"/>
        <v>C</v>
      </c>
      <c r="N644" s="7">
        <f t="shared" si="53"/>
        <v>0.77623642965927886</v>
      </c>
      <c r="O644" s="7" t="str">
        <f t="shared" si="54"/>
        <v>Z</v>
      </c>
      <c r="P644" s="7" t="str">
        <f t="shared" si="55"/>
        <v>CZ</v>
      </c>
      <c r="S644" s="6" t="s">
        <v>813</v>
      </c>
      <c r="T644" s="25">
        <v>1</v>
      </c>
      <c r="U644" s="7" t="str">
        <v>CZ</v>
      </c>
      <c r="Y644" t="e">
        <v>#N/A</v>
      </c>
      <c r="Z644" s="104"/>
    </row>
    <row r="645" spans="1:26">
      <c r="A645" s="133" t="s">
        <v>191</v>
      </c>
      <c r="B645" s="7"/>
      <c r="C645" s="7"/>
      <c r="D645" s="7"/>
      <c r="E645" s="7"/>
      <c r="F645" s="7">
        <v>3000000</v>
      </c>
      <c r="G645" s="7"/>
      <c r="H645" s="7">
        <v>3000000</v>
      </c>
      <c r="I645" s="7">
        <v>3000000</v>
      </c>
      <c r="J645" s="7"/>
      <c r="K645" s="7">
        <v>9000000</v>
      </c>
      <c r="L645" s="134">
        <f t="shared" si="56"/>
        <v>0.99644611685381468</v>
      </c>
      <c r="M645" s="7" t="str">
        <f t="shared" ref="M645:M708" si="57">IF(L645&lt;=0.8,"A",IF(L645&lt;=0.95,"B","C"))</f>
        <v>C</v>
      </c>
      <c r="N645" s="7">
        <f t="shared" ref="N645:N708" si="58">STDEVP(B645:J645)/AVERAGE(B645:J645)</f>
        <v>0</v>
      </c>
      <c r="O645" s="7" t="str">
        <f t="shared" ref="O645:O708" si="59">IF(N645=0,"Z",IF(N645&lt;=30%,"X",IF(N645&lt;=60%,"Y","Z")))</f>
        <v>Z</v>
      </c>
      <c r="P645" s="7" t="str">
        <f t="shared" ref="P645:P708" si="60">M645&amp;O645</f>
        <v>CZ</v>
      </c>
      <c r="S645" s="6" t="s">
        <v>844</v>
      </c>
      <c r="T645" s="25">
        <v>1</v>
      </c>
      <c r="U645" s="7" t="str">
        <v>CZ</v>
      </c>
      <c r="Y645" t="e">
        <v>#N/A</v>
      </c>
      <c r="Z645" s="104"/>
    </row>
    <row r="646" spans="1:26">
      <c r="A646" s="133" t="s">
        <v>845</v>
      </c>
      <c r="B646" s="7"/>
      <c r="C646" s="7"/>
      <c r="D646" s="7">
        <v>9000000</v>
      </c>
      <c r="E646" s="7"/>
      <c r="F646" s="7"/>
      <c r="G646" s="7"/>
      <c r="H646" s="7"/>
      <c r="I646" s="7"/>
      <c r="J646" s="7"/>
      <c r="K646" s="7">
        <v>9000000</v>
      </c>
      <c r="L646" s="134">
        <f t="shared" ref="L646:L709" si="61">K646/$K$932+L645</f>
        <v>0.99647603912902649</v>
      </c>
      <c r="M646" s="7" t="str">
        <f t="shared" si="57"/>
        <v>C</v>
      </c>
      <c r="N646" s="7">
        <f t="shared" si="58"/>
        <v>0</v>
      </c>
      <c r="O646" s="7" t="str">
        <f t="shared" si="59"/>
        <v>Z</v>
      </c>
      <c r="P646" s="7" t="str">
        <f t="shared" si="60"/>
        <v>CZ</v>
      </c>
      <c r="S646" s="6" t="s">
        <v>787</v>
      </c>
      <c r="T646" s="25">
        <v>1</v>
      </c>
      <c r="U646" s="7" t="str">
        <v>CZ</v>
      </c>
      <c r="Y646" t="e">
        <v>#N/A</v>
      </c>
      <c r="Z646" s="104"/>
    </row>
    <row r="647" spans="1:26">
      <c r="A647" s="133" t="s">
        <v>846</v>
      </c>
      <c r="B647" s="7"/>
      <c r="C647" s="7">
        <v>9000000</v>
      </c>
      <c r="D647" s="7"/>
      <c r="E647" s="7"/>
      <c r="F647" s="7"/>
      <c r="G647" s="7"/>
      <c r="H647" s="7"/>
      <c r="I647" s="7"/>
      <c r="J647" s="7"/>
      <c r="K647" s="7">
        <v>9000000</v>
      </c>
      <c r="L647" s="134">
        <f t="shared" si="61"/>
        <v>0.99650596140423831</v>
      </c>
      <c r="M647" s="7" t="str">
        <f t="shared" si="57"/>
        <v>C</v>
      </c>
      <c r="N647" s="7">
        <f t="shared" si="58"/>
        <v>0</v>
      </c>
      <c r="O647" s="7" t="str">
        <f t="shared" si="59"/>
        <v>Z</v>
      </c>
      <c r="P647" s="7" t="str">
        <f t="shared" si="60"/>
        <v>CZ</v>
      </c>
      <c r="S647" s="6" t="s">
        <v>615</v>
      </c>
      <c r="T647" s="25">
        <v>1</v>
      </c>
      <c r="U647" s="7" t="str">
        <v>CZ</v>
      </c>
      <c r="Y647" t="e">
        <v>#N/A</v>
      </c>
      <c r="Z647" s="104"/>
    </row>
    <row r="648" spans="1:26">
      <c r="A648" s="133" t="s">
        <v>522</v>
      </c>
      <c r="B648" s="7"/>
      <c r="C648" s="7"/>
      <c r="D648" s="7"/>
      <c r="E648" s="7"/>
      <c r="F648" s="7"/>
      <c r="G648" s="7"/>
      <c r="H648" s="7"/>
      <c r="I648" s="7"/>
      <c r="J648" s="7">
        <v>9000000</v>
      </c>
      <c r="K648" s="7">
        <v>9000000</v>
      </c>
      <c r="L648" s="134">
        <f t="shared" si="61"/>
        <v>0.99653588367945012</v>
      </c>
      <c r="M648" s="7" t="str">
        <f t="shared" si="57"/>
        <v>C</v>
      </c>
      <c r="N648" s="7">
        <f t="shared" si="58"/>
        <v>0</v>
      </c>
      <c r="O648" s="7" t="str">
        <f t="shared" si="59"/>
        <v>Z</v>
      </c>
      <c r="P648" s="7" t="str">
        <f t="shared" si="60"/>
        <v>CZ</v>
      </c>
      <c r="S648" s="6" t="s">
        <v>690</v>
      </c>
      <c r="T648" s="25">
        <v>2</v>
      </c>
      <c r="U648" s="7" t="str">
        <v>CZ</v>
      </c>
      <c r="Y648" t="e">
        <v>#N/A</v>
      </c>
      <c r="Z648" s="104"/>
    </row>
    <row r="649" spans="1:26">
      <c r="A649" s="133" t="s">
        <v>744</v>
      </c>
      <c r="B649" s="7"/>
      <c r="C649" s="7"/>
      <c r="D649" s="7"/>
      <c r="E649" s="7"/>
      <c r="F649" s="7"/>
      <c r="G649" s="7"/>
      <c r="H649" s="7"/>
      <c r="I649" s="7">
        <v>9000000</v>
      </c>
      <c r="J649" s="7"/>
      <c r="K649" s="7">
        <v>9000000</v>
      </c>
      <c r="L649" s="134">
        <f t="shared" si="61"/>
        <v>0.99656580595466193</v>
      </c>
      <c r="M649" s="7" t="str">
        <f t="shared" si="57"/>
        <v>C</v>
      </c>
      <c r="N649" s="7">
        <f t="shared" si="58"/>
        <v>0</v>
      </c>
      <c r="O649" s="7" t="str">
        <f t="shared" si="59"/>
        <v>Z</v>
      </c>
      <c r="P649" s="7" t="str">
        <f t="shared" si="60"/>
        <v>CZ</v>
      </c>
      <c r="S649" s="6" t="s">
        <v>690</v>
      </c>
      <c r="T649" s="25">
        <v>11</v>
      </c>
      <c r="U649" s="7" t="str">
        <v>CZ</v>
      </c>
      <c r="Y649" t="e">
        <v>#N/A</v>
      </c>
      <c r="Z649" s="104"/>
    </row>
    <row r="650" spans="1:26">
      <c r="A650" s="133" t="s">
        <v>847</v>
      </c>
      <c r="B650" s="7"/>
      <c r="C650" s="7"/>
      <c r="D650" s="7"/>
      <c r="E650" s="7"/>
      <c r="F650" s="7"/>
      <c r="G650" s="7"/>
      <c r="H650" s="7"/>
      <c r="I650" s="7">
        <v>9000000</v>
      </c>
      <c r="J650" s="7"/>
      <c r="K650" s="7">
        <v>9000000</v>
      </c>
      <c r="L650" s="134">
        <f t="shared" si="61"/>
        <v>0.99659572822987375</v>
      </c>
      <c r="M650" s="7" t="str">
        <f t="shared" si="57"/>
        <v>C</v>
      </c>
      <c r="N650" s="7">
        <f t="shared" si="58"/>
        <v>0</v>
      </c>
      <c r="O650" s="7" t="str">
        <f t="shared" si="59"/>
        <v>Z</v>
      </c>
      <c r="P650" s="7" t="str">
        <f t="shared" si="60"/>
        <v>CZ</v>
      </c>
      <c r="S650" s="6" t="s">
        <v>690</v>
      </c>
      <c r="T650" s="25">
        <v>3</v>
      </c>
      <c r="U650" s="7" t="str">
        <v>CZ</v>
      </c>
      <c r="Y650" t="e">
        <v>#N/A</v>
      </c>
      <c r="Z650" s="104"/>
    </row>
    <row r="651" spans="1:26">
      <c r="A651" s="133" t="s">
        <v>767</v>
      </c>
      <c r="B651" s="7"/>
      <c r="C651" s="7"/>
      <c r="D651" s="7"/>
      <c r="E651" s="7"/>
      <c r="F651" s="7"/>
      <c r="G651" s="7"/>
      <c r="H651" s="7"/>
      <c r="I651" s="7"/>
      <c r="J651" s="7">
        <v>8970000</v>
      </c>
      <c r="K651" s="7">
        <v>8970000</v>
      </c>
      <c r="L651" s="134">
        <f t="shared" si="61"/>
        <v>0.99662555076416814</v>
      </c>
      <c r="M651" s="7" t="str">
        <f t="shared" si="57"/>
        <v>C</v>
      </c>
      <c r="N651" s="7">
        <f t="shared" si="58"/>
        <v>0</v>
      </c>
      <c r="O651" s="7" t="str">
        <f t="shared" si="59"/>
        <v>Z</v>
      </c>
      <c r="P651" s="7" t="str">
        <f t="shared" si="60"/>
        <v>CZ</v>
      </c>
      <c r="S651" s="6" t="s">
        <v>690</v>
      </c>
      <c r="T651" s="25">
        <v>2</v>
      </c>
      <c r="U651" s="7" t="str">
        <v>CZ</v>
      </c>
      <c r="Y651" t="e">
        <v>#N/A</v>
      </c>
      <c r="Z651" s="104"/>
    </row>
    <row r="652" spans="1:26">
      <c r="A652" s="133" t="s">
        <v>848</v>
      </c>
      <c r="B652" s="7"/>
      <c r="C652" s="7"/>
      <c r="D652" s="7"/>
      <c r="E652" s="7"/>
      <c r="F652" s="7">
        <v>8900000</v>
      </c>
      <c r="G652" s="7"/>
      <c r="H652" s="7"/>
      <c r="I652" s="7"/>
      <c r="J652" s="7"/>
      <c r="K652" s="7">
        <v>8900000</v>
      </c>
      <c r="L652" s="134">
        <f t="shared" si="61"/>
        <v>0.99665514056965532</v>
      </c>
      <c r="M652" s="7" t="str">
        <f t="shared" si="57"/>
        <v>C</v>
      </c>
      <c r="N652" s="7">
        <f t="shared" si="58"/>
        <v>0</v>
      </c>
      <c r="O652" s="7" t="str">
        <f t="shared" si="59"/>
        <v>Z</v>
      </c>
      <c r="P652" s="7" t="str">
        <f t="shared" si="60"/>
        <v>CZ</v>
      </c>
      <c r="S652" s="6" t="s">
        <v>739</v>
      </c>
      <c r="T652" s="25">
        <v>2</v>
      </c>
      <c r="U652" s="7" t="str">
        <v>CY</v>
      </c>
      <c r="Y652" t="e">
        <v>#N/A</v>
      </c>
      <c r="Z652" s="104"/>
    </row>
    <row r="653" spans="1:26">
      <c r="A653" s="133" t="s">
        <v>849</v>
      </c>
      <c r="B653" s="7">
        <v>8800000</v>
      </c>
      <c r="C653" s="7"/>
      <c r="D653" s="7"/>
      <c r="E653" s="7"/>
      <c r="F653" s="7"/>
      <c r="G653" s="7"/>
      <c r="H653" s="7"/>
      <c r="I653" s="7"/>
      <c r="J653" s="7"/>
      <c r="K653" s="7">
        <v>8800000</v>
      </c>
      <c r="L653" s="134">
        <f t="shared" si="61"/>
        <v>0.99668439790541796</v>
      </c>
      <c r="M653" s="7" t="str">
        <f t="shared" si="57"/>
        <v>C</v>
      </c>
      <c r="N653" s="7">
        <f t="shared" si="58"/>
        <v>0</v>
      </c>
      <c r="O653" s="7" t="str">
        <f t="shared" si="59"/>
        <v>Z</v>
      </c>
      <c r="P653" s="7" t="str">
        <f t="shared" si="60"/>
        <v>CZ</v>
      </c>
      <c r="S653" s="6" t="s">
        <v>739</v>
      </c>
      <c r="T653" s="25">
        <v>4</v>
      </c>
      <c r="U653" s="7" t="str">
        <v>CY</v>
      </c>
      <c r="Y653" t="e">
        <v>#N/A</v>
      </c>
      <c r="Z653" s="104"/>
    </row>
    <row r="654" spans="1:26">
      <c r="A654" s="133" t="s">
        <v>850</v>
      </c>
      <c r="B654" s="7"/>
      <c r="C654" s="7"/>
      <c r="D654" s="7"/>
      <c r="E654" s="7"/>
      <c r="F654" s="7"/>
      <c r="G654" s="7"/>
      <c r="H654" s="7"/>
      <c r="I654" s="7">
        <v>8700000</v>
      </c>
      <c r="J654" s="7"/>
      <c r="K654" s="7">
        <v>8700000</v>
      </c>
      <c r="L654" s="134">
        <f t="shared" si="61"/>
        <v>0.99671332277145597</v>
      </c>
      <c r="M654" s="7" t="str">
        <f t="shared" si="57"/>
        <v>C</v>
      </c>
      <c r="N654" s="7">
        <f t="shared" si="58"/>
        <v>0</v>
      </c>
      <c r="O654" s="7" t="str">
        <f t="shared" si="59"/>
        <v>Z</v>
      </c>
      <c r="P654" s="7" t="str">
        <f t="shared" si="60"/>
        <v>CZ</v>
      </c>
      <c r="S654" s="6" t="s">
        <v>739</v>
      </c>
      <c r="T654" s="25">
        <v>1</v>
      </c>
      <c r="U654" s="7" t="str">
        <v>CY</v>
      </c>
      <c r="Y654" t="e">
        <v>#N/A</v>
      </c>
      <c r="Z654" s="104"/>
    </row>
    <row r="655" spans="1:26">
      <c r="A655" s="133" t="s">
        <v>312</v>
      </c>
      <c r="B655" s="7"/>
      <c r="C655" s="7"/>
      <c r="D655" s="7"/>
      <c r="E655" s="7"/>
      <c r="F655" s="7"/>
      <c r="G655" s="7"/>
      <c r="H655" s="7">
        <v>4500000</v>
      </c>
      <c r="I655" s="7"/>
      <c r="J655" s="7">
        <v>4050000</v>
      </c>
      <c r="K655" s="7">
        <v>8550000</v>
      </c>
      <c r="L655" s="134">
        <f t="shared" si="61"/>
        <v>0.99674174893290712</v>
      </c>
      <c r="M655" s="7" t="str">
        <f t="shared" si="57"/>
        <v>C</v>
      </c>
      <c r="N655" s="7">
        <f t="shared" si="58"/>
        <v>5.2631578947368418E-2</v>
      </c>
      <c r="O655" s="7" t="str">
        <f t="shared" si="59"/>
        <v>X</v>
      </c>
      <c r="P655" s="7" t="str">
        <f t="shared" si="60"/>
        <v>CX</v>
      </c>
      <c r="S655" s="6" t="s">
        <v>739</v>
      </c>
      <c r="T655" s="25">
        <v>1</v>
      </c>
      <c r="U655" s="7" t="str">
        <v>CY</v>
      </c>
      <c r="Y655" t="e">
        <v>#N/A</v>
      </c>
      <c r="Z655" s="104"/>
    </row>
    <row r="656" spans="1:26">
      <c r="A656" s="133" t="s">
        <v>851</v>
      </c>
      <c r="B656" s="7"/>
      <c r="C656" s="7"/>
      <c r="D656" s="7"/>
      <c r="E656" s="7"/>
      <c r="F656" s="7"/>
      <c r="G656" s="7">
        <v>8532658</v>
      </c>
      <c r="H656" s="7"/>
      <c r="I656" s="7"/>
      <c r="J656" s="7"/>
      <c r="K656" s="7">
        <v>8532658</v>
      </c>
      <c r="L656" s="134">
        <f t="shared" si="61"/>
        <v>0.99677011743745869</v>
      </c>
      <c r="M656" s="7" t="str">
        <f t="shared" si="57"/>
        <v>C</v>
      </c>
      <c r="N656" s="7">
        <f t="shared" si="58"/>
        <v>0</v>
      </c>
      <c r="O656" s="7" t="str">
        <f t="shared" si="59"/>
        <v>Z</v>
      </c>
      <c r="P656" s="7" t="str">
        <f t="shared" si="60"/>
        <v>CZ</v>
      </c>
      <c r="S656" s="6" t="s">
        <v>852</v>
      </c>
      <c r="T656" s="25">
        <v>2</v>
      </c>
      <c r="U656" s="7" t="str">
        <v>CX</v>
      </c>
      <c r="Y656" t="e">
        <v>#N/A</v>
      </c>
      <c r="Z656" s="104"/>
    </row>
    <row r="657" spans="1:26">
      <c r="A657" s="133" t="s">
        <v>853</v>
      </c>
      <c r="B657" s="7">
        <v>4254552</v>
      </c>
      <c r="C657" s="7">
        <v>4254552</v>
      </c>
      <c r="D657" s="7"/>
      <c r="E657" s="7"/>
      <c r="F657" s="7"/>
      <c r="G657" s="7"/>
      <c r="H657" s="7"/>
      <c r="I657" s="7"/>
      <c r="J657" s="7"/>
      <c r="K657" s="7">
        <v>8509104</v>
      </c>
      <c r="L657" s="134">
        <f t="shared" si="61"/>
        <v>0.99679840763209127</v>
      </c>
      <c r="M657" s="7" t="str">
        <f t="shared" si="57"/>
        <v>C</v>
      </c>
      <c r="N657" s="7">
        <f t="shared" si="58"/>
        <v>0</v>
      </c>
      <c r="O657" s="7" t="str">
        <f t="shared" si="59"/>
        <v>Z</v>
      </c>
      <c r="P657" s="7" t="str">
        <f t="shared" si="60"/>
        <v>CZ</v>
      </c>
      <c r="S657" s="6" t="s">
        <v>852</v>
      </c>
      <c r="T657" s="25">
        <v>1</v>
      </c>
      <c r="U657" s="7" t="str">
        <v>CX</v>
      </c>
      <c r="Y657" t="e">
        <v>#N/A</v>
      </c>
      <c r="Z657" s="104"/>
    </row>
    <row r="658" spans="1:26">
      <c r="A658" s="133" t="s">
        <v>724</v>
      </c>
      <c r="B658" s="7"/>
      <c r="C658" s="7"/>
      <c r="D658" s="7"/>
      <c r="E658" s="7"/>
      <c r="F658" s="7"/>
      <c r="G658" s="7"/>
      <c r="H658" s="7"/>
      <c r="I658" s="7">
        <v>8500000</v>
      </c>
      <c r="J658" s="7"/>
      <c r="K658" s="7">
        <v>8500000</v>
      </c>
      <c r="L658" s="134">
        <f t="shared" si="61"/>
        <v>0.9968266675586801</v>
      </c>
      <c r="M658" s="7" t="str">
        <f t="shared" si="57"/>
        <v>C</v>
      </c>
      <c r="N658" s="7">
        <f t="shared" si="58"/>
        <v>0</v>
      </c>
      <c r="O658" s="7" t="str">
        <f t="shared" si="59"/>
        <v>Z</v>
      </c>
      <c r="P658" s="7" t="str">
        <f t="shared" si="60"/>
        <v>CZ</v>
      </c>
      <c r="S658" s="6" t="s">
        <v>607</v>
      </c>
      <c r="T658" s="25">
        <v>1</v>
      </c>
      <c r="U658" s="7" t="str">
        <v>CZ</v>
      </c>
      <c r="Y658" t="e">
        <v>#N/A</v>
      </c>
      <c r="Z658" s="104"/>
    </row>
    <row r="659" spans="1:26">
      <c r="A659" s="133" t="s">
        <v>817</v>
      </c>
      <c r="B659" s="7">
        <v>8450000</v>
      </c>
      <c r="C659" s="7"/>
      <c r="D659" s="7"/>
      <c r="E659" s="7"/>
      <c r="F659" s="7"/>
      <c r="G659" s="7"/>
      <c r="H659" s="7"/>
      <c r="I659" s="7"/>
      <c r="J659" s="7"/>
      <c r="K659" s="7">
        <v>8450000</v>
      </c>
      <c r="L659" s="134">
        <f t="shared" si="61"/>
        <v>0.99685476125040673</v>
      </c>
      <c r="M659" s="7" t="str">
        <f t="shared" si="57"/>
        <v>C</v>
      </c>
      <c r="N659" s="7">
        <f t="shared" si="58"/>
        <v>0</v>
      </c>
      <c r="O659" s="7" t="str">
        <f t="shared" si="59"/>
        <v>Z</v>
      </c>
      <c r="P659" s="7" t="str">
        <f t="shared" si="60"/>
        <v>CZ</v>
      </c>
      <c r="S659" s="6" t="s">
        <v>833</v>
      </c>
      <c r="T659" s="25">
        <v>3</v>
      </c>
      <c r="U659" s="7" t="str">
        <v>CZ</v>
      </c>
      <c r="Y659" t="e">
        <v>#N/A</v>
      </c>
      <c r="Z659" s="104"/>
    </row>
    <row r="660" spans="1:26">
      <c r="A660" s="133" t="s">
        <v>854</v>
      </c>
      <c r="B660" s="7">
        <v>8400000</v>
      </c>
      <c r="C660" s="7"/>
      <c r="D660" s="7"/>
      <c r="E660" s="7"/>
      <c r="F660" s="7"/>
      <c r="G660" s="7"/>
      <c r="H660" s="7"/>
      <c r="I660" s="7"/>
      <c r="J660" s="7"/>
      <c r="K660" s="7">
        <v>8400000</v>
      </c>
      <c r="L660" s="134">
        <f t="shared" si="61"/>
        <v>0.99688268870727104</v>
      </c>
      <c r="M660" s="7" t="str">
        <f t="shared" si="57"/>
        <v>C</v>
      </c>
      <c r="N660" s="7">
        <f t="shared" si="58"/>
        <v>0</v>
      </c>
      <c r="O660" s="7" t="str">
        <f t="shared" si="59"/>
        <v>Z</v>
      </c>
      <c r="P660" s="7" t="str">
        <f t="shared" si="60"/>
        <v>CZ</v>
      </c>
      <c r="S660" s="6" t="s">
        <v>833</v>
      </c>
      <c r="T660" s="25">
        <v>1</v>
      </c>
      <c r="U660" s="7" t="str">
        <v>CZ</v>
      </c>
      <c r="Y660" t="e">
        <v>#N/A</v>
      </c>
      <c r="Z660" s="104"/>
    </row>
    <row r="661" spans="1:26">
      <c r="A661" s="133" t="s">
        <v>855</v>
      </c>
      <c r="B661" s="7"/>
      <c r="C661" s="7"/>
      <c r="D661" s="7">
        <v>6555000</v>
      </c>
      <c r="E661" s="7"/>
      <c r="F661" s="7">
        <v>1750000</v>
      </c>
      <c r="G661" s="7"/>
      <c r="H661" s="7"/>
      <c r="I661" s="7"/>
      <c r="J661" s="7"/>
      <c r="K661" s="7">
        <v>8305000</v>
      </c>
      <c r="L661" s="134">
        <f t="shared" si="61"/>
        <v>0.99691030031789696</v>
      </c>
      <c r="M661" s="7" t="str">
        <f t="shared" si="57"/>
        <v>C</v>
      </c>
      <c r="N661" s="7">
        <f t="shared" si="58"/>
        <v>0.57856712823600243</v>
      </c>
      <c r="O661" s="7" t="str">
        <f t="shared" si="59"/>
        <v>Y</v>
      </c>
      <c r="P661" s="7" t="str">
        <f t="shared" si="60"/>
        <v>CY</v>
      </c>
      <c r="S661" s="6" t="s">
        <v>856</v>
      </c>
      <c r="T661" s="25">
        <v>1</v>
      </c>
      <c r="U661" s="7" t="str">
        <v>CZ</v>
      </c>
      <c r="Y661" t="e">
        <v>#N/A</v>
      </c>
      <c r="Z661" s="104"/>
    </row>
    <row r="662" spans="1:26">
      <c r="A662" s="133" t="s">
        <v>857</v>
      </c>
      <c r="B662" s="7">
        <v>8272728</v>
      </c>
      <c r="C662" s="7"/>
      <c r="D662" s="7"/>
      <c r="E662" s="7"/>
      <c r="F662" s="7"/>
      <c r="G662" s="7"/>
      <c r="H662" s="7"/>
      <c r="I662" s="7"/>
      <c r="J662" s="7"/>
      <c r="K662" s="7">
        <v>8272728</v>
      </c>
      <c r="L662" s="134">
        <f t="shared" si="61"/>
        <v>0.99693780463389337</v>
      </c>
      <c r="M662" s="7" t="str">
        <f t="shared" si="57"/>
        <v>C</v>
      </c>
      <c r="N662" s="7">
        <f t="shared" si="58"/>
        <v>0</v>
      </c>
      <c r="O662" s="7" t="str">
        <f t="shared" si="59"/>
        <v>Z</v>
      </c>
      <c r="P662" s="7" t="str">
        <f t="shared" si="60"/>
        <v>CZ</v>
      </c>
      <c r="S662" s="6" t="s">
        <v>431</v>
      </c>
      <c r="T662" s="25">
        <v>1</v>
      </c>
      <c r="U662" s="7" t="str">
        <v>CY</v>
      </c>
      <c r="Y662" t="e">
        <v>#N/A</v>
      </c>
      <c r="Z662" s="104"/>
    </row>
    <row r="663" spans="1:26">
      <c r="A663" s="133" t="s">
        <v>858</v>
      </c>
      <c r="B663" s="7"/>
      <c r="C663" s="7"/>
      <c r="D663" s="7"/>
      <c r="E663" s="7">
        <v>8200000</v>
      </c>
      <c r="F663" s="7"/>
      <c r="G663" s="7"/>
      <c r="H663" s="7"/>
      <c r="I663" s="7"/>
      <c r="J663" s="7"/>
      <c r="K663" s="7">
        <v>8200000</v>
      </c>
      <c r="L663" s="134">
        <f t="shared" si="61"/>
        <v>0.9969650671513085</v>
      </c>
      <c r="M663" s="7" t="str">
        <f t="shared" si="57"/>
        <v>C</v>
      </c>
      <c r="N663" s="7">
        <f t="shared" si="58"/>
        <v>0</v>
      </c>
      <c r="O663" s="7" t="str">
        <f t="shared" si="59"/>
        <v>Z</v>
      </c>
      <c r="P663" s="7" t="str">
        <f t="shared" si="60"/>
        <v>CZ</v>
      </c>
      <c r="S663" s="6" t="s">
        <v>433</v>
      </c>
      <c r="T663" s="25">
        <v>1</v>
      </c>
      <c r="U663" s="7" t="str">
        <v>BY</v>
      </c>
      <c r="Y663" t="e">
        <v>#N/A</v>
      </c>
      <c r="Z663" s="104"/>
    </row>
    <row r="664" spans="1:26">
      <c r="A664" s="133" t="s">
        <v>859</v>
      </c>
      <c r="B664" s="7">
        <v>8010000</v>
      </c>
      <c r="C664" s="7"/>
      <c r="D664" s="7"/>
      <c r="E664" s="7"/>
      <c r="F664" s="7"/>
      <c r="G664" s="7"/>
      <c r="H664" s="7"/>
      <c r="I664" s="7"/>
      <c r="J664" s="7"/>
      <c r="K664" s="7">
        <v>8010000</v>
      </c>
      <c r="L664" s="134">
        <f t="shared" si="61"/>
        <v>0.99699169797624698</v>
      </c>
      <c r="M664" s="7" t="str">
        <f t="shared" si="57"/>
        <v>C</v>
      </c>
      <c r="N664" s="7">
        <f t="shared" si="58"/>
        <v>0</v>
      </c>
      <c r="O664" s="7" t="str">
        <f t="shared" si="59"/>
        <v>Z</v>
      </c>
      <c r="P664" s="7" t="str">
        <f t="shared" si="60"/>
        <v>CZ</v>
      </c>
      <c r="S664" s="6" t="s">
        <v>860</v>
      </c>
      <c r="T664" s="25">
        <v>6</v>
      </c>
      <c r="U664" s="7" t="str">
        <v>CZ</v>
      </c>
      <c r="Y664" t="e">
        <v>#N/A</v>
      </c>
      <c r="Z664" s="104"/>
    </row>
    <row r="665" spans="1:26">
      <c r="A665" s="133" t="s">
        <v>842</v>
      </c>
      <c r="B665" s="7"/>
      <c r="C665" s="7"/>
      <c r="D665" s="7"/>
      <c r="E665" s="7"/>
      <c r="F665" s="7"/>
      <c r="G665" s="7">
        <v>8000000</v>
      </c>
      <c r="H665" s="7"/>
      <c r="I665" s="7"/>
      <c r="J665" s="7"/>
      <c r="K665" s="7">
        <v>8000000</v>
      </c>
      <c r="L665" s="134">
        <f t="shared" si="61"/>
        <v>0.99701829555421295</v>
      </c>
      <c r="M665" s="7" t="str">
        <f t="shared" si="57"/>
        <v>C</v>
      </c>
      <c r="N665" s="7">
        <f t="shared" si="58"/>
        <v>0</v>
      </c>
      <c r="O665" s="7" t="str">
        <f t="shared" si="59"/>
        <v>Z</v>
      </c>
      <c r="P665" s="7" t="str">
        <f t="shared" si="60"/>
        <v>CZ</v>
      </c>
      <c r="S665" s="6" t="s">
        <v>860</v>
      </c>
      <c r="T665" s="25">
        <v>1</v>
      </c>
      <c r="U665" s="7" t="str">
        <v>CZ</v>
      </c>
      <c r="Y665" t="e">
        <v>#N/A</v>
      </c>
      <c r="Z665" s="104"/>
    </row>
    <row r="666" spans="1:26">
      <c r="A666" s="133" t="s">
        <v>861</v>
      </c>
      <c r="B666" s="7"/>
      <c r="C666" s="7"/>
      <c r="D666" s="7"/>
      <c r="E666" s="7"/>
      <c r="F666" s="7"/>
      <c r="G666" s="7">
        <v>8000000</v>
      </c>
      <c r="H666" s="7"/>
      <c r="I666" s="7"/>
      <c r="J666" s="7"/>
      <c r="K666" s="7">
        <v>8000000</v>
      </c>
      <c r="L666" s="134">
        <f t="shared" si="61"/>
        <v>0.99704489313217892</v>
      </c>
      <c r="M666" s="7" t="str">
        <f t="shared" si="57"/>
        <v>C</v>
      </c>
      <c r="N666" s="7">
        <f t="shared" si="58"/>
        <v>0</v>
      </c>
      <c r="O666" s="7" t="str">
        <f t="shared" si="59"/>
        <v>Z</v>
      </c>
      <c r="P666" s="7" t="str">
        <f t="shared" si="60"/>
        <v>CZ</v>
      </c>
      <c r="S666" s="6" t="s">
        <v>862</v>
      </c>
      <c r="T666" s="25">
        <v>1</v>
      </c>
      <c r="U666" s="7" t="str">
        <v>CZ</v>
      </c>
      <c r="Y666" t="e">
        <v>#N/A</v>
      </c>
      <c r="Z666" s="104"/>
    </row>
    <row r="667" spans="1:26">
      <c r="A667" s="133" t="s">
        <v>863</v>
      </c>
      <c r="B667" s="7"/>
      <c r="C667" s="7"/>
      <c r="D667" s="7"/>
      <c r="E667" s="7"/>
      <c r="F667" s="7"/>
      <c r="G667" s="7"/>
      <c r="H667" s="7">
        <v>8000000</v>
      </c>
      <c r="I667" s="7"/>
      <c r="J667" s="7"/>
      <c r="K667" s="7">
        <v>8000000</v>
      </c>
      <c r="L667" s="134">
        <f t="shared" si="61"/>
        <v>0.99707149071014489</v>
      </c>
      <c r="M667" s="7" t="str">
        <f t="shared" si="57"/>
        <v>C</v>
      </c>
      <c r="N667" s="7">
        <f t="shared" si="58"/>
        <v>0</v>
      </c>
      <c r="O667" s="7" t="str">
        <f t="shared" si="59"/>
        <v>Z</v>
      </c>
      <c r="P667" s="7" t="str">
        <f t="shared" si="60"/>
        <v>CZ</v>
      </c>
      <c r="S667" s="6" t="s">
        <v>864</v>
      </c>
      <c r="T667" s="25">
        <v>1</v>
      </c>
      <c r="U667" s="7" t="str">
        <v>CX</v>
      </c>
      <c r="Y667" t="e">
        <v>#N/A</v>
      </c>
      <c r="Z667" s="104"/>
    </row>
    <row r="668" spans="1:26">
      <c r="A668" s="133" t="s">
        <v>337</v>
      </c>
      <c r="B668" s="7"/>
      <c r="C668" s="7"/>
      <c r="D668" s="7">
        <v>7992000</v>
      </c>
      <c r="E668" s="7"/>
      <c r="F668" s="7"/>
      <c r="G668" s="7"/>
      <c r="H668" s="7"/>
      <c r="I668" s="7"/>
      <c r="J668" s="7"/>
      <c r="K668" s="7">
        <v>7992000</v>
      </c>
      <c r="L668" s="134">
        <f t="shared" si="61"/>
        <v>0.99709806169053294</v>
      </c>
      <c r="M668" s="7" t="str">
        <f t="shared" si="57"/>
        <v>C</v>
      </c>
      <c r="N668" s="7">
        <f t="shared" si="58"/>
        <v>0</v>
      </c>
      <c r="O668" s="7" t="str">
        <f t="shared" si="59"/>
        <v>Z</v>
      </c>
      <c r="P668" s="7" t="str">
        <f t="shared" si="60"/>
        <v>CZ</v>
      </c>
      <c r="S668" s="6" t="s">
        <v>742</v>
      </c>
      <c r="T668" s="25">
        <v>2</v>
      </c>
      <c r="U668" s="7" t="str">
        <v>CZ</v>
      </c>
      <c r="Y668" t="e">
        <v>#N/A</v>
      </c>
      <c r="Z668" s="104"/>
    </row>
    <row r="669" spans="1:26">
      <c r="A669" s="133" t="s">
        <v>865</v>
      </c>
      <c r="B669" s="7"/>
      <c r="C669" s="7"/>
      <c r="D669" s="7"/>
      <c r="E669" s="7"/>
      <c r="F669" s="7">
        <v>7980000</v>
      </c>
      <c r="G669" s="7"/>
      <c r="H669" s="7"/>
      <c r="I669" s="7"/>
      <c r="J669" s="7"/>
      <c r="K669" s="7">
        <v>7980000</v>
      </c>
      <c r="L669" s="134">
        <f t="shared" si="61"/>
        <v>0.99712459277455401</v>
      </c>
      <c r="M669" s="7" t="str">
        <f t="shared" si="57"/>
        <v>C</v>
      </c>
      <c r="N669" s="7">
        <f t="shared" si="58"/>
        <v>0</v>
      </c>
      <c r="O669" s="7" t="str">
        <f t="shared" si="59"/>
        <v>Z</v>
      </c>
      <c r="P669" s="7" t="str">
        <f t="shared" si="60"/>
        <v>CZ</v>
      </c>
      <c r="S669" s="6" t="s">
        <v>742</v>
      </c>
      <c r="T669" s="25">
        <v>1</v>
      </c>
      <c r="U669" s="7" t="str">
        <v>CZ</v>
      </c>
      <c r="Y669" t="e">
        <v>#N/A</v>
      </c>
      <c r="Z669" s="104"/>
    </row>
    <row r="670" spans="1:26">
      <c r="A670" s="133" t="s">
        <v>864</v>
      </c>
      <c r="B670" s="7"/>
      <c r="C670" s="7"/>
      <c r="D670" s="7"/>
      <c r="E670" s="7">
        <v>4200000</v>
      </c>
      <c r="F670" s="7">
        <v>3747272.4989999998</v>
      </c>
      <c r="G670" s="7"/>
      <c r="H670" s="7"/>
      <c r="I670" s="7"/>
      <c r="J670" s="7"/>
      <c r="K670" s="7">
        <v>7947272.4989999998</v>
      </c>
      <c r="L670" s="134">
        <f t="shared" si="61"/>
        <v>0.99715101504954262</v>
      </c>
      <c r="M670" s="7" t="str">
        <f t="shared" si="57"/>
        <v>C</v>
      </c>
      <c r="N670" s="7">
        <f t="shared" si="58"/>
        <v>5.6966399611560643E-2</v>
      </c>
      <c r="O670" s="7" t="str">
        <f t="shared" si="59"/>
        <v>X</v>
      </c>
      <c r="P670" s="7" t="str">
        <f t="shared" si="60"/>
        <v>CX</v>
      </c>
      <c r="S670" s="6" t="s">
        <v>438</v>
      </c>
      <c r="T670" s="25">
        <v>1</v>
      </c>
      <c r="U670" s="7" t="str">
        <v>CY</v>
      </c>
      <c r="Y670" t="e">
        <v>#N/A</v>
      </c>
      <c r="Z670" s="104"/>
    </row>
    <row r="671" spans="1:26">
      <c r="A671" s="133" t="s">
        <v>735</v>
      </c>
      <c r="B671" s="7"/>
      <c r="C671" s="7"/>
      <c r="D671" s="7"/>
      <c r="E671" s="7"/>
      <c r="F671" s="7"/>
      <c r="G671" s="7"/>
      <c r="H671" s="7"/>
      <c r="I671" s="7">
        <v>7800000</v>
      </c>
      <c r="J671" s="7"/>
      <c r="K671" s="7">
        <v>7800000</v>
      </c>
      <c r="L671" s="134">
        <f t="shared" si="61"/>
        <v>0.99717694768805953</v>
      </c>
      <c r="M671" s="7" t="str">
        <f t="shared" si="57"/>
        <v>C</v>
      </c>
      <c r="N671" s="7">
        <f t="shared" si="58"/>
        <v>0</v>
      </c>
      <c r="O671" s="7" t="str">
        <f t="shared" si="59"/>
        <v>Z</v>
      </c>
      <c r="P671" s="7" t="str">
        <f t="shared" si="60"/>
        <v>CZ</v>
      </c>
      <c r="S671" s="6" t="s">
        <v>495</v>
      </c>
      <c r="T671" s="25">
        <v>1</v>
      </c>
      <c r="U671" s="7" t="str">
        <v>BZ</v>
      </c>
      <c r="Y671" t="e">
        <v>#N/A</v>
      </c>
      <c r="Z671" s="104"/>
    </row>
    <row r="672" spans="1:26">
      <c r="A672" s="133" t="s">
        <v>435</v>
      </c>
      <c r="B672" s="7"/>
      <c r="C672" s="7"/>
      <c r="D672" s="7"/>
      <c r="E672" s="7"/>
      <c r="F672" s="7"/>
      <c r="G672" s="7"/>
      <c r="H672" s="7"/>
      <c r="I672" s="7">
        <v>7788000</v>
      </c>
      <c r="J672" s="7"/>
      <c r="K672" s="7">
        <v>7788000</v>
      </c>
      <c r="L672" s="134">
        <f t="shared" si="61"/>
        <v>0.99720284043020946</v>
      </c>
      <c r="M672" s="7" t="str">
        <f t="shared" si="57"/>
        <v>C</v>
      </c>
      <c r="N672" s="7">
        <f t="shared" si="58"/>
        <v>0</v>
      </c>
      <c r="O672" s="7" t="str">
        <f t="shared" si="59"/>
        <v>Z</v>
      </c>
      <c r="P672" s="7" t="str">
        <f t="shared" si="60"/>
        <v>CZ</v>
      </c>
      <c r="S672" s="6" t="s">
        <v>440</v>
      </c>
      <c r="T672" s="25">
        <v>1</v>
      </c>
      <c r="U672" s="7" t="str">
        <v>CZ</v>
      </c>
      <c r="Y672" t="e">
        <v>#N/A</v>
      </c>
      <c r="Z672" s="104"/>
    </row>
    <row r="673" spans="1:26">
      <c r="A673" s="133" t="s">
        <v>866</v>
      </c>
      <c r="B673" s="7"/>
      <c r="C673" s="7"/>
      <c r="D673" s="7">
        <v>7750000</v>
      </c>
      <c r="E673" s="7"/>
      <c r="F673" s="7"/>
      <c r="G673" s="7"/>
      <c r="H673" s="7"/>
      <c r="I673" s="7"/>
      <c r="J673" s="7"/>
      <c r="K673" s="7">
        <v>7750000</v>
      </c>
      <c r="L673" s="134">
        <f t="shared" si="61"/>
        <v>0.99722860683386405</v>
      </c>
      <c r="M673" s="7" t="str">
        <f t="shared" si="57"/>
        <v>C</v>
      </c>
      <c r="N673" s="7">
        <f t="shared" si="58"/>
        <v>0</v>
      </c>
      <c r="O673" s="7" t="str">
        <f t="shared" si="59"/>
        <v>Z</v>
      </c>
      <c r="P673" s="7" t="str">
        <f t="shared" si="60"/>
        <v>CZ</v>
      </c>
      <c r="S673" s="6" t="s">
        <v>867</v>
      </c>
      <c r="T673" s="25">
        <v>1</v>
      </c>
      <c r="U673" s="7" t="str">
        <v>CZ</v>
      </c>
      <c r="Y673" t="e">
        <v>#N/A</v>
      </c>
      <c r="Z673" s="104"/>
    </row>
    <row r="674" spans="1:26">
      <c r="A674" s="133" t="s">
        <v>868</v>
      </c>
      <c r="B674" s="7">
        <v>3440000</v>
      </c>
      <c r="C674" s="7"/>
      <c r="D674" s="7">
        <v>3225000</v>
      </c>
      <c r="E674" s="7">
        <v>1075000</v>
      </c>
      <c r="F674" s="7"/>
      <c r="G674" s="7"/>
      <c r="H674" s="7"/>
      <c r="I674" s="7"/>
      <c r="J674" s="7"/>
      <c r="K674" s="7">
        <v>7740000</v>
      </c>
      <c r="L674" s="134">
        <f t="shared" si="61"/>
        <v>0.99725433999054613</v>
      </c>
      <c r="M674" s="7" t="str">
        <f t="shared" si="57"/>
        <v>C</v>
      </c>
      <c r="N674" s="7">
        <f t="shared" si="58"/>
        <v>0.41387956738198167</v>
      </c>
      <c r="O674" s="7" t="str">
        <f t="shared" si="59"/>
        <v>Y</v>
      </c>
      <c r="P674" s="7" t="str">
        <f t="shared" si="60"/>
        <v>CY</v>
      </c>
      <c r="S674" s="6" t="s">
        <v>830</v>
      </c>
      <c r="T674" s="25">
        <v>1</v>
      </c>
      <c r="U674" s="7" t="str">
        <v>CY</v>
      </c>
      <c r="Y674" t="e">
        <v>#N/A</v>
      </c>
      <c r="Z674" s="104"/>
    </row>
    <row r="675" spans="1:26">
      <c r="A675" s="133" t="s">
        <v>319</v>
      </c>
      <c r="B675" s="7"/>
      <c r="C675" s="7"/>
      <c r="D675" s="7"/>
      <c r="E675" s="7"/>
      <c r="F675" s="7"/>
      <c r="G675" s="7"/>
      <c r="H675" s="7"/>
      <c r="I675" s="7"/>
      <c r="J675" s="7">
        <v>7600000</v>
      </c>
      <c r="K675" s="7">
        <v>7600000</v>
      </c>
      <c r="L675" s="134">
        <f t="shared" si="61"/>
        <v>0.99727960768961388</v>
      </c>
      <c r="M675" s="7" t="str">
        <f t="shared" si="57"/>
        <v>C</v>
      </c>
      <c r="N675" s="7">
        <f t="shared" si="58"/>
        <v>0</v>
      </c>
      <c r="O675" s="7" t="str">
        <f t="shared" si="59"/>
        <v>Z</v>
      </c>
      <c r="P675" s="7" t="str">
        <f t="shared" si="60"/>
        <v>CZ</v>
      </c>
      <c r="S675" s="6" t="s">
        <v>830</v>
      </c>
      <c r="T675" s="25">
        <v>3</v>
      </c>
      <c r="U675" s="7" t="str">
        <v>CY</v>
      </c>
      <c r="Y675" t="e">
        <v>#N/A</v>
      </c>
      <c r="Z675" s="104"/>
    </row>
    <row r="676" spans="1:26">
      <c r="A676" s="133" t="s">
        <v>475</v>
      </c>
      <c r="B676" s="7"/>
      <c r="C676" s="7"/>
      <c r="D676" s="7"/>
      <c r="E676" s="7"/>
      <c r="F676" s="7"/>
      <c r="G676" s="7"/>
      <c r="H676" s="7"/>
      <c r="I676" s="7">
        <v>7500000</v>
      </c>
      <c r="J676" s="7"/>
      <c r="K676" s="7">
        <v>7500000</v>
      </c>
      <c r="L676" s="134">
        <f t="shared" si="61"/>
        <v>0.99730454291895698</v>
      </c>
      <c r="M676" s="7" t="str">
        <f t="shared" si="57"/>
        <v>C</v>
      </c>
      <c r="N676" s="7">
        <f t="shared" si="58"/>
        <v>0</v>
      </c>
      <c r="O676" s="7" t="str">
        <f t="shared" si="59"/>
        <v>Z</v>
      </c>
      <c r="P676" s="7" t="str">
        <f t="shared" si="60"/>
        <v>CZ</v>
      </c>
      <c r="S676" s="6" t="s">
        <v>796</v>
      </c>
      <c r="T676" s="25">
        <v>1</v>
      </c>
      <c r="U676" s="7" t="str">
        <v>CZ</v>
      </c>
      <c r="Y676" t="e">
        <v>#N/A</v>
      </c>
      <c r="Z676" s="104"/>
    </row>
    <row r="677" spans="1:26">
      <c r="A677" s="133" t="s">
        <v>869</v>
      </c>
      <c r="B677" s="7"/>
      <c r="C677" s="7"/>
      <c r="D677" s="7"/>
      <c r="E677" s="7"/>
      <c r="F677" s="7"/>
      <c r="G677" s="7"/>
      <c r="H677" s="7"/>
      <c r="I677" s="7">
        <v>7500000</v>
      </c>
      <c r="J677" s="7"/>
      <c r="K677" s="7">
        <v>7500000</v>
      </c>
      <c r="L677" s="134">
        <f t="shared" si="61"/>
        <v>0.99732947814830009</v>
      </c>
      <c r="M677" s="7" t="str">
        <f t="shared" si="57"/>
        <v>C</v>
      </c>
      <c r="N677" s="7">
        <f t="shared" si="58"/>
        <v>0</v>
      </c>
      <c r="O677" s="7" t="str">
        <f t="shared" si="59"/>
        <v>Z</v>
      </c>
      <c r="P677" s="7" t="str">
        <f t="shared" si="60"/>
        <v>CZ</v>
      </c>
      <c r="S677" s="6" t="s">
        <v>870</v>
      </c>
      <c r="T677" s="25">
        <v>2</v>
      </c>
      <c r="U677" s="7" t="str">
        <v>CY</v>
      </c>
      <c r="Y677" t="e">
        <v>#N/A</v>
      </c>
      <c r="Z677" s="104"/>
    </row>
    <row r="678" spans="1:26">
      <c r="A678" s="133" t="s">
        <v>871</v>
      </c>
      <c r="B678" s="7"/>
      <c r="C678" s="7"/>
      <c r="D678" s="7"/>
      <c r="E678" s="7">
        <v>7360000</v>
      </c>
      <c r="F678" s="7"/>
      <c r="G678" s="7"/>
      <c r="H678" s="7"/>
      <c r="I678" s="7"/>
      <c r="J678" s="7"/>
      <c r="K678" s="7">
        <v>7360000</v>
      </c>
      <c r="L678" s="134">
        <f t="shared" si="61"/>
        <v>0.99735394792002885</v>
      </c>
      <c r="M678" s="7" t="str">
        <f t="shared" si="57"/>
        <v>C</v>
      </c>
      <c r="N678" s="7">
        <f t="shared" si="58"/>
        <v>0</v>
      </c>
      <c r="O678" s="7" t="str">
        <f t="shared" si="59"/>
        <v>Z</v>
      </c>
      <c r="P678" s="7" t="str">
        <f t="shared" si="60"/>
        <v>CZ</v>
      </c>
      <c r="S678" s="6" t="s">
        <v>870</v>
      </c>
      <c r="T678" s="25">
        <v>2</v>
      </c>
      <c r="U678" s="7" t="str">
        <v>CY</v>
      </c>
      <c r="Y678" t="e">
        <v>#N/A</v>
      </c>
      <c r="Z678" s="104"/>
    </row>
    <row r="679" spans="1:26">
      <c r="A679" s="133" t="s">
        <v>472</v>
      </c>
      <c r="B679" s="7"/>
      <c r="C679" s="7"/>
      <c r="D679" s="7"/>
      <c r="E679" s="7"/>
      <c r="F679" s="7">
        <v>7315000</v>
      </c>
      <c r="G679" s="7"/>
      <c r="H679" s="7"/>
      <c r="I679" s="7"/>
      <c r="J679" s="7"/>
      <c r="K679" s="7">
        <v>7315000</v>
      </c>
      <c r="L679" s="134">
        <f t="shared" si="61"/>
        <v>0.99737826808038155</v>
      </c>
      <c r="M679" s="7" t="str">
        <f t="shared" si="57"/>
        <v>C</v>
      </c>
      <c r="N679" s="7">
        <f t="shared" si="58"/>
        <v>0</v>
      </c>
      <c r="O679" s="7" t="str">
        <f t="shared" si="59"/>
        <v>Z</v>
      </c>
      <c r="P679" s="7" t="str">
        <f t="shared" si="60"/>
        <v>CZ</v>
      </c>
      <c r="S679" s="6" t="s">
        <v>789</v>
      </c>
      <c r="T679" s="25">
        <v>1</v>
      </c>
      <c r="U679" s="7" t="str">
        <v>CX</v>
      </c>
      <c r="Y679" t="e">
        <v>#N/A</v>
      </c>
      <c r="Z679" s="104"/>
    </row>
    <row r="680" spans="1:26">
      <c r="A680" s="133" t="s">
        <v>872</v>
      </c>
      <c r="B680" s="7">
        <v>3625000</v>
      </c>
      <c r="C680" s="7"/>
      <c r="D680" s="7"/>
      <c r="E680" s="7"/>
      <c r="F680" s="7">
        <v>3625000</v>
      </c>
      <c r="G680" s="7"/>
      <c r="H680" s="7"/>
      <c r="I680" s="7"/>
      <c r="J680" s="7"/>
      <c r="K680" s="7">
        <v>7250000</v>
      </c>
      <c r="L680" s="134">
        <f t="shared" si="61"/>
        <v>0.99740237213541327</v>
      </c>
      <c r="M680" s="7" t="str">
        <f t="shared" si="57"/>
        <v>C</v>
      </c>
      <c r="N680" s="7">
        <f t="shared" si="58"/>
        <v>0</v>
      </c>
      <c r="O680" s="7" t="str">
        <f t="shared" si="59"/>
        <v>Z</v>
      </c>
      <c r="P680" s="7" t="str">
        <f t="shared" si="60"/>
        <v>CZ</v>
      </c>
      <c r="S680" s="6" t="s">
        <v>243</v>
      </c>
      <c r="T680" s="25">
        <v>1</v>
      </c>
      <c r="U680" s="7" t="str">
        <v>AZ</v>
      </c>
      <c r="Y680" t="e">
        <v>#N/A</v>
      </c>
      <c r="Z680" s="104"/>
    </row>
    <row r="681" spans="1:26">
      <c r="A681" s="133" t="s">
        <v>873</v>
      </c>
      <c r="B681" s="7">
        <v>7200000</v>
      </c>
      <c r="C681" s="7"/>
      <c r="D681" s="7"/>
      <c r="E681" s="7"/>
      <c r="F681" s="7"/>
      <c r="G681" s="7"/>
      <c r="H681" s="7"/>
      <c r="I681" s="7"/>
      <c r="J681" s="7"/>
      <c r="K681" s="7">
        <v>7200000</v>
      </c>
      <c r="L681" s="134">
        <f t="shared" si="61"/>
        <v>0.99742630995558268</v>
      </c>
      <c r="M681" s="7" t="str">
        <f t="shared" si="57"/>
        <v>C</v>
      </c>
      <c r="N681" s="7">
        <f t="shared" si="58"/>
        <v>0</v>
      </c>
      <c r="O681" s="7" t="str">
        <f t="shared" si="59"/>
        <v>Z</v>
      </c>
      <c r="P681" s="7" t="str">
        <f t="shared" si="60"/>
        <v>CZ</v>
      </c>
      <c r="S681" s="6" t="s">
        <v>589</v>
      </c>
      <c r="T681" s="25">
        <v>1</v>
      </c>
      <c r="U681" s="7" t="str">
        <v>CZ</v>
      </c>
      <c r="Y681" t="e">
        <v>#N/A</v>
      </c>
      <c r="Z681" s="104"/>
    </row>
    <row r="682" spans="1:26">
      <c r="A682" s="133" t="s">
        <v>874</v>
      </c>
      <c r="B682" s="7">
        <v>7200000</v>
      </c>
      <c r="C682" s="7"/>
      <c r="D682" s="7"/>
      <c r="E682" s="7"/>
      <c r="F682" s="7"/>
      <c r="G682" s="7"/>
      <c r="H682" s="7"/>
      <c r="I682" s="7"/>
      <c r="J682" s="7"/>
      <c r="K682" s="7">
        <v>7200000</v>
      </c>
      <c r="L682" s="134">
        <f t="shared" si="61"/>
        <v>0.99745024777575209</v>
      </c>
      <c r="M682" s="7" t="str">
        <f t="shared" si="57"/>
        <v>C</v>
      </c>
      <c r="N682" s="7">
        <f t="shared" si="58"/>
        <v>0</v>
      </c>
      <c r="O682" s="7" t="str">
        <f t="shared" si="59"/>
        <v>Z</v>
      </c>
      <c r="P682" s="7" t="str">
        <f t="shared" si="60"/>
        <v>CZ</v>
      </c>
      <c r="S682" s="6" t="s">
        <v>541</v>
      </c>
      <c r="T682" s="25">
        <v>1</v>
      </c>
      <c r="U682" s="7" t="str">
        <v>BZ</v>
      </c>
      <c r="Y682" t="e">
        <v>#N/A</v>
      </c>
      <c r="Z682" s="104"/>
    </row>
    <row r="683" spans="1:26">
      <c r="A683" s="133" t="s">
        <v>422</v>
      </c>
      <c r="B683" s="7"/>
      <c r="C683" s="7">
        <v>1200000</v>
      </c>
      <c r="D683" s="7"/>
      <c r="E683" s="7"/>
      <c r="F683" s="7"/>
      <c r="G683" s="7"/>
      <c r="H683" s="7">
        <v>6000000</v>
      </c>
      <c r="I683" s="7"/>
      <c r="J683" s="7"/>
      <c r="K683" s="7">
        <v>7200000</v>
      </c>
      <c r="L683" s="134">
        <f t="shared" si="61"/>
        <v>0.99747418559592149</v>
      </c>
      <c r="M683" s="7" t="str">
        <f t="shared" si="57"/>
        <v>C</v>
      </c>
      <c r="N683" s="7">
        <f t="shared" si="58"/>
        <v>0.66666666666666663</v>
      </c>
      <c r="O683" s="7" t="str">
        <f t="shared" si="59"/>
        <v>Z</v>
      </c>
      <c r="P683" s="7" t="str">
        <f t="shared" si="60"/>
        <v>CZ</v>
      </c>
      <c r="S683" s="6" t="s">
        <v>451</v>
      </c>
      <c r="T683" s="25">
        <v>1</v>
      </c>
      <c r="U683" s="7" t="str">
        <v>CX</v>
      </c>
      <c r="Y683" t="e">
        <v>#N/A</v>
      </c>
      <c r="Z683" s="104"/>
    </row>
    <row r="684" spans="1:26">
      <c r="A684" s="133" t="s">
        <v>875</v>
      </c>
      <c r="B684" s="7"/>
      <c r="C684" s="7"/>
      <c r="D684" s="7">
        <v>7200000</v>
      </c>
      <c r="E684" s="7"/>
      <c r="F684" s="7"/>
      <c r="G684" s="7"/>
      <c r="H684" s="7"/>
      <c r="I684" s="7"/>
      <c r="J684" s="7"/>
      <c r="K684" s="7">
        <v>7200000</v>
      </c>
      <c r="L684" s="134">
        <f t="shared" si="61"/>
        <v>0.9974981234160909</v>
      </c>
      <c r="M684" s="7" t="str">
        <f t="shared" si="57"/>
        <v>C</v>
      </c>
      <c r="N684" s="7">
        <f t="shared" si="58"/>
        <v>0</v>
      </c>
      <c r="O684" s="7" t="str">
        <f t="shared" si="59"/>
        <v>Z</v>
      </c>
      <c r="P684" s="7" t="str">
        <f t="shared" si="60"/>
        <v>CZ</v>
      </c>
      <c r="S684" s="6" t="s">
        <v>555</v>
      </c>
      <c r="T684" s="25">
        <v>1</v>
      </c>
      <c r="U684" s="7" t="str">
        <v>CX</v>
      </c>
      <c r="Y684" t="e">
        <v>#N/A</v>
      </c>
      <c r="Z684" s="104"/>
    </row>
    <row r="685" spans="1:26">
      <c r="A685" s="133" t="s">
        <v>876</v>
      </c>
      <c r="B685" s="7"/>
      <c r="C685" s="7"/>
      <c r="D685" s="7"/>
      <c r="E685" s="7">
        <v>2390000</v>
      </c>
      <c r="F685" s="7"/>
      <c r="G685" s="7"/>
      <c r="H685" s="7"/>
      <c r="I685" s="7">
        <v>4780000</v>
      </c>
      <c r="J685" s="7"/>
      <c r="K685" s="7">
        <v>7170000</v>
      </c>
      <c r="L685" s="134">
        <f t="shared" si="61"/>
        <v>0.99752196149534289</v>
      </c>
      <c r="M685" s="7" t="str">
        <f t="shared" si="57"/>
        <v>C</v>
      </c>
      <c r="N685" s="7">
        <f t="shared" si="58"/>
        <v>0.33333333333333331</v>
      </c>
      <c r="O685" s="7" t="str">
        <f t="shared" si="59"/>
        <v>Y</v>
      </c>
      <c r="P685" s="7" t="str">
        <f t="shared" si="60"/>
        <v>CY</v>
      </c>
      <c r="S685" s="6" t="s">
        <v>877</v>
      </c>
      <c r="T685" s="25">
        <v>1</v>
      </c>
      <c r="U685" s="7" t="str">
        <v>CZ</v>
      </c>
      <c r="Y685" t="e">
        <v>#N/A</v>
      </c>
      <c r="Z685" s="104"/>
    </row>
    <row r="686" spans="1:26">
      <c r="A686" s="133" t="s">
        <v>878</v>
      </c>
      <c r="B686" s="7"/>
      <c r="C686" s="7"/>
      <c r="D686" s="7"/>
      <c r="E686" s="7"/>
      <c r="F686" s="7">
        <v>7150000</v>
      </c>
      <c r="G686" s="7"/>
      <c r="H686" s="7"/>
      <c r="I686" s="7"/>
      <c r="J686" s="7"/>
      <c r="K686" s="7">
        <v>7150000</v>
      </c>
      <c r="L686" s="134">
        <f t="shared" si="61"/>
        <v>0.99754573308064998</v>
      </c>
      <c r="M686" s="7" t="str">
        <f t="shared" si="57"/>
        <v>C</v>
      </c>
      <c r="N686" s="7">
        <f t="shared" si="58"/>
        <v>0</v>
      </c>
      <c r="O686" s="7" t="str">
        <f t="shared" si="59"/>
        <v>Z</v>
      </c>
      <c r="P686" s="7" t="str">
        <f t="shared" si="60"/>
        <v>CZ</v>
      </c>
      <c r="S686" s="6" t="s">
        <v>347</v>
      </c>
      <c r="T686" s="25">
        <v>1</v>
      </c>
      <c r="U686" s="7" t="str">
        <v>BZ</v>
      </c>
      <c r="Y686" t="e">
        <v>#N/A</v>
      </c>
      <c r="Z686" s="104"/>
    </row>
    <row r="687" spans="1:26">
      <c r="A687" s="133" t="s">
        <v>879</v>
      </c>
      <c r="B687" s="7">
        <v>1100000</v>
      </c>
      <c r="C687" s="7"/>
      <c r="D687" s="7"/>
      <c r="E687" s="7">
        <v>6000000</v>
      </c>
      <c r="F687" s="7"/>
      <c r="G687" s="7"/>
      <c r="H687" s="7"/>
      <c r="I687" s="7"/>
      <c r="J687" s="7"/>
      <c r="K687" s="7">
        <v>7100000</v>
      </c>
      <c r="L687" s="134">
        <f t="shared" si="61"/>
        <v>0.99756933843109485</v>
      </c>
      <c r="M687" s="7" t="str">
        <f t="shared" si="57"/>
        <v>C</v>
      </c>
      <c r="N687" s="7">
        <f t="shared" si="58"/>
        <v>0.6901408450704225</v>
      </c>
      <c r="O687" s="7" t="str">
        <f t="shared" si="59"/>
        <v>Z</v>
      </c>
      <c r="P687" s="7" t="str">
        <f t="shared" si="60"/>
        <v>CZ</v>
      </c>
      <c r="S687" s="6" t="s">
        <v>880</v>
      </c>
      <c r="T687" s="25">
        <v>1</v>
      </c>
      <c r="U687" s="7" t="str">
        <v>CZ</v>
      </c>
      <c r="Y687" t="e">
        <v>#N/A</v>
      </c>
      <c r="Z687" s="104"/>
    </row>
    <row r="688" spans="1:26">
      <c r="A688" s="133" t="s">
        <v>881</v>
      </c>
      <c r="B688" s="7">
        <v>7080000</v>
      </c>
      <c r="C688" s="7"/>
      <c r="D688" s="7"/>
      <c r="E688" s="7"/>
      <c r="F688" s="7"/>
      <c r="G688" s="7"/>
      <c r="H688" s="7"/>
      <c r="I688" s="7"/>
      <c r="J688" s="7"/>
      <c r="K688" s="7">
        <v>7080000</v>
      </c>
      <c r="L688" s="134">
        <f t="shared" si="61"/>
        <v>0.99759287728759483</v>
      </c>
      <c r="M688" s="7" t="str">
        <f t="shared" si="57"/>
        <v>C</v>
      </c>
      <c r="N688" s="7">
        <f t="shared" si="58"/>
        <v>0</v>
      </c>
      <c r="O688" s="7" t="str">
        <f t="shared" si="59"/>
        <v>Z</v>
      </c>
      <c r="P688" s="7" t="str">
        <f t="shared" si="60"/>
        <v>CZ</v>
      </c>
      <c r="S688" s="6" t="s">
        <v>402</v>
      </c>
      <c r="T688" s="25">
        <v>1</v>
      </c>
      <c r="U688" s="7" t="str">
        <v>BZ</v>
      </c>
      <c r="Y688" t="e">
        <v>#N/A</v>
      </c>
      <c r="Z688" s="104"/>
    </row>
    <row r="689" spans="1:26">
      <c r="A689" s="133" t="s">
        <v>882</v>
      </c>
      <c r="B689" s="7"/>
      <c r="C689" s="7"/>
      <c r="D689" s="7"/>
      <c r="E689" s="7"/>
      <c r="F689" s="7"/>
      <c r="G689" s="7"/>
      <c r="H689" s="7"/>
      <c r="I689" s="7">
        <v>7000000</v>
      </c>
      <c r="J689" s="7"/>
      <c r="K689" s="7">
        <v>7000000</v>
      </c>
      <c r="L689" s="134">
        <f t="shared" si="61"/>
        <v>0.99761615016831506</v>
      </c>
      <c r="M689" s="7" t="str">
        <f t="shared" si="57"/>
        <v>C</v>
      </c>
      <c r="N689" s="7">
        <f t="shared" si="58"/>
        <v>0</v>
      </c>
      <c r="O689" s="7" t="str">
        <f t="shared" si="59"/>
        <v>Z</v>
      </c>
      <c r="P689" s="7" t="str">
        <f t="shared" si="60"/>
        <v>CZ</v>
      </c>
      <c r="S689" s="6" t="s">
        <v>349</v>
      </c>
      <c r="T689" s="25">
        <v>1</v>
      </c>
      <c r="U689" s="7" t="str">
        <v>BY</v>
      </c>
      <c r="Y689" t="e">
        <v>#N/A</v>
      </c>
      <c r="Z689" s="104"/>
    </row>
    <row r="690" spans="1:26">
      <c r="A690" s="133" t="s">
        <v>883</v>
      </c>
      <c r="B690" s="7"/>
      <c r="C690" s="7"/>
      <c r="D690" s="7"/>
      <c r="E690" s="7"/>
      <c r="F690" s="7">
        <v>6909091</v>
      </c>
      <c r="G690" s="7"/>
      <c r="H690" s="7"/>
      <c r="I690" s="7"/>
      <c r="J690" s="7"/>
      <c r="K690" s="7">
        <v>6909091</v>
      </c>
      <c r="L690" s="134">
        <f t="shared" si="61"/>
        <v>0.99763912080413342</v>
      </c>
      <c r="M690" s="7" t="str">
        <f t="shared" si="57"/>
        <v>C</v>
      </c>
      <c r="N690" s="7">
        <f t="shared" si="58"/>
        <v>0</v>
      </c>
      <c r="O690" s="7" t="str">
        <f t="shared" si="59"/>
        <v>Z</v>
      </c>
      <c r="P690" s="7" t="str">
        <f t="shared" si="60"/>
        <v>CZ</v>
      </c>
      <c r="S690" s="6" t="s">
        <v>349</v>
      </c>
      <c r="T690" s="25">
        <v>1</v>
      </c>
      <c r="U690" s="7" t="str">
        <v>BY</v>
      </c>
      <c r="Y690" t="e">
        <v>#N/A</v>
      </c>
      <c r="Z690" s="104"/>
    </row>
    <row r="691" spans="1:26">
      <c r="A691" s="133" t="s">
        <v>884</v>
      </c>
      <c r="B691" s="7">
        <v>3315000</v>
      </c>
      <c r="C691" s="7"/>
      <c r="D691" s="7">
        <v>3513000</v>
      </c>
      <c r="E691" s="7"/>
      <c r="F691" s="7"/>
      <c r="G691" s="7"/>
      <c r="H691" s="7"/>
      <c r="I691" s="7"/>
      <c r="J691" s="7"/>
      <c r="K691" s="7">
        <v>6828000</v>
      </c>
      <c r="L691" s="134">
        <f t="shared" si="61"/>
        <v>0.99766182183692742</v>
      </c>
      <c r="M691" s="7" t="str">
        <f t="shared" si="57"/>
        <v>C</v>
      </c>
      <c r="N691" s="7">
        <f t="shared" si="58"/>
        <v>2.8998242530755711E-2</v>
      </c>
      <c r="O691" s="7" t="str">
        <f t="shared" si="59"/>
        <v>X</v>
      </c>
      <c r="P691" s="7" t="str">
        <f t="shared" si="60"/>
        <v>CX</v>
      </c>
      <c r="S691" s="6" t="s">
        <v>254</v>
      </c>
      <c r="T691" s="25">
        <v>4</v>
      </c>
      <c r="U691" s="7" t="str">
        <v>AZ</v>
      </c>
      <c r="Y691" t="e">
        <v>#N/A</v>
      </c>
      <c r="Z691" s="104"/>
    </row>
    <row r="692" spans="1:26">
      <c r="A692" s="133" t="s">
        <v>885</v>
      </c>
      <c r="B692" s="7">
        <v>3310000</v>
      </c>
      <c r="C692" s="7"/>
      <c r="D692" s="7">
        <v>3507000</v>
      </c>
      <c r="E692" s="7"/>
      <c r="F692" s="7"/>
      <c r="G692" s="7"/>
      <c r="H692" s="7"/>
      <c r="I692" s="7"/>
      <c r="J692" s="7"/>
      <c r="K692" s="7">
        <v>6817000</v>
      </c>
      <c r="L692" s="134">
        <f t="shared" si="61"/>
        <v>0.99768448629805173</v>
      </c>
      <c r="M692" s="7" t="str">
        <f t="shared" si="57"/>
        <v>C</v>
      </c>
      <c r="N692" s="7">
        <f t="shared" si="58"/>
        <v>2.8898342379345753E-2</v>
      </c>
      <c r="O692" s="7" t="str">
        <f t="shared" si="59"/>
        <v>X</v>
      </c>
      <c r="P692" s="7" t="str">
        <f t="shared" si="60"/>
        <v>CX</v>
      </c>
      <c r="S692" s="6" t="s">
        <v>254</v>
      </c>
      <c r="T692" s="25">
        <v>1</v>
      </c>
      <c r="U692" s="7" t="str">
        <v>AZ</v>
      </c>
      <c r="Y692" t="e">
        <v>#N/A</v>
      </c>
      <c r="Z692" s="104"/>
    </row>
    <row r="693" spans="1:26">
      <c r="A693" s="133" t="s">
        <v>886</v>
      </c>
      <c r="B693" s="7"/>
      <c r="C693" s="7"/>
      <c r="D693" s="7"/>
      <c r="E693" s="7">
        <v>6690000</v>
      </c>
      <c r="F693" s="7"/>
      <c r="G693" s="7"/>
      <c r="H693" s="7"/>
      <c r="I693" s="7"/>
      <c r="J693" s="7"/>
      <c r="K693" s="7">
        <v>6690000</v>
      </c>
      <c r="L693" s="134">
        <f t="shared" si="61"/>
        <v>0.99770672852262576</v>
      </c>
      <c r="M693" s="7" t="str">
        <f t="shared" si="57"/>
        <v>C</v>
      </c>
      <c r="N693" s="7">
        <f t="shared" si="58"/>
        <v>0</v>
      </c>
      <c r="O693" s="7" t="str">
        <f t="shared" si="59"/>
        <v>Z</v>
      </c>
      <c r="P693" s="7" t="str">
        <f t="shared" si="60"/>
        <v>CZ</v>
      </c>
      <c r="S693" s="6" t="s">
        <v>254</v>
      </c>
      <c r="T693" s="25">
        <v>2</v>
      </c>
      <c r="U693" s="7" t="str">
        <v>AZ</v>
      </c>
      <c r="Y693" t="e">
        <v>#N/A</v>
      </c>
      <c r="Z693" s="104"/>
    </row>
    <row r="694" spans="1:26">
      <c r="A694" s="133" t="s">
        <v>887</v>
      </c>
      <c r="B694" s="7"/>
      <c r="C694" s="7"/>
      <c r="D694" s="7"/>
      <c r="E694" s="7"/>
      <c r="F694" s="7">
        <v>6600000</v>
      </c>
      <c r="G694" s="7"/>
      <c r="H694" s="7"/>
      <c r="I694" s="7"/>
      <c r="J694" s="7"/>
      <c r="K694" s="7">
        <v>6600000</v>
      </c>
      <c r="L694" s="134">
        <f t="shared" si="61"/>
        <v>0.99772867152444777</v>
      </c>
      <c r="M694" s="7" t="str">
        <f t="shared" si="57"/>
        <v>C</v>
      </c>
      <c r="N694" s="7">
        <f t="shared" si="58"/>
        <v>0</v>
      </c>
      <c r="O694" s="7" t="str">
        <f t="shared" si="59"/>
        <v>Z</v>
      </c>
      <c r="P694" s="7" t="str">
        <f t="shared" si="60"/>
        <v>CZ</v>
      </c>
      <c r="S694" s="6" t="s">
        <v>254</v>
      </c>
      <c r="T694" s="25">
        <v>5</v>
      </c>
      <c r="U694" s="7" t="str">
        <v>AZ</v>
      </c>
      <c r="Y694" t="e">
        <v>#N/A</v>
      </c>
      <c r="Z694" s="104"/>
    </row>
    <row r="695" spans="1:26">
      <c r="A695" s="133" t="s">
        <v>716</v>
      </c>
      <c r="B695" s="7"/>
      <c r="C695" s="7"/>
      <c r="D695" s="7"/>
      <c r="E695" s="7"/>
      <c r="F695" s="7"/>
      <c r="G695" s="7"/>
      <c r="H695" s="7"/>
      <c r="I695" s="7">
        <v>6500000</v>
      </c>
      <c r="J695" s="7"/>
      <c r="K695" s="7">
        <v>6500000</v>
      </c>
      <c r="L695" s="134">
        <f t="shared" si="61"/>
        <v>0.99775028205654515</v>
      </c>
      <c r="M695" s="7" t="str">
        <f t="shared" si="57"/>
        <v>C</v>
      </c>
      <c r="N695" s="7">
        <f t="shared" si="58"/>
        <v>0</v>
      </c>
      <c r="O695" s="7" t="str">
        <f t="shared" si="59"/>
        <v>Z</v>
      </c>
      <c r="P695" s="7" t="str">
        <f t="shared" si="60"/>
        <v>CZ</v>
      </c>
      <c r="S695" s="6" t="s">
        <v>840</v>
      </c>
      <c r="T695" s="25">
        <v>1</v>
      </c>
      <c r="U695" s="7" t="str">
        <v>CZ</v>
      </c>
      <c r="Y695" t="e">
        <v>#N/A</v>
      </c>
      <c r="Z695" s="104"/>
    </row>
    <row r="696" spans="1:26">
      <c r="A696" s="133" t="s">
        <v>451</v>
      </c>
      <c r="B696" s="7"/>
      <c r="C696" s="7"/>
      <c r="D696" s="7"/>
      <c r="E696" s="7">
        <v>3900000</v>
      </c>
      <c r="F696" s="7">
        <v>2600000</v>
      </c>
      <c r="G696" s="7"/>
      <c r="H696" s="7"/>
      <c r="I696" s="7"/>
      <c r="J696" s="7"/>
      <c r="K696" s="7">
        <v>6500000</v>
      </c>
      <c r="L696" s="134">
        <f t="shared" si="61"/>
        <v>0.99777189258864252</v>
      </c>
      <c r="M696" s="7" t="str">
        <f t="shared" si="57"/>
        <v>C</v>
      </c>
      <c r="N696" s="7">
        <f t="shared" si="58"/>
        <v>0.2</v>
      </c>
      <c r="O696" s="7" t="str">
        <f t="shared" si="59"/>
        <v>X</v>
      </c>
      <c r="P696" s="7" t="str">
        <f t="shared" si="60"/>
        <v>CX</v>
      </c>
      <c r="S696" s="6" t="s">
        <v>888</v>
      </c>
      <c r="T696" s="25">
        <v>1</v>
      </c>
      <c r="U696" s="7" t="str">
        <v>CZ</v>
      </c>
      <c r="Y696" t="e">
        <v>#N/A</v>
      </c>
      <c r="Z696" s="104"/>
    </row>
    <row r="697" spans="1:26">
      <c r="A697" s="133" t="s">
        <v>889</v>
      </c>
      <c r="B697" s="7">
        <v>3600000</v>
      </c>
      <c r="C697" s="7"/>
      <c r="D697" s="7">
        <v>1725000</v>
      </c>
      <c r="E697" s="7">
        <v>1150000</v>
      </c>
      <c r="F697" s="7"/>
      <c r="G697" s="7"/>
      <c r="H697" s="7"/>
      <c r="I697" s="7"/>
      <c r="J697" s="7"/>
      <c r="K697" s="7">
        <v>6475000</v>
      </c>
      <c r="L697" s="134">
        <f t="shared" si="61"/>
        <v>0.99779342000330873</v>
      </c>
      <c r="M697" s="7" t="str">
        <f t="shared" si="57"/>
        <v>C</v>
      </c>
      <c r="N697" s="7">
        <f t="shared" si="58"/>
        <v>0.48467518415721811</v>
      </c>
      <c r="O697" s="7" t="str">
        <f t="shared" si="59"/>
        <v>Y</v>
      </c>
      <c r="P697" s="7" t="str">
        <f t="shared" si="60"/>
        <v>CY</v>
      </c>
      <c r="S697" s="6" t="s">
        <v>557</v>
      </c>
      <c r="T697" s="25">
        <v>1</v>
      </c>
      <c r="U697" s="7" t="str">
        <v>CZ</v>
      </c>
      <c r="Y697" t="e">
        <v>#N/A</v>
      </c>
      <c r="Z697" s="104"/>
    </row>
    <row r="698" spans="1:26">
      <c r="A698" s="133" t="s">
        <v>890</v>
      </c>
      <c r="B698" s="7"/>
      <c r="C698" s="7"/>
      <c r="D698" s="7"/>
      <c r="E698" s="7"/>
      <c r="F698" s="7"/>
      <c r="G698" s="7">
        <v>6400000</v>
      </c>
      <c r="H698" s="7"/>
      <c r="I698" s="7"/>
      <c r="J698" s="7"/>
      <c r="K698" s="7">
        <v>6400000</v>
      </c>
      <c r="L698" s="134">
        <f t="shared" si="61"/>
        <v>0.99781469806568157</v>
      </c>
      <c r="M698" s="7" t="str">
        <f t="shared" si="57"/>
        <v>C</v>
      </c>
      <c r="N698" s="7">
        <f t="shared" si="58"/>
        <v>0</v>
      </c>
      <c r="O698" s="7" t="str">
        <f t="shared" si="59"/>
        <v>Z</v>
      </c>
      <c r="P698" s="7" t="str">
        <f t="shared" si="60"/>
        <v>CZ</v>
      </c>
      <c r="S698" s="6" t="s">
        <v>792</v>
      </c>
      <c r="T698" s="25">
        <v>1</v>
      </c>
      <c r="U698" s="7" t="str">
        <v>CZ</v>
      </c>
      <c r="Y698" t="e">
        <v>#N/A</v>
      </c>
      <c r="Z698" s="104"/>
    </row>
    <row r="699" spans="1:26">
      <c r="A699" s="133" t="s">
        <v>891</v>
      </c>
      <c r="B699" s="7">
        <v>3190914</v>
      </c>
      <c r="C699" s="7">
        <v>3190914</v>
      </c>
      <c r="D699" s="7"/>
      <c r="E699" s="7"/>
      <c r="F699" s="7"/>
      <c r="G699" s="7"/>
      <c r="H699" s="7"/>
      <c r="I699" s="7"/>
      <c r="J699" s="7"/>
      <c r="K699" s="7">
        <v>6381828</v>
      </c>
      <c r="L699" s="134">
        <f t="shared" si="61"/>
        <v>0.99783591571165597</v>
      </c>
      <c r="M699" s="7" t="str">
        <f t="shared" si="57"/>
        <v>C</v>
      </c>
      <c r="N699" s="7">
        <f t="shared" si="58"/>
        <v>0</v>
      </c>
      <c r="O699" s="7" t="str">
        <f t="shared" si="59"/>
        <v>Z</v>
      </c>
      <c r="P699" s="7" t="str">
        <f t="shared" si="60"/>
        <v>CZ</v>
      </c>
      <c r="S699" s="6" t="s">
        <v>892</v>
      </c>
      <c r="T699" s="25">
        <v>1</v>
      </c>
      <c r="U699" s="7" t="str">
        <v>CZ</v>
      </c>
      <c r="Y699" t="e">
        <v>#N/A</v>
      </c>
      <c r="Z699" s="104"/>
    </row>
    <row r="700" spans="1:26">
      <c r="A700" s="133" t="s">
        <v>325</v>
      </c>
      <c r="B700" s="7"/>
      <c r="C700" s="7"/>
      <c r="D700" s="7">
        <v>2114500</v>
      </c>
      <c r="E700" s="7">
        <v>4229000</v>
      </c>
      <c r="F700" s="7"/>
      <c r="G700" s="7"/>
      <c r="H700" s="7"/>
      <c r="I700" s="7"/>
      <c r="J700" s="7"/>
      <c r="K700" s="7">
        <v>6343500</v>
      </c>
      <c r="L700" s="134">
        <f t="shared" si="61"/>
        <v>0.99785700592863436</v>
      </c>
      <c r="M700" s="7" t="str">
        <f t="shared" si="57"/>
        <v>C</v>
      </c>
      <c r="N700" s="7">
        <f t="shared" si="58"/>
        <v>0.33333333333333331</v>
      </c>
      <c r="O700" s="7" t="str">
        <f t="shared" si="59"/>
        <v>Y</v>
      </c>
      <c r="P700" s="7" t="str">
        <f t="shared" si="60"/>
        <v>CY</v>
      </c>
      <c r="S700" s="6" t="s">
        <v>893</v>
      </c>
      <c r="T700" s="25">
        <v>1</v>
      </c>
      <c r="U700" s="7" t="str">
        <v>CZ</v>
      </c>
      <c r="Y700" t="e">
        <v>#N/A</v>
      </c>
      <c r="Z700" s="104"/>
    </row>
    <row r="701" spans="1:26">
      <c r="A701" s="133" t="s">
        <v>894</v>
      </c>
      <c r="B701" s="7"/>
      <c r="C701" s="7">
        <v>3500000</v>
      </c>
      <c r="D701" s="7"/>
      <c r="E701" s="7">
        <v>2800000</v>
      </c>
      <c r="F701" s="7"/>
      <c r="G701" s="7"/>
      <c r="H701" s="7"/>
      <c r="I701" s="7"/>
      <c r="J701" s="7"/>
      <c r="K701" s="7">
        <v>6300000</v>
      </c>
      <c r="L701" s="134">
        <f t="shared" si="61"/>
        <v>0.99787795152128256</v>
      </c>
      <c r="M701" s="7" t="str">
        <f t="shared" si="57"/>
        <v>C</v>
      </c>
      <c r="N701" s="7">
        <f t="shared" si="58"/>
        <v>0.1111111111111111</v>
      </c>
      <c r="O701" s="7" t="str">
        <f t="shared" si="59"/>
        <v>X</v>
      </c>
      <c r="P701" s="7" t="str">
        <f t="shared" si="60"/>
        <v>CX</v>
      </c>
      <c r="S701" s="6" t="s">
        <v>696</v>
      </c>
      <c r="T701" s="25">
        <v>1</v>
      </c>
      <c r="U701" s="7" t="str">
        <v>CX</v>
      </c>
      <c r="Y701" t="e">
        <v>#N/A</v>
      </c>
      <c r="Z701" s="104"/>
    </row>
    <row r="702" spans="1:26">
      <c r="A702" s="133" t="s">
        <v>856</v>
      </c>
      <c r="B702" s="7">
        <v>5460000</v>
      </c>
      <c r="C702" s="7"/>
      <c r="D702" s="7"/>
      <c r="E702" s="7">
        <v>364000</v>
      </c>
      <c r="F702" s="7"/>
      <c r="G702" s="7">
        <v>450000</v>
      </c>
      <c r="H702" s="7"/>
      <c r="I702" s="7"/>
      <c r="J702" s="7"/>
      <c r="K702" s="7">
        <v>6274000</v>
      </c>
      <c r="L702" s="134">
        <f t="shared" si="61"/>
        <v>0.99789881067180242</v>
      </c>
      <c r="M702" s="7" t="str">
        <f t="shared" si="57"/>
        <v>C</v>
      </c>
      <c r="N702" s="7">
        <f t="shared" si="58"/>
        <v>1.1391133765821291</v>
      </c>
      <c r="O702" s="7" t="str">
        <f t="shared" si="59"/>
        <v>Z</v>
      </c>
      <c r="P702" s="7" t="str">
        <f t="shared" si="60"/>
        <v>CZ</v>
      </c>
      <c r="S702" s="6" t="s">
        <v>696</v>
      </c>
      <c r="T702" s="25">
        <v>1</v>
      </c>
      <c r="U702" s="7" t="str">
        <v>CX</v>
      </c>
      <c r="Y702" t="e">
        <v>#N/A</v>
      </c>
      <c r="Z702" s="104"/>
    </row>
    <row r="703" spans="1:26">
      <c r="A703" s="133" t="s">
        <v>895</v>
      </c>
      <c r="B703" s="7"/>
      <c r="C703" s="7"/>
      <c r="D703" s="7"/>
      <c r="E703" s="7"/>
      <c r="F703" s="7">
        <v>6250000</v>
      </c>
      <c r="G703" s="7"/>
      <c r="H703" s="7"/>
      <c r="I703" s="7"/>
      <c r="J703" s="7"/>
      <c r="K703" s="7">
        <v>6250000</v>
      </c>
      <c r="L703" s="134">
        <f t="shared" si="61"/>
        <v>0.99791959002958841</v>
      </c>
      <c r="M703" s="7" t="str">
        <f t="shared" si="57"/>
        <v>C</v>
      </c>
      <c r="N703" s="7">
        <f t="shared" si="58"/>
        <v>0</v>
      </c>
      <c r="O703" s="7" t="str">
        <f t="shared" si="59"/>
        <v>Z</v>
      </c>
      <c r="P703" s="7" t="str">
        <f t="shared" si="60"/>
        <v>CZ</v>
      </c>
      <c r="S703" s="6" t="s">
        <v>896</v>
      </c>
      <c r="T703" s="25">
        <v>1</v>
      </c>
      <c r="U703" s="7" t="str">
        <v>CZ</v>
      </c>
      <c r="Y703" t="e">
        <v>#N/A</v>
      </c>
      <c r="Z703" s="104"/>
    </row>
    <row r="704" spans="1:26">
      <c r="A704" s="133" t="s">
        <v>896</v>
      </c>
      <c r="B704" s="7"/>
      <c r="C704" s="7"/>
      <c r="D704" s="7"/>
      <c r="E704" s="7"/>
      <c r="F704" s="7"/>
      <c r="G704" s="7">
        <v>6250000</v>
      </c>
      <c r="H704" s="7"/>
      <c r="I704" s="7"/>
      <c r="J704" s="7"/>
      <c r="K704" s="7">
        <v>6250000</v>
      </c>
      <c r="L704" s="134">
        <f t="shared" si="61"/>
        <v>0.9979403693873744</v>
      </c>
      <c r="M704" s="7" t="str">
        <f t="shared" si="57"/>
        <v>C</v>
      </c>
      <c r="N704" s="7">
        <f t="shared" si="58"/>
        <v>0</v>
      </c>
      <c r="O704" s="7" t="str">
        <f t="shared" si="59"/>
        <v>Z</v>
      </c>
      <c r="P704" s="7" t="str">
        <f t="shared" si="60"/>
        <v>CZ</v>
      </c>
      <c r="S704" s="6" t="s">
        <v>773</v>
      </c>
      <c r="T704" s="25">
        <v>3</v>
      </c>
      <c r="U704" s="7" t="str">
        <v>CZ</v>
      </c>
      <c r="Y704" t="e">
        <v>#N/A</v>
      </c>
      <c r="Z704" s="104"/>
    </row>
    <row r="705" spans="1:26">
      <c r="A705" s="133" t="s">
        <v>897</v>
      </c>
      <c r="B705" s="7">
        <v>6060000</v>
      </c>
      <c r="C705" s="7"/>
      <c r="D705" s="7"/>
      <c r="E705" s="7"/>
      <c r="F705" s="7"/>
      <c r="G705" s="7"/>
      <c r="H705" s="7"/>
      <c r="I705" s="7"/>
      <c r="J705" s="7"/>
      <c r="K705" s="7">
        <v>6060000</v>
      </c>
      <c r="L705" s="134">
        <f t="shared" si="61"/>
        <v>0.99796051705268363</v>
      </c>
      <c r="M705" s="7" t="str">
        <f t="shared" si="57"/>
        <v>C</v>
      </c>
      <c r="N705" s="7">
        <f t="shared" si="58"/>
        <v>0</v>
      </c>
      <c r="O705" s="7" t="str">
        <f t="shared" si="59"/>
        <v>Z</v>
      </c>
      <c r="P705" s="7" t="str">
        <f t="shared" si="60"/>
        <v>CZ</v>
      </c>
      <c r="S705" s="6" t="s">
        <v>773</v>
      </c>
      <c r="T705" s="25">
        <v>1</v>
      </c>
      <c r="U705" s="7" t="str">
        <v>CZ</v>
      </c>
      <c r="Y705" t="e">
        <v>#N/A</v>
      </c>
      <c r="Z705" s="104"/>
    </row>
    <row r="706" spans="1:26">
      <c r="A706" s="133" t="s">
        <v>898</v>
      </c>
      <c r="B706" s="7"/>
      <c r="C706" s="7"/>
      <c r="D706" s="7">
        <v>3750000</v>
      </c>
      <c r="E706" s="7"/>
      <c r="F706" s="7">
        <v>2300000</v>
      </c>
      <c r="G706" s="7"/>
      <c r="H706" s="7"/>
      <c r="I706" s="7"/>
      <c r="J706" s="7"/>
      <c r="K706" s="7">
        <v>6050000</v>
      </c>
      <c r="L706" s="134">
        <f t="shared" si="61"/>
        <v>0.99798063147102045</v>
      </c>
      <c r="M706" s="7" t="str">
        <f t="shared" si="57"/>
        <v>C</v>
      </c>
      <c r="N706" s="7">
        <f t="shared" si="58"/>
        <v>0.23966942148760331</v>
      </c>
      <c r="O706" s="7" t="str">
        <f t="shared" si="59"/>
        <v>X</v>
      </c>
      <c r="P706" s="7" t="str">
        <f t="shared" si="60"/>
        <v>CX</v>
      </c>
      <c r="S706" s="6" t="s">
        <v>556</v>
      </c>
      <c r="T706" s="25">
        <v>1</v>
      </c>
      <c r="U706" s="7" t="str">
        <v>CZ</v>
      </c>
      <c r="Y706" t="e">
        <v>#N/A</v>
      </c>
      <c r="Z706" s="104"/>
    </row>
    <row r="707" spans="1:26">
      <c r="A707" s="133" t="s">
        <v>831</v>
      </c>
      <c r="B707" s="7"/>
      <c r="C707" s="7"/>
      <c r="D707" s="7"/>
      <c r="E707" s="7"/>
      <c r="F707" s="7"/>
      <c r="G707" s="7"/>
      <c r="H707" s="7">
        <v>6029428.5999999996</v>
      </c>
      <c r="I707" s="7"/>
      <c r="J707" s="7"/>
      <c r="K707" s="7">
        <v>6029428.5999999996</v>
      </c>
      <c r="L707" s="134">
        <f t="shared" si="61"/>
        <v>0.99800067749568033</v>
      </c>
      <c r="M707" s="7" t="str">
        <f t="shared" si="57"/>
        <v>C</v>
      </c>
      <c r="N707" s="7">
        <f t="shared" si="58"/>
        <v>0</v>
      </c>
      <c r="O707" s="7" t="str">
        <f t="shared" si="59"/>
        <v>Z</v>
      </c>
      <c r="P707" s="7" t="str">
        <f t="shared" si="60"/>
        <v>CZ</v>
      </c>
      <c r="S707" s="6" t="s">
        <v>532</v>
      </c>
      <c r="T707" s="25">
        <v>1</v>
      </c>
      <c r="U707" s="7" t="str">
        <v>BZ</v>
      </c>
      <c r="Y707" t="e">
        <v>#N/A</v>
      </c>
      <c r="Z707" s="104"/>
    </row>
    <row r="708" spans="1:26">
      <c r="A708" s="133" t="s">
        <v>899</v>
      </c>
      <c r="B708" s="7"/>
      <c r="C708" s="7">
        <v>6000000</v>
      </c>
      <c r="D708" s="7"/>
      <c r="E708" s="7"/>
      <c r="F708" s="7"/>
      <c r="G708" s="7"/>
      <c r="H708" s="7"/>
      <c r="I708" s="7"/>
      <c r="J708" s="7"/>
      <c r="K708" s="7">
        <v>6000000</v>
      </c>
      <c r="L708" s="134">
        <f t="shared" si="61"/>
        <v>0.99802062567915484</v>
      </c>
      <c r="M708" s="7" t="str">
        <f t="shared" si="57"/>
        <v>C</v>
      </c>
      <c r="N708" s="7">
        <f t="shared" si="58"/>
        <v>0</v>
      </c>
      <c r="O708" s="7" t="str">
        <f t="shared" si="59"/>
        <v>Z</v>
      </c>
      <c r="P708" s="7" t="str">
        <f t="shared" si="60"/>
        <v>CZ</v>
      </c>
      <c r="S708" s="6" t="s">
        <v>900</v>
      </c>
      <c r="T708" s="25">
        <v>1</v>
      </c>
      <c r="U708" s="7" t="str">
        <v>CZ</v>
      </c>
      <c r="Y708" t="e">
        <v>#N/A</v>
      </c>
      <c r="Z708" s="104"/>
    </row>
    <row r="709" spans="1:26">
      <c r="A709" s="133" t="s">
        <v>482</v>
      </c>
      <c r="B709" s="7"/>
      <c r="C709" s="7"/>
      <c r="D709" s="7"/>
      <c r="E709" s="7"/>
      <c r="F709" s="7"/>
      <c r="G709" s="7"/>
      <c r="H709" s="7"/>
      <c r="I709" s="7">
        <v>6000000</v>
      </c>
      <c r="J709" s="7"/>
      <c r="K709" s="7">
        <v>6000000</v>
      </c>
      <c r="L709" s="134">
        <f t="shared" si="61"/>
        <v>0.99804057386262934</v>
      </c>
      <c r="M709" s="7" t="str">
        <f t="shared" ref="M709:M772" si="62">IF(L709&lt;=0.8,"A",IF(L709&lt;=0.95,"B","C"))</f>
        <v>C</v>
      </c>
      <c r="N709" s="7">
        <f t="shared" ref="N709:N772" si="63">STDEVP(B709:J709)/AVERAGE(B709:J709)</f>
        <v>0</v>
      </c>
      <c r="O709" s="7" t="str">
        <f t="shared" ref="O709:O772" si="64">IF(N709=0,"Z",IF(N709&lt;=30%,"X",IF(N709&lt;=60%,"Y","Z")))</f>
        <v>Z</v>
      </c>
      <c r="P709" s="7" t="str">
        <f t="shared" ref="P709:P772" si="65">M709&amp;O709</f>
        <v>CZ</v>
      </c>
      <c r="S709" s="6" t="s">
        <v>536</v>
      </c>
      <c r="T709" s="25">
        <v>1</v>
      </c>
      <c r="U709" s="7" t="str">
        <v>BZ</v>
      </c>
      <c r="Y709" t="e">
        <v>#N/A</v>
      </c>
      <c r="Z709" s="104"/>
    </row>
    <row r="710" spans="1:26">
      <c r="A710" s="133" t="s">
        <v>901</v>
      </c>
      <c r="B710" s="7"/>
      <c r="C710" s="7"/>
      <c r="D710" s="7"/>
      <c r="E710" s="7"/>
      <c r="F710" s="7"/>
      <c r="G710" s="7"/>
      <c r="H710" s="7"/>
      <c r="I710" s="7">
        <v>5975000</v>
      </c>
      <c r="J710" s="7"/>
      <c r="K710" s="7">
        <v>5975000</v>
      </c>
      <c r="L710" s="134">
        <f t="shared" ref="L710:L773" si="66">K710/$K$932+L709</f>
        <v>0.99806043892867269</v>
      </c>
      <c r="M710" s="7" t="str">
        <f t="shared" si="62"/>
        <v>C</v>
      </c>
      <c r="N710" s="7">
        <f t="shared" si="63"/>
        <v>0</v>
      </c>
      <c r="O710" s="7" t="str">
        <f t="shared" si="64"/>
        <v>Z</v>
      </c>
      <c r="P710" s="7" t="str">
        <f t="shared" si="65"/>
        <v>CZ</v>
      </c>
      <c r="S710" s="6" t="s">
        <v>575</v>
      </c>
      <c r="T710" s="25">
        <v>1</v>
      </c>
      <c r="U710" s="7" t="str">
        <v>CZ</v>
      </c>
      <c r="Y710" t="e">
        <v>#N/A</v>
      </c>
      <c r="Z710" s="104"/>
    </row>
    <row r="711" spans="1:26">
      <c r="A711" s="133" t="s">
        <v>902</v>
      </c>
      <c r="B711" s="7"/>
      <c r="C711" s="7"/>
      <c r="D711" s="7"/>
      <c r="E711" s="7">
        <v>5957000</v>
      </c>
      <c r="F711" s="7"/>
      <c r="G711" s="7"/>
      <c r="H711" s="7"/>
      <c r="I711" s="7"/>
      <c r="J711" s="7"/>
      <c r="K711" s="7">
        <v>5957000</v>
      </c>
      <c r="L711" s="134">
        <f t="shared" si="66"/>
        <v>0.99808024415016561</v>
      </c>
      <c r="M711" s="7" t="str">
        <f t="shared" si="62"/>
        <v>C</v>
      </c>
      <c r="N711" s="7">
        <f t="shared" si="63"/>
        <v>0</v>
      </c>
      <c r="O711" s="7" t="str">
        <f t="shared" si="64"/>
        <v>Z</v>
      </c>
      <c r="P711" s="7" t="str">
        <f t="shared" si="65"/>
        <v>CZ</v>
      </c>
      <c r="S711" s="6" t="s">
        <v>442</v>
      </c>
      <c r="T711" s="25">
        <v>1</v>
      </c>
      <c r="U711" s="7" t="str">
        <v>BZ</v>
      </c>
      <c r="Y711" t="e">
        <v>#N/A</v>
      </c>
      <c r="Z711" s="104"/>
    </row>
    <row r="712" spans="1:26">
      <c r="A712" s="133" t="s">
        <v>903</v>
      </c>
      <c r="B712" s="7"/>
      <c r="C712" s="7"/>
      <c r="D712" s="7"/>
      <c r="E712" s="7">
        <v>5818184</v>
      </c>
      <c r="F712" s="7"/>
      <c r="G712" s="7"/>
      <c r="H712" s="7"/>
      <c r="I712" s="7"/>
      <c r="J712" s="7"/>
      <c r="K712" s="7">
        <v>5818184</v>
      </c>
      <c r="L712" s="134">
        <f t="shared" si="66"/>
        <v>0.99809958785048569</v>
      </c>
      <c r="M712" s="7" t="str">
        <f t="shared" si="62"/>
        <v>C</v>
      </c>
      <c r="N712" s="7">
        <f t="shared" si="63"/>
        <v>0</v>
      </c>
      <c r="O712" s="7" t="str">
        <f t="shared" si="64"/>
        <v>Z</v>
      </c>
      <c r="P712" s="7" t="str">
        <f t="shared" si="65"/>
        <v>CZ</v>
      </c>
      <c r="S712" s="6" t="s">
        <v>499</v>
      </c>
      <c r="T712" s="25">
        <v>1</v>
      </c>
      <c r="U712" s="7" t="str">
        <v>BZ</v>
      </c>
      <c r="Y712" t="e">
        <v>#N/A</v>
      </c>
      <c r="Z712" s="104"/>
    </row>
    <row r="713" spans="1:26">
      <c r="A713" s="133" t="s">
        <v>844</v>
      </c>
      <c r="B713" s="7">
        <v>800000</v>
      </c>
      <c r="C713" s="7"/>
      <c r="D713" s="7"/>
      <c r="E713" s="7">
        <v>1000000</v>
      </c>
      <c r="F713" s="7"/>
      <c r="G713" s="7">
        <v>4000000</v>
      </c>
      <c r="H713" s="7"/>
      <c r="I713" s="7"/>
      <c r="J713" s="7"/>
      <c r="K713" s="7">
        <v>5800000</v>
      </c>
      <c r="L713" s="134">
        <f t="shared" si="66"/>
        <v>0.99811887109451103</v>
      </c>
      <c r="M713" s="7" t="str">
        <f t="shared" si="62"/>
        <v>C</v>
      </c>
      <c r="N713" s="7">
        <f t="shared" si="63"/>
        <v>0.75705166896897069</v>
      </c>
      <c r="O713" s="7" t="str">
        <f t="shared" si="64"/>
        <v>Z</v>
      </c>
      <c r="P713" s="7" t="str">
        <f t="shared" si="65"/>
        <v>CZ</v>
      </c>
      <c r="S713" s="6" t="s">
        <v>835</v>
      </c>
      <c r="T713" s="25">
        <v>1</v>
      </c>
      <c r="U713" s="7" t="str">
        <v>CZ</v>
      </c>
      <c r="Y713" t="e">
        <v>#N/A</v>
      </c>
      <c r="Z713" s="104"/>
    </row>
    <row r="714" spans="1:26">
      <c r="A714" s="133" t="s">
        <v>749</v>
      </c>
      <c r="B714" s="7"/>
      <c r="C714" s="7"/>
      <c r="D714" s="7"/>
      <c r="E714" s="7"/>
      <c r="F714" s="7"/>
      <c r="G714" s="7"/>
      <c r="H714" s="7"/>
      <c r="I714" s="7">
        <v>5790000</v>
      </c>
      <c r="J714" s="7"/>
      <c r="K714" s="7">
        <v>5790000</v>
      </c>
      <c r="L714" s="134">
        <f t="shared" si="66"/>
        <v>0.99813812109156397</v>
      </c>
      <c r="M714" s="7" t="str">
        <f t="shared" si="62"/>
        <v>C</v>
      </c>
      <c r="N714" s="7">
        <f t="shared" si="63"/>
        <v>0</v>
      </c>
      <c r="O714" s="7" t="str">
        <f t="shared" si="64"/>
        <v>Z</v>
      </c>
      <c r="P714" s="7" t="str">
        <f t="shared" si="65"/>
        <v>CZ</v>
      </c>
      <c r="S714" s="6" t="s">
        <v>772</v>
      </c>
      <c r="T714" s="25">
        <v>1</v>
      </c>
      <c r="U714" s="7" t="str">
        <v>CZ</v>
      </c>
      <c r="Y714" t="e">
        <v>#N/A</v>
      </c>
      <c r="Z714" s="104"/>
    </row>
    <row r="715" spans="1:26">
      <c r="A715" s="133" t="s">
        <v>904</v>
      </c>
      <c r="B715" s="7"/>
      <c r="C715" s="7"/>
      <c r="D715" s="7"/>
      <c r="E715" s="7">
        <v>3780000</v>
      </c>
      <c r="F715" s="7"/>
      <c r="G715" s="7"/>
      <c r="H715" s="7"/>
      <c r="I715" s="7">
        <v>1980000</v>
      </c>
      <c r="J715" s="7"/>
      <c r="K715" s="7">
        <v>5760000</v>
      </c>
      <c r="L715" s="134">
        <f t="shared" si="66"/>
        <v>0.99815727134769949</v>
      </c>
      <c r="M715" s="7" t="str">
        <f t="shared" si="62"/>
        <v>C</v>
      </c>
      <c r="N715" s="7">
        <f t="shared" si="63"/>
        <v>0.3125</v>
      </c>
      <c r="O715" s="7" t="str">
        <f t="shared" si="64"/>
        <v>Y</v>
      </c>
      <c r="P715" s="7" t="str">
        <f t="shared" si="65"/>
        <v>CY</v>
      </c>
      <c r="S715" s="6" t="s">
        <v>838</v>
      </c>
      <c r="T715" s="25">
        <v>1</v>
      </c>
      <c r="U715" s="7" t="str">
        <v>CZ</v>
      </c>
      <c r="Y715" t="e">
        <v>#N/A</v>
      </c>
      <c r="Z715" s="104"/>
    </row>
    <row r="716" spans="1:26">
      <c r="A716" s="133" t="s">
        <v>905</v>
      </c>
      <c r="B716" s="7"/>
      <c r="C716" s="7"/>
      <c r="D716" s="7">
        <v>5750000</v>
      </c>
      <c r="E716" s="7"/>
      <c r="F716" s="7"/>
      <c r="G716" s="7"/>
      <c r="H716" s="7"/>
      <c r="I716" s="7"/>
      <c r="J716" s="7"/>
      <c r="K716" s="7">
        <v>5750000</v>
      </c>
      <c r="L716" s="134">
        <f t="shared" si="66"/>
        <v>0.99817638835686251</v>
      </c>
      <c r="M716" s="7" t="str">
        <f t="shared" si="62"/>
        <v>C</v>
      </c>
      <c r="N716" s="7">
        <f t="shared" si="63"/>
        <v>0</v>
      </c>
      <c r="O716" s="7" t="str">
        <f t="shared" si="64"/>
        <v>Z</v>
      </c>
      <c r="P716" s="7" t="str">
        <f t="shared" si="65"/>
        <v>CZ</v>
      </c>
      <c r="S716" s="6" t="s">
        <v>807</v>
      </c>
      <c r="T716" s="25">
        <v>2</v>
      </c>
      <c r="U716" s="7" t="str">
        <v>CZ</v>
      </c>
      <c r="Y716" t="e">
        <v>#N/A</v>
      </c>
      <c r="Z716" s="104"/>
    </row>
    <row r="717" spans="1:26">
      <c r="A717" s="133" t="s">
        <v>852</v>
      </c>
      <c r="B717" s="7"/>
      <c r="C717" s="7"/>
      <c r="D717" s="7"/>
      <c r="E717" s="7"/>
      <c r="F717" s="7">
        <v>3592500</v>
      </c>
      <c r="G717" s="7">
        <v>2120000</v>
      </c>
      <c r="H717" s="7"/>
      <c r="I717" s="7"/>
      <c r="J717" s="7"/>
      <c r="K717" s="7">
        <v>5712500</v>
      </c>
      <c r="L717" s="134">
        <f t="shared" si="66"/>
        <v>0.9981953806898789</v>
      </c>
      <c r="M717" s="7" t="str">
        <f t="shared" si="62"/>
        <v>C</v>
      </c>
      <c r="N717" s="7">
        <f t="shared" si="63"/>
        <v>0.25776805251641138</v>
      </c>
      <c r="O717" s="7" t="str">
        <f t="shared" si="64"/>
        <v>X</v>
      </c>
      <c r="P717" s="7" t="str">
        <f t="shared" si="65"/>
        <v>CX</v>
      </c>
      <c r="S717" s="6" t="s">
        <v>827</v>
      </c>
      <c r="T717" s="25">
        <v>1</v>
      </c>
      <c r="U717" s="7" t="str">
        <v>CZ</v>
      </c>
      <c r="Y717" t="e">
        <v>#N/A</v>
      </c>
      <c r="Z717" s="104"/>
    </row>
    <row r="718" spans="1:26">
      <c r="A718" s="133" t="s">
        <v>466</v>
      </c>
      <c r="B718" s="7"/>
      <c r="C718" s="7"/>
      <c r="D718" s="7"/>
      <c r="E718" s="7"/>
      <c r="F718" s="7"/>
      <c r="G718" s="7"/>
      <c r="H718" s="7"/>
      <c r="I718" s="7">
        <v>5512000</v>
      </c>
      <c r="J718" s="7"/>
      <c r="K718" s="7">
        <v>5512000</v>
      </c>
      <c r="L718" s="134">
        <f t="shared" si="66"/>
        <v>0.99821370642109752</v>
      </c>
      <c r="M718" s="7" t="str">
        <f t="shared" si="62"/>
        <v>C</v>
      </c>
      <c r="N718" s="7">
        <f t="shared" si="63"/>
        <v>0</v>
      </c>
      <c r="O718" s="7" t="str">
        <f t="shared" si="64"/>
        <v>Z</v>
      </c>
      <c r="P718" s="7" t="str">
        <f t="shared" si="65"/>
        <v>CZ</v>
      </c>
      <c r="S718" s="6" t="s">
        <v>530</v>
      </c>
      <c r="T718" s="25">
        <v>3</v>
      </c>
      <c r="U718" s="7" t="str">
        <v>BZ</v>
      </c>
      <c r="Y718" t="e">
        <v>#N/A</v>
      </c>
      <c r="Z718" s="104"/>
    </row>
    <row r="719" spans="1:26">
      <c r="A719" s="133" t="s">
        <v>906</v>
      </c>
      <c r="B719" s="7"/>
      <c r="C719" s="7"/>
      <c r="D719" s="7"/>
      <c r="E719" s="7"/>
      <c r="F719" s="7"/>
      <c r="G719" s="7">
        <v>5500000</v>
      </c>
      <c r="H719" s="7"/>
      <c r="I719" s="7"/>
      <c r="J719" s="7"/>
      <c r="K719" s="7">
        <v>5500000</v>
      </c>
      <c r="L719" s="134">
        <f t="shared" si="66"/>
        <v>0.99823199225594916</v>
      </c>
      <c r="M719" s="7" t="str">
        <f t="shared" si="62"/>
        <v>C</v>
      </c>
      <c r="N719" s="7">
        <f t="shared" si="63"/>
        <v>0</v>
      </c>
      <c r="O719" s="7" t="str">
        <f t="shared" si="64"/>
        <v>Z</v>
      </c>
      <c r="P719" s="7" t="str">
        <f t="shared" si="65"/>
        <v>CZ</v>
      </c>
      <c r="S719" s="6" t="s">
        <v>534</v>
      </c>
      <c r="T719" s="25">
        <v>3</v>
      </c>
      <c r="U719" s="7" t="str">
        <v>BZ</v>
      </c>
      <c r="Y719" t="e">
        <v>#N/A</v>
      </c>
      <c r="Z719" s="104"/>
    </row>
    <row r="720" spans="1:26">
      <c r="A720" s="133" t="s">
        <v>907</v>
      </c>
      <c r="B720" s="7">
        <v>5420000</v>
      </c>
      <c r="C720" s="7"/>
      <c r="D720" s="7"/>
      <c r="E720" s="7"/>
      <c r="F720" s="7"/>
      <c r="G720" s="7"/>
      <c r="H720" s="7"/>
      <c r="I720" s="7"/>
      <c r="J720" s="7"/>
      <c r="K720" s="7">
        <v>5420000</v>
      </c>
      <c r="L720" s="134">
        <f t="shared" si="66"/>
        <v>0.99825001211502118</v>
      </c>
      <c r="M720" s="7" t="str">
        <f t="shared" si="62"/>
        <v>C</v>
      </c>
      <c r="N720" s="7">
        <f t="shared" si="63"/>
        <v>0</v>
      </c>
      <c r="O720" s="7" t="str">
        <f t="shared" si="64"/>
        <v>Z</v>
      </c>
      <c r="P720" s="7" t="str">
        <f t="shared" si="65"/>
        <v>CZ</v>
      </c>
      <c r="S720" s="6" t="s">
        <v>908</v>
      </c>
      <c r="T720" s="25">
        <v>1</v>
      </c>
      <c r="U720" s="7" t="str">
        <v>CZ</v>
      </c>
      <c r="Y720" t="e">
        <v>#N/A</v>
      </c>
      <c r="Z720" s="104"/>
    </row>
    <row r="721" spans="1:26">
      <c r="A721" s="133" t="s">
        <v>909</v>
      </c>
      <c r="B721" s="7">
        <v>5420000</v>
      </c>
      <c r="C721" s="7"/>
      <c r="D721" s="7"/>
      <c r="E721" s="7"/>
      <c r="F721" s="7"/>
      <c r="G721" s="7"/>
      <c r="H721" s="7"/>
      <c r="I721" s="7"/>
      <c r="J721" s="7"/>
      <c r="K721" s="7">
        <v>5420000</v>
      </c>
      <c r="L721" s="134">
        <f t="shared" si="66"/>
        <v>0.9982680319740932</v>
      </c>
      <c r="M721" s="7" t="str">
        <f t="shared" si="62"/>
        <v>C</v>
      </c>
      <c r="N721" s="7">
        <f t="shared" si="63"/>
        <v>0</v>
      </c>
      <c r="O721" s="7" t="str">
        <f t="shared" si="64"/>
        <v>Z</v>
      </c>
      <c r="P721" s="7" t="str">
        <f t="shared" si="65"/>
        <v>CZ</v>
      </c>
      <c r="S721" s="6" t="s">
        <v>910</v>
      </c>
      <c r="T721" s="25">
        <v>1</v>
      </c>
      <c r="U721" s="7" t="str">
        <v>CZ</v>
      </c>
      <c r="Y721" t="e">
        <v>#N/A</v>
      </c>
      <c r="Z721" s="104"/>
    </row>
    <row r="722" spans="1:26">
      <c r="A722" s="133" t="s">
        <v>708</v>
      </c>
      <c r="B722" s="7"/>
      <c r="C722" s="7"/>
      <c r="D722" s="7"/>
      <c r="E722" s="7"/>
      <c r="F722" s="7"/>
      <c r="G722" s="7"/>
      <c r="H722" s="7">
        <v>5400000</v>
      </c>
      <c r="I722" s="7"/>
      <c r="J722" s="7"/>
      <c r="K722" s="7">
        <v>5400000</v>
      </c>
      <c r="L722" s="134">
        <f t="shared" si="66"/>
        <v>0.99828598533922031</v>
      </c>
      <c r="M722" s="7" t="str">
        <f t="shared" si="62"/>
        <v>C</v>
      </c>
      <c r="N722" s="7">
        <f t="shared" si="63"/>
        <v>0</v>
      </c>
      <c r="O722" s="7" t="str">
        <f t="shared" si="64"/>
        <v>Z</v>
      </c>
      <c r="P722" s="7" t="str">
        <f t="shared" si="65"/>
        <v>CZ</v>
      </c>
      <c r="S722" s="6" t="s">
        <v>782</v>
      </c>
      <c r="T722" s="25">
        <v>1</v>
      </c>
      <c r="U722" s="7" t="str">
        <v>CZ</v>
      </c>
      <c r="Y722" t="e">
        <v>#N/A</v>
      </c>
      <c r="Z722" s="104"/>
    </row>
    <row r="723" spans="1:26">
      <c r="A723" s="133" t="s">
        <v>911</v>
      </c>
      <c r="B723" s="7"/>
      <c r="C723" s="7"/>
      <c r="D723" s="7"/>
      <c r="E723" s="7">
        <v>5400000</v>
      </c>
      <c r="F723" s="7"/>
      <c r="G723" s="7"/>
      <c r="H723" s="7"/>
      <c r="I723" s="7"/>
      <c r="J723" s="7"/>
      <c r="K723" s="7">
        <v>5400000</v>
      </c>
      <c r="L723" s="134">
        <f t="shared" si="66"/>
        <v>0.99830393870434742</v>
      </c>
      <c r="M723" s="7" t="str">
        <f t="shared" si="62"/>
        <v>C</v>
      </c>
      <c r="N723" s="7">
        <f t="shared" si="63"/>
        <v>0</v>
      </c>
      <c r="O723" s="7" t="str">
        <f t="shared" si="64"/>
        <v>Z</v>
      </c>
      <c r="P723" s="7" t="str">
        <f t="shared" si="65"/>
        <v>CZ</v>
      </c>
      <c r="S723" s="6" t="s">
        <v>829</v>
      </c>
      <c r="T723" s="25">
        <v>1</v>
      </c>
      <c r="U723" s="7" t="str">
        <v>CZ</v>
      </c>
      <c r="Y723" t="e">
        <v>#N/A</v>
      </c>
      <c r="Z723" s="104"/>
    </row>
    <row r="724" spans="1:26">
      <c r="A724" s="133" t="s">
        <v>912</v>
      </c>
      <c r="B724" s="7"/>
      <c r="C724" s="7"/>
      <c r="D724" s="7"/>
      <c r="E724" s="7"/>
      <c r="F724" s="7">
        <v>5400000</v>
      </c>
      <c r="G724" s="7"/>
      <c r="H724" s="7"/>
      <c r="I724" s="7"/>
      <c r="J724" s="7"/>
      <c r="K724" s="7">
        <v>5400000</v>
      </c>
      <c r="L724" s="134">
        <f t="shared" si="66"/>
        <v>0.99832189206947453</v>
      </c>
      <c r="M724" s="7" t="str">
        <f t="shared" si="62"/>
        <v>C</v>
      </c>
      <c r="N724" s="7">
        <f t="shared" si="63"/>
        <v>0</v>
      </c>
      <c r="O724" s="7" t="str">
        <f t="shared" si="64"/>
        <v>Z</v>
      </c>
      <c r="P724" s="7" t="str">
        <f t="shared" si="65"/>
        <v>CZ</v>
      </c>
      <c r="S724" s="6" t="s">
        <v>913</v>
      </c>
      <c r="T724" s="25">
        <v>1</v>
      </c>
      <c r="U724" s="7" t="str">
        <v>CZ</v>
      </c>
      <c r="Y724" t="e">
        <v>#N/A</v>
      </c>
      <c r="Z724" s="104"/>
    </row>
    <row r="725" spans="1:26">
      <c r="A725" s="133" t="s">
        <v>862</v>
      </c>
      <c r="B725" s="7"/>
      <c r="C725" s="7"/>
      <c r="D725" s="7"/>
      <c r="E725" s="7"/>
      <c r="F725" s="7"/>
      <c r="G725" s="7">
        <v>5360000</v>
      </c>
      <c r="H725" s="7"/>
      <c r="I725" s="7"/>
      <c r="J725" s="7"/>
      <c r="K725" s="7">
        <v>5360000</v>
      </c>
      <c r="L725" s="134">
        <f t="shared" si="66"/>
        <v>0.99833971244671171</v>
      </c>
      <c r="M725" s="7" t="str">
        <f t="shared" si="62"/>
        <v>C</v>
      </c>
      <c r="N725" s="7">
        <f t="shared" si="63"/>
        <v>0</v>
      </c>
      <c r="O725" s="7" t="str">
        <f t="shared" si="64"/>
        <v>Z</v>
      </c>
      <c r="P725" s="7" t="str">
        <f t="shared" si="65"/>
        <v>CZ</v>
      </c>
      <c r="S725" s="6" t="s">
        <v>914</v>
      </c>
      <c r="T725" s="25">
        <v>1</v>
      </c>
      <c r="U725" s="7" t="str">
        <v>CZ</v>
      </c>
      <c r="Y725" t="e">
        <v>#N/A</v>
      </c>
      <c r="Z725" s="104"/>
    </row>
    <row r="726" spans="1:26">
      <c r="A726" s="133" t="s">
        <v>668</v>
      </c>
      <c r="B726" s="7"/>
      <c r="C726" s="7"/>
      <c r="D726" s="7"/>
      <c r="E726" s="7"/>
      <c r="F726" s="7"/>
      <c r="G726" s="7"/>
      <c r="H726" s="7"/>
      <c r="I726" s="7"/>
      <c r="J726" s="7">
        <v>5300000</v>
      </c>
      <c r="K726" s="7">
        <v>5300000</v>
      </c>
      <c r="L726" s="134">
        <f t="shared" si="66"/>
        <v>0.99835733334211418</v>
      </c>
      <c r="M726" s="7" t="str">
        <f t="shared" si="62"/>
        <v>C</v>
      </c>
      <c r="N726" s="7">
        <f t="shared" si="63"/>
        <v>0</v>
      </c>
      <c r="O726" s="7" t="str">
        <f t="shared" si="64"/>
        <v>Z</v>
      </c>
      <c r="P726" s="7" t="str">
        <f t="shared" si="65"/>
        <v>CZ</v>
      </c>
      <c r="S726" s="6" t="s">
        <v>550</v>
      </c>
      <c r="T726" s="25">
        <v>1</v>
      </c>
      <c r="U726" s="7" t="str">
        <v>CZ</v>
      </c>
      <c r="Y726" t="e">
        <v>#N/A</v>
      </c>
      <c r="Z726" s="104"/>
    </row>
    <row r="727" spans="1:26">
      <c r="A727" s="133" t="s">
        <v>915</v>
      </c>
      <c r="B727" s="7">
        <v>5300000</v>
      </c>
      <c r="C727" s="7"/>
      <c r="D727" s="7"/>
      <c r="E727" s="7"/>
      <c r="F727" s="7"/>
      <c r="G727" s="7"/>
      <c r="H727" s="7"/>
      <c r="I727" s="7"/>
      <c r="J727" s="7"/>
      <c r="K727" s="7">
        <v>5300000</v>
      </c>
      <c r="L727" s="134">
        <f t="shared" si="66"/>
        <v>0.99837495423751665</v>
      </c>
      <c r="M727" s="7" t="str">
        <f t="shared" si="62"/>
        <v>C</v>
      </c>
      <c r="N727" s="7">
        <f t="shared" si="63"/>
        <v>0</v>
      </c>
      <c r="O727" s="7" t="str">
        <f t="shared" si="64"/>
        <v>Z</v>
      </c>
      <c r="P727" s="7" t="str">
        <f t="shared" si="65"/>
        <v>CZ</v>
      </c>
      <c r="S727" s="6" t="s">
        <v>239</v>
      </c>
      <c r="T727" s="7"/>
      <c r="U727" s="7" t="str">
        <v>AZ</v>
      </c>
      <c r="Y727" t="e">
        <v>#N/A</v>
      </c>
      <c r="Z727" s="104"/>
    </row>
    <row r="728" spans="1:26">
      <c r="A728" s="133" t="s">
        <v>227</v>
      </c>
      <c r="B728" s="7"/>
      <c r="C728" s="7"/>
      <c r="D728" s="7"/>
      <c r="E728" s="7"/>
      <c r="F728" s="7"/>
      <c r="G728" s="7">
        <v>520000</v>
      </c>
      <c r="H728" s="7"/>
      <c r="I728" s="7">
        <v>4760000</v>
      </c>
      <c r="J728" s="7"/>
      <c r="K728" s="7">
        <v>5280000</v>
      </c>
      <c r="L728" s="134">
        <f t="shared" si="66"/>
        <v>0.99839250863897422</v>
      </c>
      <c r="M728" s="7" t="str">
        <f t="shared" si="62"/>
        <v>C</v>
      </c>
      <c r="N728" s="7">
        <f t="shared" si="63"/>
        <v>0.80303030303030298</v>
      </c>
      <c r="O728" s="7" t="str">
        <f t="shared" si="64"/>
        <v>Z</v>
      </c>
      <c r="P728" s="7" t="str">
        <f t="shared" si="65"/>
        <v>CZ</v>
      </c>
      <c r="S728" s="6" t="s">
        <v>278</v>
      </c>
      <c r="T728" s="7"/>
      <c r="U728" s="7" t="str">
        <v>AY</v>
      </c>
      <c r="Y728" t="e">
        <v>#N/A</v>
      </c>
      <c r="Z728" s="104"/>
    </row>
    <row r="729" spans="1:26">
      <c r="A729" s="133" t="s">
        <v>916</v>
      </c>
      <c r="B729" s="7"/>
      <c r="C729" s="7"/>
      <c r="D729" s="7">
        <v>5250000</v>
      </c>
      <c r="E729" s="7"/>
      <c r="F729" s="7"/>
      <c r="G729" s="7"/>
      <c r="H729" s="7"/>
      <c r="I729" s="7"/>
      <c r="J729" s="7"/>
      <c r="K729" s="7">
        <v>5250000</v>
      </c>
      <c r="L729" s="134">
        <f t="shared" si="66"/>
        <v>0.99840996329951437</v>
      </c>
      <c r="M729" s="7" t="str">
        <f t="shared" si="62"/>
        <v>C</v>
      </c>
      <c r="N729" s="7">
        <f t="shared" si="63"/>
        <v>0</v>
      </c>
      <c r="O729" s="7" t="str">
        <f t="shared" si="64"/>
        <v>Z</v>
      </c>
      <c r="P729" s="7" t="str">
        <f t="shared" si="65"/>
        <v>CZ</v>
      </c>
      <c r="S729" s="6" t="s">
        <v>210</v>
      </c>
      <c r="T729" s="7"/>
      <c r="U729" s="7" t="str">
        <v>AY</v>
      </c>
      <c r="Y729" t="e">
        <v>#N/A</v>
      </c>
      <c r="Z729" s="104"/>
    </row>
    <row r="730" spans="1:26">
      <c r="A730" s="133" t="s">
        <v>860</v>
      </c>
      <c r="B730" s="7">
        <v>636000.00000000116</v>
      </c>
      <c r="C730" s="7"/>
      <c r="D730" s="7"/>
      <c r="E730" s="7"/>
      <c r="F730" s="7">
        <v>3350000</v>
      </c>
      <c r="G730" s="7">
        <v>1260000</v>
      </c>
      <c r="H730" s="7"/>
      <c r="I730" s="7"/>
      <c r="J730" s="7"/>
      <c r="K730" s="7">
        <v>5246000.0000000009</v>
      </c>
      <c r="L730" s="134">
        <f t="shared" si="66"/>
        <v>0.99842740466126556</v>
      </c>
      <c r="M730" s="7" t="str">
        <f t="shared" si="62"/>
        <v>C</v>
      </c>
      <c r="N730" s="7">
        <f t="shared" si="63"/>
        <v>0.66371500840932518</v>
      </c>
      <c r="O730" s="7" t="str">
        <f t="shared" si="64"/>
        <v>Z</v>
      </c>
      <c r="P730" s="7" t="str">
        <f t="shared" si="65"/>
        <v>CZ</v>
      </c>
      <c r="S730" s="6" t="s">
        <v>313</v>
      </c>
      <c r="T730" s="7"/>
      <c r="U730" s="7" t="str">
        <v>BY</v>
      </c>
      <c r="Y730" t="e">
        <v>#N/A</v>
      </c>
      <c r="Z730" s="104"/>
    </row>
    <row r="731" spans="1:26">
      <c r="A731" s="133" t="s">
        <v>917</v>
      </c>
      <c r="B731" s="7">
        <v>5200000</v>
      </c>
      <c r="C731" s="7"/>
      <c r="D731" s="7"/>
      <c r="E731" s="7"/>
      <c r="F731" s="7"/>
      <c r="G731" s="7"/>
      <c r="H731" s="7"/>
      <c r="I731" s="7"/>
      <c r="J731" s="7"/>
      <c r="K731" s="7">
        <v>5200000</v>
      </c>
      <c r="L731" s="134">
        <f t="shared" si="66"/>
        <v>0.9984446930869435</v>
      </c>
      <c r="M731" s="7" t="str">
        <f t="shared" si="62"/>
        <v>C</v>
      </c>
      <c r="N731" s="7">
        <f t="shared" si="63"/>
        <v>0</v>
      </c>
      <c r="O731" s="7" t="str">
        <f t="shared" si="64"/>
        <v>Z</v>
      </c>
      <c r="P731" s="7" t="str">
        <f t="shared" si="65"/>
        <v>CZ</v>
      </c>
      <c r="S731" s="6" t="s">
        <v>240</v>
      </c>
      <c r="T731" s="7"/>
      <c r="U731" s="7" t="str">
        <v>BZ</v>
      </c>
      <c r="Y731" t="e">
        <v>#N/A</v>
      </c>
      <c r="Z731" s="104"/>
    </row>
    <row r="732" spans="1:26">
      <c r="A732" s="133" t="s">
        <v>918</v>
      </c>
      <c r="B732" s="7"/>
      <c r="C732" s="7"/>
      <c r="D732" s="7"/>
      <c r="E732" s="7">
        <v>2595321.06</v>
      </c>
      <c r="F732" s="7"/>
      <c r="G732" s="7"/>
      <c r="H732" s="7"/>
      <c r="I732" s="7">
        <v>2593500</v>
      </c>
      <c r="J732" s="7"/>
      <c r="K732" s="7">
        <v>5188821.0600000005</v>
      </c>
      <c r="L732" s="134">
        <f t="shared" si="66"/>
        <v>0.99846194434603042</v>
      </c>
      <c r="M732" s="7" t="str">
        <f t="shared" si="62"/>
        <v>C</v>
      </c>
      <c r="N732" s="7">
        <f t="shared" si="63"/>
        <v>3.5095833503267034E-4</v>
      </c>
      <c r="O732" s="7" t="str">
        <f t="shared" si="64"/>
        <v>X</v>
      </c>
      <c r="P732" s="7" t="str">
        <f t="shared" si="65"/>
        <v>CX</v>
      </c>
      <c r="S732" s="6" t="s">
        <v>573</v>
      </c>
      <c r="T732" s="7"/>
      <c r="U732" s="7" t="str">
        <v>CX</v>
      </c>
      <c r="Y732" t="e">
        <v>#N/A</v>
      </c>
      <c r="Z732" s="104"/>
    </row>
    <row r="733" spans="1:26">
      <c r="A733" s="133" t="s">
        <v>919</v>
      </c>
      <c r="B733" s="7"/>
      <c r="C733" s="7"/>
      <c r="D733" s="7">
        <v>5135000</v>
      </c>
      <c r="E733" s="7"/>
      <c r="F733" s="7"/>
      <c r="G733" s="7"/>
      <c r="H733" s="7"/>
      <c r="I733" s="7"/>
      <c r="J733" s="7"/>
      <c r="K733" s="7">
        <v>5135000</v>
      </c>
      <c r="L733" s="134">
        <f t="shared" si="66"/>
        <v>0.99847901666638739</v>
      </c>
      <c r="M733" s="7" t="str">
        <f t="shared" si="62"/>
        <v>C</v>
      </c>
      <c r="N733" s="7">
        <f t="shared" si="63"/>
        <v>0</v>
      </c>
      <c r="O733" s="7" t="str">
        <f t="shared" si="64"/>
        <v>Z</v>
      </c>
      <c r="P733" s="7" t="str">
        <f t="shared" si="65"/>
        <v>CZ</v>
      </c>
      <c r="S733" s="6" t="s">
        <v>573</v>
      </c>
      <c r="T733" s="7"/>
      <c r="U733" s="7" t="str">
        <v>CX</v>
      </c>
      <c r="Y733" t="e">
        <v>#N/A</v>
      </c>
      <c r="Z733" s="104"/>
    </row>
    <row r="734" spans="1:26">
      <c r="A734" s="133" t="s">
        <v>920</v>
      </c>
      <c r="B734" s="7">
        <v>2552724</v>
      </c>
      <c r="C734" s="7">
        <v>2552724</v>
      </c>
      <c r="D734" s="7"/>
      <c r="E734" s="7"/>
      <c r="F734" s="7"/>
      <c r="G734" s="7"/>
      <c r="H734" s="7"/>
      <c r="I734" s="7"/>
      <c r="J734" s="7"/>
      <c r="K734" s="7">
        <v>5105448</v>
      </c>
      <c r="L734" s="134">
        <f t="shared" si="66"/>
        <v>0.99849599073529127</v>
      </c>
      <c r="M734" s="7" t="str">
        <f t="shared" si="62"/>
        <v>C</v>
      </c>
      <c r="N734" s="7">
        <f t="shared" si="63"/>
        <v>0</v>
      </c>
      <c r="O734" s="7" t="str">
        <f t="shared" si="64"/>
        <v>Z</v>
      </c>
      <c r="P734" s="7" t="str">
        <f t="shared" si="65"/>
        <v>CZ</v>
      </c>
      <c r="S734" s="6" t="s">
        <v>332</v>
      </c>
      <c r="T734" s="7"/>
      <c r="U734" s="7" t="str">
        <v>BY</v>
      </c>
      <c r="Y734" t="e">
        <v>#N/A</v>
      </c>
      <c r="Z734" s="104"/>
    </row>
    <row r="735" spans="1:26">
      <c r="A735" s="133" t="s">
        <v>921</v>
      </c>
      <c r="B735" s="7">
        <v>2552724</v>
      </c>
      <c r="C735" s="7">
        <v>2552724</v>
      </c>
      <c r="D735" s="7"/>
      <c r="E735" s="7"/>
      <c r="F735" s="7"/>
      <c r="G735" s="7"/>
      <c r="H735" s="7"/>
      <c r="I735" s="7"/>
      <c r="J735" s="7"/>
      <c r="K735" s="7">
        <v>5105448</v>
      </c>
      <c r="L735" s="134">
        <f t="shared" si="66"/>
        <v>0.99851296480419516</v>
      </c>
      <c r="M735" s="7" t="str">
        <f t="shared" si="62"/>
        <v>C</v>
      </c>
      <c r="N735" s="7">
        <f t="shared" si="63"/>
        <v>0</v>
      </c>
      <c r="O735" s="7" t="str">
        <f t="shared" si="64"/>
        <v>Z</v>
      </c>
      <c r="P735" s="7" t="str">
        <f t="shared" si="65"/>
        <v>CZ</v>
      </c>
      <c r="S735" s="6" t="s">
        <v>316</v>
      </c>
      <c r="T735" s="7"/>
      <c r="U735" s="7" t="str">
        <v>BZ</v>
      </c>
      <c r="Y735" t="e">
        <v>#N/A</v>
      </c>
      <c r="Z735" s="104"/>
    </row>
    <row r="736" spans="1:26">
      <c r="A736" s="133" t="s">
        <v>922</v>
      </c>
      <c r="B736" s="7">
        <v>5000000</v>
      </c>
      <c r="C736" s="7"/>
      <c r="D736" s="7"/>
      <c r="E736" s="7"/>
      <c r="F736" s="7"/>
      <c r="G736" s="7"/>
      <c r="H736" s="7"/>
      <c r="I736" s="7"/>
      <c r="J736" s="7"/>
      <c r="K736" s="7">
        <v>5000000</v>
      </c>
      <c r="L736" s="134">
        <f t="shared" si="66"/>
        <v>0.99852958829042393</v>
      </c>
      <c r="M736" s="7" t="str">
        <f t="shared" si="62"/>
        <v>C</v>
      </c>
      <c r="N736" s="7">
        <f t="shared" si="63"/>
        <v>0</v>
      </c>
      <c r="O736" s="7" t="str">
        <f t="shared" si="64"/>
        <v>Z</v>
      </c>
      <c r="P736" s="7" t="str">
        <f t="shared" si="65"/>
        <v>CZ</v>
      </c>
      <c r="S736" s="6" t="s">
        <v>639</v>
      </c>
      <c r="T736" s="7"/>
      <c r="U736" s="7" t="str">
        <v>CY</v>
      </c>
      <c r="Y736" t="e">
        <v>#N/A</v>
      </c>
      <c r="Z736" s="104"/>
    </row>
    <row r="737" spans="1:26">
      <c r="A737" s="133" t="s">
        <v>461</v>
      </c>
      <c r="B737" s="7"/>
      <c r="C737" s="7"/>
      <c r="D737" s="7"/>
      <c r="E737" s="7">
        <v>5000000</v>
      </c>
      <c r="F737" s="7"/>
      <c r="G737" s="7"/>
      <c r="H737" s="7"/>
      <c r="I737" s="7"/>
      <c r="J737" s="7"/>
      <c r="K737" s="7">
        <v>5000000</v>
      </c>
      <c r="L737" s="134">
        <f t="shared" si="66"/>
        <v>0.9985462117766527</v>
      </c>
      <c r="M737" s="7" t="str">
        <f t="shared" si="62"/>
        <v>C</v>
      </c>
      <c r="N737" s="7">
        <f t="shared" si="63"/>
        <v>0</v>
      </c>
      <c r="O737" s="7" t="str">
        <f t="shared" si="64"/>
        <v>Z</v>
      </c>
      <c r="P737" s="7" t="str">
        <f t="shared" si="65"/>
        <v>CZ</v>
      </c>
      <c r="S737" s="6" t="s">
        <v>357</v>
      </c>
      <c r="T737" s="7"/>
      <c r="U737" s="7" t="str">
        <v>BZ</v>
      </c>
      <c r="Y737" t="e">
        <v>#N/A</v>
      </c>
      <c r="Z737" s="104"/>
    </row>
    <row r="738" spans="1:26">
      <c r="A738" s="133" t="s">
        <v>651</v>
      </c>
      <c r="B738" s="7"/>
      <c r="C738" s="7"/>
      <c r="D738" s="7"/>
      <c r="E738" s="7"/>
      <c r="F738" s="7"/>
      <c r="G738" s="7"/>
      <c r="H738" s="7"/>
      <c r="I738" s="7">
        <v>4930000</v>
      </c>
      <c r="J738" s="7"/>
      <c r="K738" s="7">
        <v>4930000</v>
      </c>
      <c r="L738" s="134">
        <f t="shared" si="66"/>
        <v>0.99856260253407425</v>
      </c>
      <c r="M738" s="7" t="str">
        <f t="shared" si="62"/>
        <v>C</v>
      </c>
      <c r="N738" s="7">
        <f t="shared" si="63"/>
        <v>0</v>
      </c>
      <c r="O738" s="7" t="str">
        <f t="shared" si="64"/>
        <v>Z</v>
      </c>
      <c r="P738" s="7" t="str">
        <f t="shared" si="65"/>
        <v>CZ</v>
      </c>
      <c r="S738" s="6" t="s">
        <v>157</v>
      </c>
      <c r="T738" s="7"/>
      <c r="U738" s="7" t="str">
        <v>AY</v>
      </c>
      <c r="Y738" t="e">
        <v>#N/A</v>
      </c>
      <c r="Z738" s="104"/>
    </row>
    <row r="739" spans="1:26">
      <c r="A739" s="133" t="s">
        <v>923</v>
      </c>
      <c r="B739" s="7"/>
      <c r="C739" s="7"/>
      <c r="D739" s="7"/>
      <c r="E739" s="7">
        <v>2390000</v>
      </c>
      <c r="F739" s="7"/>
      <c r="G739" s="7"/>
      <c r="H739" s="7"/>
      <c r="I739" s="7">
        <v>2475000</v>
      </c>
      <c r="J739" s="7"/>
      <c r="K739" s="7">
        <v>4865000</v>
      </c>
      <c r="L739" s="134">
        <f t="shared" si="66"/>
        <v>0.99857877718617483</v>
      </c>
      <c r="M739" s="7" t="str">
        <f t="shared" si="62"/>
        <v>C</v>
      </c>
      <c r="N739" s="7">
        <f t="shared" si="63"/>
        <v>1.7471736896197326E-2</v>
      </c>
      <c r="O739" s="7" t="str">
        <f t="shared" si="64"/>
        <v>X</v>
      </c>
      <c r="P739" s="7" t="str">
        <f t="shared" si="65"/>
        <v>CX</v>
      </c>
      <c r="S739" s="6" t="s">
        <v>491</v>
      </c>
      <c r="T739" s="7"/>
      <c r="U739" s="7" t="str">
        <v>BZ</v>
      </c>
      <c r="Y739" t="e">
        <v>#N/A</v>
      </c>
      <c r="Z739" s="104"/>
    </row>
    <row r="740" spans="1:26">
      <c r="A740" s="133" t="s">
        <v>924</v>
      </c>
      <c r="B740" s="7"/>
      <c r="C740" s="7"/>
      <c r="D740" s="7"/>
      <c r="E740" s="7">
        <v>2390000</v>
      </c>
      <c r="F740" s="7"/>
      <c r="G740" s="7"/>
      <c r="H740" s="7"/>
      <c r="I740" s="7">
        <v>2475000</v>
      </c>
      <c r="J740" s="7"/>
      <c r="K740" s="7">
        <v>4865000</v>
      </c>
      <c r="L740" s="134">
        <f t="shared" si="66"/>
        <v>0.9985949518382754</v>
      </c>
      <c r="M740" s="7" t="str">
        <f t="shared" si="62"/>
        <v>C</v>
      </c>
      <c r="N740" s="7">
        <f t="shared" si="63"/>
        <v>1.7471736896197326E-2</v>
      </c>
      <c r="O740" s="7" t="str">
        <f t="shared" si="64"/>
        <v>X</v>
      </c>
      <c r="P740" s="7" t="str">
        <f t="shared" si="65"/>
        <v>CX</v>
      </c>
      <c r="S740" s="6" t="s">
        <v>324</v>
      </c>
      <c r="T740" s="7"/>
      <c r="U740" s="7" t="str">
        <v>BZ</v>
      </c>
      <c r="Y740" t="e">
        <v>#N/A</v>
      </c>
      <c r="Z740" s="104"/>
    </row>
    <row r="741" spans="1:26">
      <c r="A741" s="133" t="s">
        <v>751</v>
      </c>
      <c r="B741" s="7"/>
      <c r="C741" s="7"/>
      <c r="D741" s="7"/>
      <c r="E741" s="7"/>
      <c r="F741" s="7"/>
      <c r="G741" s="7"/>
      <c r="H741" s="7"/>
      <c r="I741" s="7">
        <v>4850000</v>
      </c>
      <c r="J741" s="7"/>
      <c r="K741" s="7">
        <v>4850000</v>
      </c>
      <c r="L741" s="134">
        <f t="shared" si="66"/>
        <v>0.99861107661991733</v>
      </c>
      <c r="M741" s="7" t="str">
        <f t="shared" si="62"/>
        <v>C</v>
      </c>
      <c r="N741" s="7">
        <f t="shared" si="63"/>
        <v>0</v>
      </c>
      <c r="O741" s="7" t="str">
        <f t="shared" si="64"/>
        <v>Z</v>
      </c>
      <c r="P741" s="7" t="str">
        <f t="shared" si="65"/>
        <v>CZ</v>
      </c>
      <c r="S741" s="6" t="s">
        <v>297</v>
      </c>
      <c r="T741" s="7"/>
      <c r="U741" s="7" t="str">
        <v>BZ</v>
      </c>
      <c r="Y741" t="e">
        <v>#N/A</v>
      </c>
      <c r="Z741" s="104"/>
    </row>
    <row r="742" spans="1:26">
      <c r="A742" s="133" t="s">
        <v>925</v>
      </c>
      <c r="B742" s="7">
        <v>1600000</v>
      </c>
      <c r="C742" s="7"/>
      <c r="D742" s="7">
        <v>800000</v>
      </c>
      <c r="E742" s="7">
        <v>800000</v>
      </c>
      <c r="F742" s="7"/>
      <c r="G742" s="7">
        <v>800000</v>
      </c>
      <c r="H742" s="7"/>
      <c r="I742" s="7">
        <v>800000</v>
      </c>
      <c r="J742" s="7"/>
      <c r="K742" s="7">
        <v>4800000</v>
      </c>
      <c r="L742" s="134">
        <f t="shared" si="66"/>
        <v>0.99862703516669693</v>
      </c>
      <c r="M742" s="7" t="str">
        <f t="shared" si="62"/>
        <v>C</v>
      </c>
      <c r="N742" s="7">
        <f t="shared" si="63"/>
        <v>0.33333333333333331</v>
      </c>
      <c r="O742" s="7" t="str">
        <f t="shared" si="64"/>
        <v>Y</v>
      </c>
      <c r="P742" s="7" t="str">
        <f t="shared" si="65"/>
        <v>CY</v>
      </c>
      <c r="S742" s="6" t="s">
        <v>430</v>
      </c>
      <c r="T742" s="7"/>
      <c r="U742" s="7" t="str">
        <v>BZ</v>
      </c>
      <c r="Y742" t="e">
        <v>#N/A</v>
      </c>
      <c r="Z742" s="104"/>
    </row>
    <row r="743" spans="1:26">
      <c r="A743" s="133" t="s">
        <v>926</v>
      </c>
      <c r="B743" s="7"/>
      <c r="C743" s="7"/>
      <c r="D743" s="7">
        <v>4800000</v>
      </c>
      <c r="E743" s="7"/>
      <c r="F743" s="7"/>
      <c r="G743" s="7"/>
      <c r="H743" s="7"/>
      <c r="I743" s="7"/>
      <c r="J743" s="7"/>
      <c r="K743" s="7">
        <v>4800000</v>
      </c>
      <c r="L743" s="134">
        <f t="shared" si="66"/>
        <v>0.99864299371347653</v>
      </c>
      <c r="M743" s="7" t="str">
        <f t="shared" si="62"/>
        <v>C</v>
      </c>
      <c r="N743" s="7">
        <f t="shared" si="63"/>
        <v>0</v>
      </c>
      <c r="O743" s="7" t="str">
        <f t="shared" si="64"/>
        <v>Z</v>
      </c>
      <c r="P743" s="7" t="str">
        <f t="shared" si="65"/>
        <v>CZ</v>
      </c>
      <c r="S743" s="6" t="s">
        <v>573</v>
      </c>
      <c r="T743" s="7"/>
      <c r="U743" s="7" t="str">
        <v>CX</v>
      </c>
      <c r="Y743" t="e">
        <v>#N/A</v>
      </c>
      <c r="Z743" s="104"/>
    </row>
    <row r="744" spans="1:26">
      <c r="A744" s="133" t="s">
        <v>927</v>
      </c>
      <c r="B744" s="7"/>
      <c r="C744" s="7"/>
      <c r="D744" s="7">
        <v>4760000</v>
      </c>
      <c r="E744" s="7"/>
      <c r="F744" s="7"/>
      <c r="G744" s="7"/>
      <c r="H744" s="7"/>
      <c r="I744" s="7"/>
      <c r="J744" s="7"/>
      <c r="K744" s="7">
        <v>4760000</v>
      </c>
      <c r="L744" s="134">
        <f t="shared" si="66"/>
        <v>0.99865881927236633</v>
      </c>
      <c r="M744" s="7" t="str">
        <f t="shared" si="62"/>
        <v>C</v>
      </c>
      <c r="N744" s="7">
        <f t="shared" si="63"/>
        <v>0</v>
      </c>
      <c r="O744" s="7" t="str">
        <f t="shared" si="64"/>
        <v>Z</v>
      </c>
      <c r="P744" s="7" t="str">
        <f t="shared" si="65"/>
        <v>CZ</v>
      </c>
      <c r="S744" s="6" t="s">
        <v>551</v>
      </c>
      <c r="T744" s="7"/>
      <c r="U744" s="7" t="str">
        <v>CZ</v>
      </c>
      <c r="Y744" t="e">
        <v>#N/A</v>
      </c>
      <c r="Z744" s="104"/>
    </row>
    <row r="745" spans="1:26">
      <c r="A745" s="133" t="s">
        <v>760</v>
      </c>
      <c r="B745" s="7"/>
      <c r="C745" s="7"/>
      <c r="D745" s="7"/>
      <c r="E745" s="7"/>
      <c r="F745" s="7"/>
      <c r="G745" s="7"/>
      <c r="H745" s="7"/>
      <c r="I745" s="7"/>
      <c r="J745" s="7">
        <v>4750500</v>
      </c>
      <c r="K745" s="7">
        <v>4750500</v>
      </c>
      <c r="L745" s="134">
        <f t="shared" si="66"/>
        <v>0.99867461324663231</v>
      </c>
      <c r="M745" s="7" t="str">
        <f t="shared" si="62"/>
        <v>C</v>
      </c>
      <c r="N745" s="7">
        <f t="shared" si="63"/>
        <v>0</v>
      </c>
      <c r="O745" s="7" t="str">
        <f t="shared" si="64"/>
        <v>Z</v>
      </c>
      <c r="P745" s="7" t="str">
        <f t="shared" si="65"/>
        <v>CZ</v>
      </c>
      <c r="S745" s="6" t="s">
        <v>406</v>
      </c>
      <c r="T745" s="7"/>
      <c r="U745" s="7" t="str">
        <v>BY</v>
      </c>
      <c r="Y745" t="e">
        <v>#N/A</v>
      </c>
      <c r="Z745" s="104"/>
    </row>
    <row r="746" spans="1:26">
      <c r="A746" s="133" t="s">
        <v>888</v>
      </c>
      <c r="B746" s="7"/>
      <c r="C746" s="7"/>
      <c r="D746" s="7"/>
      <c r="E746" s="7"/>
      <c r="F746" s="7"/>
      <c r="G746" s="7">
        <v>4748000</v>
      </c>
      <c r="H746" s="7"/>
      <c r="I746" s="7"/>
      <c r="J746" s="7"/>
      <c r="K746" s="7">
        <v>4748000</v>
      </c>
      <c r="L746" s="134">
        <f t="shared" si="66"/>
        <v>0.99869039890915512</v>
      </c>
      <c r="M746" s="7" t="str">
        <f t="shared" si="62"/>
        <v>C</v>
      </c>
      <c r="N746" s="7">
        <f t="shared" si="63"/>
        <v>0</v>
      </c>
      <c r="O746" s="7" t="str">
        <f t="shared" si="64"/>
        <v>Z</v>
      </c>
      <c r="P746" s="7" t="str">
        <f t="shared" si="65"/>
        <v>CZ</v>
      </c>
      <c r="S746" s="6" t="s">
        <v>114</v>
      </c>
      <c r="T746" s="7"/>
      <c r="U746" s="7" t="str">
        <v>AZ</v>
      </c>
      <c r="Y746" t="e">
        <v>#N/A</v>
      </c>
      <c r="Z746" s="104"/>
    </row>
    <row r="747" spans="1:26">
      <c r="A747" s="133" t="s">
        <v>928</v>
      </c>
      <c r="B747" s="7"/>
      <c r="C747" s="7"/>
      <c r="D747" s="7">
        <v>4560000</v>
      </c>
      <c r="E747" s="7"/>
      <c r="F747" s="7"/>
      <c r="G747" s="7"/>
      <c r="H747" s="7"/>
      <c r="I747" s="7"/>
      <c r="J747" s="7"/>
      <c r="K747" s="7">
        <v>4560000</v>
      </c>
      <c r="L747" s="134">
        <f t="shared" si="66"/>
        <v>0.99870555952859574</v>
      </c>
      <c r="M747" s="7" t="str">
        <f t="shared" si="62"/>
        <v>C</v>
      </c>
      <c r="N747" s="7">
        <f t="shared" si="63"/>
        <v>0</v>
      </c>
      <c r="O747" s="7" t="str">
        <f t="shared" si="64"/>
        <v>Z</v>
      </c>
      <c r="P747" s="7" t="str">
        <f t="shared" si="65"/>
        <v>CZ</v>
      </c>
      <c r="S747" s="6" t="s">
        <v>807</v>
      </c>
      <c r="T747" s="7"/>
      <c r="U747" s="7" t="str">
        <v>CZ</v>
      </c>
      <c r="Y747" t="e">
        <v>#N/A</v>
      </c>
      <c r="Z747" s="104"/>
    </row>
    <row r="748" spans="1:26">
      <c r="A748" s="133" t="s">
        <v>929</v>
      </c>
      <c r="B748" s="7"/>
      <c r="C748" s="7"/>
      <c r="D748" s="7"/>
      <c r="E748" s="7"/>
      <c r="F748" s="7"/>
      <c r="G748" s="7">
        <v>4516364</v>
      </c>
      <c r="H748" s="7"/>
      <c r="I748" s="7"/>
      <c r="J748" s="7"/>
      <c r="K748" s="7">
        <v>4516364</v>
      </c>
      <c r="L748" s="134">
        <f t="shared" si="66"/>
        <v>0.99872057507154732</v>
      </c>
      <c r="M748" s="7" t="str">
        <f t="shared" si="62"/>
        <v>C</v>
      </c>
      <c r="N748" s="7">
        <f t="shared" si="63"/>
        <v>0</v>
      </c>
      <c r="O748" s="7" t="str">
        <f t="shared" si="64"/>
        <v>Z</v>
      </c>
      <c r="P748" s="7" t="str">
        <f t="shared" si="65"/>
        <v>CZ</v>
      </c>
      <c r="S748" s="6" t="s">
        <v>807</v>
      </c>
      <c r="T748" s="7"/>
      <c r="U748" s="7" t="str">
        <v>CZ</v>
      </c>
      <c r="Y748" t="e">
        <v>#N/A</v>
      </c>
      <c r="Z748" s="104"/>
    </row>
    <row r="749" spans="1:26">
      <c r="A749" s="133" t="s">
        <v>930</v>
      </c>
      <c r="B749" s="7">
        <v>4500000</v>
      </c>
      <c r="C749" s="7"/>
      <c r="D749" s="7"/>
      <c r="E749" s="7"/>
      <c r="F749" s="7"/>
      <c r="G749" s="7"/>
      <c r="H749" s="7"/>
      <c r="I749" s="7"/>
      <c r="J749" s="7"/>
      <c r="K749" s="7">
        <v>4500000</v>
      </c>
      <c r="L749" s="134">
        <f t="shared" si="66"/>
        <v>0.99873553620915323</v>
      </c>
      <c r="M749" s="7" t="str">
        <f t="shared" si="62"/>
        <v>C</v>
      </c>
      <c r="N749" s="7">
        <f t="shared" si="63"/>
        <v>0</v>
      </c>
      <c r="O749" s="7" t="str">
        <f t="shared" si="64"/>
        <v>Z</v>
      </c>
      <c r="P749" s="7" t="str">
        <f t="shared" si="65"/>
        <v>CZ</v>
      </c>
      <c r="S749" s="6" t="s">
        <v>316</v>
      </c>
      <c r="T749" s="7"/>
      <c r="U749" s="7" t="str">
        <v>BZ</v>
      </c>
      <c r="Y749" t="e">
        <v>#N/A</v>
      </c>
      <c r="Z749" s="104"/>
    </row>
    <row r="750" spans="1:26">
      <c r="A750" s="133" t="s">
        <v>931</v>
      </c>
      <c r="B750" s="7"/>
      <c r="C750" s="7"/>
      <c r="D750" s="7"/>
      <c r="E750" s="7">
        <v>4490000</v>
      </c>
      <c r="F750" s="7"/>
      <c r="G750" s="7"/>
      <c r="H750" s="7"/>
      <c r="I750" s="7"/>
      <c r="J750" s="7"/>
      <c r="K750" s="7">
        <v>4490000</v>
      </c>
      <c r="L750" s="134">
        <f t="shared" si="66"/>
        <v>0.99875046409978663</v>
      </c>
      <c r="M750" s="7" t="str">
        <f t="shared" si="62"/>
        <v>C</v>
      </c>
      <c r="N750" s="7">
        <f t="shared" si="63"/>
        <v>0</v>
      </c>
      <c r="O750" s="7" t="str">
        <f t="shared" si="64"/>
        <v>Z</v>
      </c>
      <c r="P750" s="7" t="str">
        <f t="shared" si="65"/>
        <v>CZ</v>
      </c>
      <c r="S750" s="6" t="s">
        <v>639</v>
      </c>
      <c r="T750" s="7"/>
      <c r="U750" s="7" t="str">
        <v>CY</v>
      </c>
      <c r="Y750" t="e">
        <v>#N/A</v>
      </c>
      <c r="Z750" s="104"/>
    </row>
    <row r="751" spans="1:26">
      <c r="A751" s="133" t="s">
        <v>710</v>
      </c>
      <c r="B751" s="7"/>
      <c r="C751" s="7"/>
      <c r="D751" s="7"/>
      <c r="E751" s="7"/>
      <c r="F751" s="7"/>
      <c r="G751" s="7"/>
      <c r="H751" s="7">
        <v>4320000</v>
      </c>
      <c r="I751" s="7"/>
      <c r="J751" s="7"/>
      <c r="K751" s="7">
        <v>4320000</v>
      </c>
      <c r="L751" s="134">
        <f t="shared" si="66"/>
        <v>0.99876482679188827</v>
      </c>
      <c r="M751" s="7" t="str">
        <f t="shared" si="62"/>
        <v>C</v>
      </c>
      <c r="N751" s="7">
        <f t="shared" si="63"/>
        <v>0</v>
      </c>
      <c r="O751" s="7" t="str">
        <f t="shared" si="64"/>
        <v>Z</v>
      </c>
      <c r="P751" s="7" t="str">
        <f t="shared" si="65"/>
        <v>CZ</v>
      </c>
      <c r="S751" s="6" t="s">
        <v>545</v>
      </c>
      <c r="T751" s="7"/>
      <c r="U751" s="7" t="str">
        <v>CY</v>
      </c>
      <c r="Y751" t="e">
        <v>#N/A</v>
      </c>
      <c r="Z751" s="104"/>
    </row>
    <row r="752" spans="1:26">
      <c r="A752" s="133" t="s">
        <v>932</v>
      </c>
      <c r="B752" s="7"/>
      <c r="C752" s="7"/>
      <c r="D752" s="7"/>
      <c r="E752" s="7">
        <v>4254545.4545454532</v>
      </c>
      <c r="F752" s="7"/>
      <c r="G752" s="7"/>
      <c r="H752" s="7"/>
      <c r="I752" s="7"/>
      <c r="J752" s="7"/>
      <c r="K752" s="7">
        <v>4254545.4545454532</v>
      </c>
      <c r="L752" s="134">
        <f t="shared" si="66"/>
        <v>0.99877897186744291</v>
      </c>
      <c r="M752" s="7" t="str">
        <f t="shared" si="62"/>
        <v>C</v>
      </c>
      <c r="N752" s="7">
        <f t="shared" si="63"/>
        <v>0</v>
      </c>
      <c r="O752" s="7" t="str">
        <f t="shared" si="64"/>
        <v>Z</v>
      </c>
      <c r="P752" s="7" t="str">
        <f t="shared" si="65"/>
        <v>CZ</v>
      </c>
      <c r="S752" s="6" t="s">
        <v>316</v>
      </c>
      <c r="T752" s="7"/>
      <c r="U752" s="7" t="str">
        <v>BZ</v>
      </c>
      <c r="Y752" t="e">
        <v>#N/A</v>
      </c>
      <c r="Z752" s="104"/>
    </row>
    <row r="753" spans="1:26">
      <c r="A753" s="133" t="s">
        <v>933</v>
      </c>
      <c r="B753" s="7"/>
      <c r="C753" s="7"/>
      <c r="D753" s="7"/>
      <c r="E753" s="7">
        <v>4250000</v>
      </c>
      <c r="F753" s="7"/>
      <c r="G753" s="7"/>
      <c r="H753" s="7"/>
      <c r="I753" s="7"/>
      <c r="J753" s="7"/>
      <c r="K753" s="7">
        <v>4250000</v>
      </c>
      <c r="L753" s="134">
        <f t="shared" si="66"/>
        <v>0.99879310183073733</v>
      </c>
      <c r="M753" s="7" t="str">
        <f t="shared" si="62"/>
        <v>C</v>
      </c>
      <c r="N753" s="7">
        <f t="shared" si="63"/>
        <v>0</v>
      </c>
      <c r="O753" s="7" t="str">
        <f t="shared" si="64"/>
        <v>Z</v>
      </c>
      <c r="P753" s="7" t="str">
        <f t="shared" si="65"/>
        <v>CZ</v>
      </c>
      <c r="S753" s="6" t="s">
        <v>316</v>
      </c>
      <c r="T753" s="7"/>
      <c r="U753" s="7" t="str">
        <v>BZ</v>
      </c>
      <c r="Y753" t="e">
        <v>#N/A</v>
      </c>
      <c r="Z753" s="104"/>
    </row>
    <row r="754" spans="1:26">
      <c r="A754" s="133" t="s">
        <v>478</v>
      </c>
      <c r="B754" s="7"/>
      <c r="C754" s="7"/>
      <c r="D754" s="7"/>
      <c r="E754" s="7"/>
      <c r="F754" s="7"/>
      <c r="G754" s="7"/>
      <c r="H754" s="7"/>
      <c r="I754" s="7">
        <v>4229000</v>
      </c>
      <c r="J754" s="7"/>
      <c r="K754" s="7">
        <v>4229000</v>
      </c>
      <c r="L754" s="134">
        <f t="shared" si="66"/>
        <v>0.99880716197538966</v>
      </c>
      <c r="M754" s="7" t="str">
        <f t="shared" si="62"/>
        <v>C</v>
      </c>
      <c r="N754" s="7">
        <f t="shared" si="63"/>
        <v>0</v>
      </c>
      <c r="O754" s="7" t="str">
        <f t="shared" si="64"/>
        <v>Z</v>
      </c>
      <c r="P754" s="7" t="str">
        <f t="shared" si="65"/>
        <v>CZ</v>
      </c>
      <c r="S754" s="6" t="s">
        <v>702</v>
      </c>
      <c r="T754" s="7"/>
      <c r="U754" s="7" t="str">
        <v>CZ</v>
      </c>
      <c r="Y754" t="e">
        <v>#N/A</v>
      </c>
      <c r="Z754" s="104"/>
    </row>
    <row r="755" spans="1:26">
      <c r="A755" s="133" t="s">
        <v>270</v>
      </c>
      <c r="B755" s="7"/>
      <c r="C755" s="7"/>
      <c r="D755" s="7"/>
      <c r="E755" s="7"/>
      <c r="F755" s="7">
        <v>4200000</v>
      </c>
      <c r="G755" s="7"/>
      <c r="H755" s="7"/>
      <c r="I755" s="7"/>
      <c r="J755" s="7"/>
      <c r="K755" s="7">
        <v>4200000</v>
      </c>
      <c r="L755" s="134">
        <f t="shared" si="66"/>
        <v>0.99882112570382187</v>
      </c>
      <c r="M755" s="7" t="str">
        <f t="shared" si="62"/>
        <v>C</v>
      </c>
      <c r="N755" s="7">
        <f t="shared" si="63"/>
        <v>0</v>
      </c>
      <c r="O755" s="7" t="str">
        <f t="shared" si="64"/>
        <v>Z</v>
      </c>
      <c r="P755" s="7" t="str">
        <f t="shared" si="65"/>
        <v>CZ</v>
      </c>
      <c r="S755" s="6" t="s">
        <v>681</v>
      </c>
      <c r="T755" s="7"/>
      <c r="U755" s="7" t="str">
        <v>CZ</v>
      </c>
      <c r="Y755" t="e">
        <v>#N/A</v>
      </c>
      <c r="Z755" s="104"/>
    </row>
    <row r="756" spans="1:26">
      <c r="A756" s="133" t="s">
        <v>474</v>
      </c>
      <c r="B756" s="7"/>
      <c r="C756" s="7"/>
      <c r="D756" s="7"/>
      <c r="E756" s="7"/>
      <c r="F756" s="7"/>
      <c r="G756" s="7"/>
      <c r="H756" s="7">
        <v>4150000</v>
      </c>
      <c r="I756" s="7"/>
      <c r="J756" s="7"/>
      <c r="K756" s="7">
        <v>4150000</v>
      </c>
      <c r="L756" s="134">
        <f t="shared" si="66"/>
        <v>0.99883492319739176</v>
      </c>
      <c r="M756" s="7" t="str">
        <f t="shared" si="62"/>
        <v>C</v>
      </c>
      <c r="N756" s="7">
        <f t="shared" si="63"/>
        <v>0</v>
      </c>
      <c r="O756" s="7" t="str">
        <f t="shared" si="64"/>
        <v>Z</v>
      </c>
      <c r="P756" s="7" t="str">
        <f t="shared" si="65"/>
        <v>CZ</v>
      </c>
      <c r="S756" s="6" t="s">
        <v>545</v>
      </c>
      <c r="T756" s="7"/>
      <c r="U756" s="7" t="str">
        <v>CY</v>
      </c>
      <c r="Y756" t="e">
        <v>#N/A</v>
      </c>
      <c r="Z756" s="104"/>
    </row>
    <row r="757" spans="1:26">
      <c r="A757" s="133" t="s">
        <v>934</v>
      </c>
      <c r="B757" s="7"/>
      <c r="C757" s="7"/>
      <c r="D757" s="7"/>
      <c r="E757" s="7">
        <v>4100000</v>
      </c>
      <c r="F757" s="7"/>
      <c r="G757" s="7"/>
      <c r="H757" s="7"/>
      <c r="I757" s="7"/>
      <c r="J757" s="7"/>
      <c r="K757" s="7">
        <v>4100000</v>
      </c>
      <c r="L757" s="134">
        <f t="shared" si="66"/>
        <v>0.99884855445609932</v>
      </c>
      <c r="M757" s="7" t="str">
        <f t="shared" si="62"/>
        <v>C</v>
      </c>
      <c r="N757" s="7">
        <f t="shared" si="63"/>
        <v>0</v>
      </c>
      <c r="O757" s="7" t="str">
        <f t="shared" si="64"/>
        <v>Z</v>
      </c>
      <c r="P757" s="7" t="str">
        <f t="shared" si="65"/>
        <v>CZ</v>
      </c>
      <c r="S757" s="6" t="s">
        <v>551</v>
      </c>
      <c r="T757" s="7"/>
      <c r="U757" s="7" t="str">
        <v>CZ</v>
      </c>
      <c r="Y757" t="e">
        <v>#N/A</v>
      </c>
      <c r="Z757" s="104"/>
    </row>
    <row r="758" spans="1:26">
      <c r="A758" s="133" t="s">
        <v>935</v>
      </c>
      <c r="B758" s="7"/>
      <c r="C758" s="7"/>
      <c r="D758" s="7"/>
      <c r="E758" s="7"/>
      <c r="F758" s="7">
        <v>4065000</v>
      </c>
      <c r="G758" s="7"/>
      <c r="H758" s="7"/>
      <c r="I758" s="7"/>
      <c r="J758" s="7"/>
      <c r="K758" s="7">
        <v>4065000</v>
      </c>
      <c r="L758" s="134">
        <f t="shared" si="66"/>
        <v>0.99886206935040334</v>
      </c>
      <c r="M758" s="7" t="str">
        <f t="shared" si="62"/>
        <v>C</v>
      </c>
      <c r="N758" s="7">
        <f t="shared" si="63"/>
        <v>0</v>
      </c>
      <c r="O758" s="7" t="str">
        <f t="shared" si="64"/>
        <v>Z</v>
      </c>
      <c r="P758" s="7" t="str">
        <f t="shared" si="65"/>
        <v>CZ</v>
      </c>
      <c r="S758" s="6" t="s">
        <v>630</v>
      </c>
      <c r="T758" s="7"/>
      <c r="U758" s="7" t="str">
        <v>CZ</v>
      </c>
      <c r="Y758" t="e">
        <v>#N/A</v>
      </c>
      <c r="Z758" s="104"/>
    </row>
    <row r="759" spans="1:26">
      <c r="A759" s="133" t="s">
        <v>802</v>
      </c>
      <c r="B759" s="7"/>
      <c r="C759" s="7"/>
      <c r="D759" s="7"/>
      <c r="E759" s="7"/>
      <c r="F759" s="7"/>
      <c r="G759" s="7"/>
      <c r="H759" s="7"/>
      <c r="I759" s="7">
        <v>4050000</v>
      </c>
      <c r="J759" s="7"/>
      <c r="K759" s="7">
        <v>4050000</v>
      </c>
      <c r="L759" s="134">
        <f t="shared" si="66"/>
        <v>0.99887553437424859</v>
      </c>
      <c r="M759" s="7" t="str">
        <f t="shared" si="62"/>
        <v>C</v>
      </c>
      <c r="N759" s="7">
        <f t="shared" si="63"/>
        <v>0</v>
      </c>
      <c r="O759" s="7" t="str">
        <f t="shared" si="64"/>
        <v>Z</v>
      </c>
      <c r="P759" s="7" t="str">
        <f t="shared" si="65"/>
        <v>CZ</v>
      </c>
      <c r="S759" s="6" t="s">
        <v>707</v>
      </c>
      <c r="T759" s="7"/>
      <c r="U759" s="7" t="str">
        <v>CZ</v>
      </c>
      <c r="Y759" t="e">
        <v>#N/A</v>
      </c>
      <c r="Z759" s="104"/>
    </row>
    <row r="760" spans="1:26">
      <c r="A760" s="133" t="s">
        <v>936</v>
      </c>
      <c r="B760" s="7">
        <v>4050000</v>
      </c>
      <c r="C760" s="7"/>
      <c r="D760" s="7"/>
      <c r="E760" s="7"/>
      <c r="F760" s="7"/>
      <c r="G760" s="7"/>
      <c r="H760" s="7"/>
      <c r="I760" s="7"/>
      <c r="J760" s="7"/>
      <c r="K760" s="7">
        <v>4050000</v>
      </c>
      <c r="L760" s="134">
        <f t="shared" si="66"/>
        <v>0.99888899939809384</v>
      </c>
      <c r="M760" s="7" t="str">
        <f t="shared" si="62"/>
        <v>C</v>
      </c>
      <c r="N760" s="7">
        <f t="shared" si="63"/>
        <v>0</v>
      </c>
      <c r="O760" s="7" t="str">
        <f t="shared" si="64"/>
        <v>Z</v>
      </c>
      <c r="P760" s="7" t="str">
        <f t="shared" si="65"/>
        <v>CZ</v>
      </c>
      <c r="S760" s="6" t="s">
        <v>704</v>
      </c>
      <c r="T760" s="7"/>
      <c r="U760" s="7" t="str">
        <v>CZ</v>
      </c>
      <c r="Y760" t="e">
        <v>#N/A</v>
      </c>
      <c r="Z760" s="104"/>
    </row>
    <row r="761" spans="1:26">
      <c r="A761" s="133" t="s">
        <v>893</v>
      </c>
      <c r="B761" s="7"/>
      <c r="C761" s="7"/>
      <c r="D761" s="7"/>
      <c r="E761" s="7"/>
      <c r="F761" s="7"/>
      <c r="G761" s="7">
        <v>4050000</v>
      </c>
      <c r="H761" s="7"/>
      <c r="I761" s="7"/>
      <c r="J761" s="7"/>
      <c r="K761" s="7">
        <v>4050000</v>
      </c>
      <c r="L761" s="134">
        <f t="shared" si="66"/>
        <v>0.99890246442193908</v>
      </c>
      <c r="M761" s="7" t="str">
        <f t="shared" si="62"/>
        <v>C</v>
      </c>
      <c r="N761" s="7">
        <f t="shared" si="63"/>
        <v>0</v>
      </c>
      <c r="O761" s="7" t="str">
        <f t="shared" si="64"/>
        <v>Z</v>
      </c>
      <c r="P761" s="7" t="str">
        <f t="shared" si="65"/>
        <v>CZ</v>
      </c>
      <c r="S761" s="6" t="s">
        <v>552</v>
      </c>
      <c r="T761" s="7"/>
      <c r="U761" s="7" t="str">
        <v>CZ</v>
      </c>
      <c r="Y761" t="e">
        <v>#N/A</v>
      </c>
      <c r="Z761" s="104"/>
    </row>
    <row r="762" spans="1:26">
      <c r="A762" s="133" t="s">
        <v>653</v>
      </c>
      <c r="B762" s="7"/>
      <c r="C762" s="7"/>
      <c r="D762" s="7"/>
      <c r="E762" s="7"/>
      <c r="F762" s="7"/>
      <c r="G762" s="7"/>
      <c r="H762" s="7">
        <v>4000000</v>
      </c>
      <c r="I762" s="7"/>
      <c r="J762" s="7"/>
      <c r="K762" s="7">
        <v>4000000</v>
      </c>
      <c r="L762" s="134">
        <f t="shared" si="66"/>
        <v>0.99891576321092213</v>
      </c>
      <c r="M762" s="7" t="str">
        <f t="shared" si="62"/>
        <v>C</v>
      </c>
      <c r="N762" s="7">
        <f t="shared" si="63"/>
        <v>0</v>
      </c>
      <c r="O762" s="7" t="str">
        <f t="shared" si="64"/>
        <v>Z</v>
      </c>
      <c r="P762" s="7" t="str">
        <f t="shared" si="65"/>
        <v>CZ</v>
      </c>
      <c r="S762" s="6" t="s">
        <v>631</v>
      </c>
      <c r="T762" s="7"/>
      <c r="U762" s="7" t="str">
        <v>CZ</v>
      </c>
      <c r="Y762" t="e">
        <v>#N/A</v>
      </c>
      <c r="Z762" s="104"/>
    </row>
    <row r="763" spans="1:26">
      <c r="A763" s="133" t="s">
        <v>697</v>
      </c>
      <c r="B763" s="7"/>
      <c r="C763" s="7"/>
      <c r="D763" s="7"/>
      <c r="E763" s="7"/>
      <c r="F763" s="7"/>
      <c r="G763" s="7"/>
      <c r="H763" s="7">
        <v>4000000</v>
      </c>
      <c r="I763" s="7"/>
      <c r="J763" s="7"/>
      <c r="K763" s="7">
        <v>4000000</v>
      </c>
      <c r="L763" s="134">
        <f t="shared" si="66"/>
        <v>0.99892906199990517</v>
      </c>
      <c r="M763" s="7" t="str">
        <f t="shared" si="62"/>
        <v>C</v>
      </c>
      <c r="N763" s="7">
        <f t="shared" si="63"/>
        <v>0</v>
      </c>
      <c r="O763" s="7" t="str">
        <f t="shared" si="64"/>
        <v>Z</v>
      </c>
      <c r="P763" s="7" t="str">
        <f t="shared" si="65"/>
        <v>CZ</v>
      </c>
      <c r="S763" s="6" t="s">
        <v>445</v>
      </c>
      <c r="T763" s="7"/>
      <c r="U763" s="7" t="str">
        <v>BZ</v>
      </c>
      <c r="Y763" t="e">
        <v>#N/A</v>
      </c>
      <c r="Z763" s="104"/>
    </row>
    <row r="764" spans="1:26">
      <c r="A764" s="133" t="s">
        <v>698</v>
      </c>
      <c r="B764" s="7"/>
      <c r="C764" s="7"/>
      <c r="D764" s="7"/>
      <c r="E764" s="7"/>
      <c r="F764" s="7"/>
      <c r="G764" s="7"/>
      <c r="H764" s="7">
        <v>4000000</v>
      </c>
      <c r="I764" s="7"/>
      <c r="J764" s="7"/>
      <c r="K764" s="7">
        <v>4000000</v>
      </c>
      <c r="L764" s="134">
        <f t="shared" si="66"/>
        <v>0.99894236078888821</v>
      </c>
      <c r="M764" s="7" t="str">
        <f t="shared" si="62"/>
        <v>C</v>
      </c>
      <c r="N764" s="7">
        <f t="shared" si="63"/>
        <v>0</v>
      </c>
      <c r="O764" s="7" t="str">
        <f t="shared" si="64"/>
        <v>Z</v>
      </c>
      <c r="P764" s="7" t="str">
        <f t="shared" si="65"/>
        <v>CZ</v>
      </c>
      <c r="S764" s="6" t="s">
        <v>552</v>
      </c>
      <c r="T764" s="7"/>
      <c r="U764" s="7" t="str">
        <v>CZ</v>
      </c>
      <c r="Y764" t="e">
        <v>#N/A</v>
      </c>
      <c r="Z764" s="104"/>
    </row>
    <row r="765" spans="1:26">
      <c r="A765" s="133" t="s">
        <v>937</v>
      </c>
      <c r="B765" s="7"/>
      <c r="C765" s="7"/>
      <c r="D765" s="7"/>
      <c r="E765" s="7"/>
      <c r="F765" s="7">
        <v>4000000</v>
      </c>
      <c r="G765" s="7"/>
      <c r="H765" s="7"/>
      <c r="I765" s="7"/>
      <c r="J765" s="7"/>
      <c r="K765" s="7">
        <v>4000000</v>
      </c>
      <c r="L765" s="134">
        <f t="shared" si="66"/>
        <v>0.99895565957787125</v>
      </c>
      <c r="M765" s="7" t="str">
        <f t="shared" si="62"/>
        <v>C</v>
      </c>
      <c r="N765" s="7">
        <f t="shared" si="63"/>
        <v>0</v>
      </c>
      <c r="O765" s="7" t="str">
        <f t="shared" si="64"/>
        <v>Z</v>
      </c>
      <c r="P765" s="7" t="str">
        <f t="shared" si="65"/>
        <v>CZ</v>
      </c>
      <c r="S765" s="6" t="s">
        <v>445</v>
      </c>
      <c r="T765" s="7"/>
      <c r="U765" s="7" t="str">
        <v>BZ</v>
      </c>
      <c r="Y765" t="e">
        <v>#N/A</v>
      </c>
      <c r="Z765" s="104"/>
    </row>
    <row r="766" spans="1:26">
      <c r="A766" s="133" t="s">
        <v>938</v>
      </c>
      <c r="B766" s="7"/>
      <c r="C766" s="7"/>
      <c r="D766" s="7"/>
      <c r="E766" s="7"/>
      <c r="F766" s="7">
        <v>4000000</v>
      </c>
      <c r="G766" s="7"/>
      <c r="H766" s="7"/>
      <c r="I766" s="7"/>
      <c r="J766" s="7"/>
      <c r="K766" s="7">
        <v>4000000</v>
      </c>
      <c r="L766" s="134">
        <f t="shared" si="66"/>
        <v>0.99896895836685429</v>
      </c>
      <c r="M766" s="7" t="str">
        <f t="shared" si="62"/>
        <v>C</v>
      </c>
      <c r="N766" s="7">
        <f t="shared" si="63"/>
        <v>0</v>
      </c>
      <c r="O766" s="7" t="str">
        <f t="shared" si="64"/>
        <v>Z</v>
      </c>
      <c r="P766" s="7" t="str">
        <f t="shared" si="65"/>
        <v>CZ</v>
      </c>
      <c r="S766" s="6" t="s">
        <v>529</v>
      </c>
      <c r="T766" s="7"/>
      <c r="U766" s="7" t="str">
        <v>BZ</v>
      </c>
      <c r="Y766" t="e">
        <v>#N/A</v>
      </c>
      <c r="Z766" s="104"/>
    </row>
    <row r="767" spans="1:26">
      <c r="A767" s="133" t="s">
        <v>939</v>
      </c>
      <c r="B767" s="7"/>
      <c r="C767" s="7"/>
      <c r="D767" s="7"/>
      <c r="E767" s="7"/>
      <c r="F767" s="7"/>
      <c r="G767" s="7">
        <v>4000000</v>
      </c>
      <c r="H767" s="7"/>
      <c r="I767" s="7"/>
      <c r="J767" s="7"/>
      <c r="K767" s="7">
        <v>4000000</v>
      </c>
      <c r="L767" s="134">
        <f t="shared" si="66"/>
        <v>0.99898225715583733</v>
      </c>
      <c r="M767" s="7" t="str">
        <f t="shared" si="62"/>
        <v>C</v>
      </c>
      <c r="N767" s="7">
        <f t="shared" si="63"/>
        <v>0</v>
      </c>
      <c r="O767" s="7" t="str">
        <f t="shared" si="64"/>
        <v>Z</v>
      </c>
      <c r="P767" s="7" t="str">
        <f t="shared" si="65"/>
        <v>CZ</v>
      </c>
      <c r="S767" s="6" t="s">
        <v>529</v>
      </c>
      <c r="T767" s="7"/>
      <c r="U767" s="7" t="str">
        <v>BZ</v>
      </c>
      <c r="Y767" t="e">
        <v>#N/A</v>
      </c>
      <c r="Z767" s="104"/>
    </row>
    <row r="768" spans="1:26">
      <c r="A768" s="133" t="s">
        <v>940</v>
      </c>
      <c r="B768" s="7">
        <v>3990000</v>
      </c>
      <c r="C768" s="7"/>
      <c r="D768" s="7"/>
      <c r="E768" s="7"/>
      <c r="F768" s="7"/>
      <c r="G768" s="7"/>
      <c r="H768" s="7"/>
      <c r="I768" s="7"/>
      <c r="J768" s="7"/>
      <c r="K768" s="7">
        <v>3990000</v>
      </c>
      <c r="L768" s="134">
        <f t="shared" si="66"/>
        <v>0.99899552269784786</v>
      </c>
      <c r="M768" s="7" t="str">
        <f t="shared" si="62"/>
        <v>C</v>
      </c>
      <c r="N768" s="7">
        <f t="shared" si="63"/>
        <v>0</v>
      </c>
      <c r="O768" s="7" t="str">
        <f t="shared" si="64"/>
        <v>Z</v>
      </c>
      <c r="P768" s="7" t="str">
        <f t="shared" si="65"/>
        <v>CZ</v>
      </c>
      <c r="S768" s="6" t="s">
        <v>445</v>
      </c>
      <c r="T768" s="7"/>
      <c r="U768" s="7" t="str">
        <v>BZ</v>
      </c>
      <c r="Y768" t="e">
        <v>#N/A</v>
      </c>
      <c r="Z768" s="104"/>
    </row>
    <row r="769" spans="1:26">
      <c r="A769" s="133" t="s">
        <v>941</v>
      </c>
      <c r="B769" s="7">
        <v>3990000</v>
      </c>
      <c r="C769" s="7"/>
      <c r="D769" s="7"/>
      <c r="E769" s="7"/>
      <c r="F769" s="7"/>
      <c r="G769" s="7"/>
      <c r="H769" s="7"/>
      <c r="I769" s="7"/>
      <c r="J769" s="7"/>
      <c r="K769" s="7">
        <v>3990000</v>
      </c>
      <c r="L769" s="134">
        <f t="shared" si="66"/>
        <v>0.99900878823985839</v>
      </c>
      <c r="M769" s="7" t="str">
        <f t="shared" si="62"/>
        <v>C</v>
      </c>
      <c r="N769" s="7">
        <f t="shared" si="63"/>
        <v>0</v>
      </c>
      <c r="O769" s="7" t="str">
        <f t="shared" si="64"/>
        <v>Z</v>
      </c>
      <c r="P769" s="7" t="str">
        <f t="shared" si="65"/>
        <v>CZ</v>
      </c>
      <c r="S769" s="6" t="s">
        <v>414</v>
      </c>
      <c r="T769" s="7"/>
      <c r="U769" s="7" t="str">
        <v>BZ</v>
      </c>
      <c r="Y769" t="e">
        <v>#N/A</v>
      </c>
      <c r="Z769" s="104"/>
    </row>
    <row r="770" spans="1:26">
      <c r="A770" s="133" t="s">
        <v>942</v>
      </c>
      <c r="B770" s="7"/>
      <c r="C770" s="7"/>
      <c r="D770" s="7"/>
      <c r="E770" s="7"/>
      <c r="F770" s="7"/>
      <c r="G770" s="7">
        <v>3990000</v>
      </c>
      <c r="H770" s="7"/>
      <c r="I770" s="7"/>
      <c r="J770" s="7"/>
      <c r="K770" s="7">
        <v>3990000</v>
      </c>
      <c r="L770" s="134">
        <f t="shared" si="66"/>
        <v>0.99902205378186892</v>
      </c>
      <c r="M770" s="7" t="str">
        <f t="shared" si="62"/>
        <v>C</v>
      </c>
      <c r="N770" s="7">
        <f t="shared" si="63"/>
        <v>0</v>
      </c>
      <c r="O770" s="7" t="str">
        <f t="shared" si="64"/>
        <v>Z</v>
      </c>
      <c r="P770" s="7" t="str">
        <f t="shared" si="65"/>
        <v>CZ</v>
      </c>
      <c r="S770" s="6" t="s">
        <v>374</v>
      </c>
      <c r="T770" s="7"/>
      <c r="U770" s="7" t="str">
        <v>BY</v>
      </c>
      <c r="Y770" t="e">
        <v>#N/A</v>
      </c>
      <c r="Z770" s="104"/>
    </row>
    <row r="771" spans="1:26">
      <c r="A771" s="133" t="s">
        <v>943</v>
      </c>
      <c r="B771" s="7"/>
      <c r="C771" s="7"/>
      <c r="D771" s="7"/>
      <c r="E771" s="7"/>
      <c r="F771" s="7"/>
      <c r="G771" s="7">
        <v>3980000</v>
      </c>
      <c r="H771" s="7"/>
      <c r="I771" s="7"/>
      <c r="J771" s="7"/>
      <c r="K771" s="7">
        <v>3980000</v>
      </c>
      <c r="L771" s="134">
        <f t="shared" si="66"/>
        <v>0.99903528607690706</v>
      </c>
      <c r="M771" s="7" t="str">
        <f t="shared" si="62"/>
        <v>C</v>
      </c>
      <c r="N771" s="7">
        <f t="shared" si="63"/>
        <v>0</v>
      </c>
      <c r="O771" s="7" t="str">
        <f t="shared" si="64"/>
        <v>Z</v>
      </c>
      <c r="P771" s="7" t="str">
        <f t="shared" si="65"/>
        <v>CZ</v>
      </c>
      <c r="S771" s="6" t="s">
        <v>429</v>
      </c>
      <c r="T771" s="7"/>
      <c r="U771" s="7" t="str">
        <v>BZ</v>
      </c>
      <c r="Y771" t="e">
        <v>#N/A</v>
      </c>
      <c r="Z771" s="104"/>
    </row>
    <row r="772" spans="1:26">
      <c r="A772" s="133" t="s">
        <v>317</v>
      </c>
      <c r="B772" s="7">
        <v>950000</v>
      </c>
      <c r="C772" s="7"/>
      <c r="D772" s="7"/>
      <c r="E772" s="7">
        <v>1007000</v>
      </c>
      <c r="F772" s="7"/>
      <c r="G772" s="7">
        <v>1007000</v>
      </c>
      <c r="H772" s="7"/>
      <c r="I772" s="7">
        <v>1007000</v>
      </c>
      <c r="J772" s="7"/>
      <c r="K772" s="7">
        <v>3971000</v>
      </c>
      <c r="L772" s="134">
        <f t="shared" si="66"/>
        <v>0.99904848844966998</v>
      </c>
      <c r="M772" s="7" t="str">
        <f t="shared" si="62"/>
        <v>C</v>
      </c>
      <c r="N772" s="7">
        <f t="shared" si="63"/>
        <v>2.4861973314385798E-2</v>
      </c>
      <c r="O772" s="7" t="str">
        <f t="shared" si="64"/>
        <v>X</v>
      </c>
      <c r="P772" s="7" t="str">
        <f t="shared" si="65"/>
        <v>CX</v>
      </c>
      <c r="S772" s="6" t="s">
        <v>422</v>
      </c>
      <c r="T772" s="7"/>
      <c r="U772" s="7" t="str">
        <v>CZ</v>
      </c>
      <c r="Y772" t="e">
        <v>#N/A</v>
      </c>
      <c r="Z772" s="104"/>
    </row>
    <row r="773" spans="1:26">
      <c r="A773" s="133" t="s">
        <v>944</v>
      </c>
      <c r="B773" s="7">
        <v>980000</v>
      </c>
      <c r="C773" s="7"/>
      <c r="D773" s="7"/>
      <c r="E773" s="7">
        <v>2940000</v>
      </c>
      <c r="F773" s="7"/>
      <c r="G773" s="7"/>
      <c r="H773" s="7"/>
      <c r="I773" s="7"/>
      <c r="J773" s="7"/>
      <c r="K773" s="7">
        <v>3920000</v>
      </c>
      <c r="L773" s="134">
        <f t="shared" si="66"/>
        <v>0.99906152126287329</v>
      </c>
      <c r="M773" s="7" t="str">
        <f t="shared" ref="M773:M836" si="67">IF(L773&lt;=0.8,"A",IF(L773&lt;=0.95,"B","C"))</f>
        <v>C</v>
      </c>
      <c r="N773" s="7">
        <f t="shared" ref="N773:N836" si="68">STDEVP(B773:J773)/AVERAGE(B773:J773)</f>
        <v>0.5</v>
      </c>
      <c r="O773" s="7" t="str">
        <f t="shared" ref="O773:O836" si="69">IF(N773=0,"Z",IF(N773&lt;=30%,"X",IF(N773&lt;=60%,"Y","Z")))</f>
        <v>Y</v>
      </c>
      <c r="P773" s="7" t="str">
        <f t="shared" ref="P773:P836" si="70">M773&amp;O773</f>
        <v>CY</v>
      </c>
      <c r="S773" s="6" t="s">
        <v>507</v>
      </c>
      <c r="T773" s="7"/>
      <c r="U773" s="7" t="str">
        <v>CX</v>
      </c>
      <c r="Y773" t="e">
        <v>#N/A</v>
      </c>
      <c r="Z773" s="104"/>
    </row>
    <row r="774" spans="1:26">
      <c r="A774" s="133" t="s">
        <v>945</v>
      </c>
      <c r="B774" s="7"/>
      <c r="C774" s="7"/>
      <c r="D774" s="7"/>
      <c r="E774" s="7"/>
      <c r="F774" s="7">
        <v>3840000</v>
      </c>
      <c r="G774" s="7"/>
      <c r="H774" s="7"/>
      <c r="I774" s="7"/>
      <c r="J774" s="7"/>
      <c r="K774" s="7">
        <v>3840000</v>
      </c>
      <c r="L774" s="134">
        <f t="shared" ref="L774:L837" si="71">K774/$K$932+L773</f>
        <v>0.99907428810029697</v>
      </c>
      <c r="M774" s="7" t="str">
        <f t="shared" si="67"/>
        <v>C</v>
      </c>
      <c r="N774" s="7">
        <f t="shared" si="68"/>
        <v>0</v>
      </c>
      <c r="O774" s="7" t="str">
        <f t="shared" si="69"/>
        <v>Z</v>
      </c>
      <c r="P774" s="7" t="str">
        <f t="shared" si="70"/>
        <v>CZ</v>
      </c>
      <c r="S774" s="6" t="s">
        <v>340</v>
      </c>
      <c r="T774" s="7"/>
      <c r="U774" s="7" t="str">
        <v>BY</v>
      </c>
      <c r="Y774" t="e">
        <v>#N/A</v>
      </c>
      <c r="Z774" s="104"/>
    </row>
    <row r="775" spans="1:26">
      <c r="A775" s="133" t="s">
        <v>946</v>
      </c>
      <c r="B775" s="7"/>
      <c r="C775" s="7"/>
      <c r="D775" s="7"/>
      <c r="E775" s="7"/>
      <c r="F775" s="7">
        <v>3818181.8181818202</v>
      </c>
      <c r="G775" s="7"/>
      <c r="H775" s="7"/>
      <c r="I775" s="7"/>
      <c r="J775" s="7"/>
      <c r="K775" s="7">
        <v>3818181.8181818202</v>
      </c>
      <c r="L775" s="134">
        <f t="shared" si="71"/>
        <v>0.99908698239887161</v>
      </c>
      <c r="M775" s="7" t="str">
        <f t="shared" si="67"/>
        <v>C</v>
      </c>
      <c r="N775" s="7">
        <f t="shared" si="68"/>
        <v>0</v>
      </c>
      <c r="O775" s="7" t="str">
        <f t="shared" si="69"/>
        <v>Z</v>
      </c>
      <c r="P775" s="7" t="str">
        <f t="shared" si="70"/>
        <v>CZ</v>
      </c>
      <c r="S775" s="6" t="s">
        <v>362</v>
      </c>
      <c r="T775" s="7"/>
      <c r="U775" s="7" t="str">
        <v>CZ</v>
      </c>
      <c r="Y775" t="e">
        <v>#N/A</v>
      </c>
      <c r="Z775" s="104"/>
    </row>
    <row r="776" spans="1:26">
      <c r="A776" s="133" t="s">
        <v>947</v>
      </c>
      <c r="B776" s="7">
        <v>3780000</v>
      </c>
      <c r="C776" s="7"/>
      <c r="D776" s="7"/>
      <c r="E776" s="7"/>
      <c r="F776" s="7"/>
      <c r="G776" s="7"/>
      <c r="H776" s="7"/>
      <c r="I776" s="7"/>
      <c r="J776" s="7"/>
      <c r="K776" s="7">
        <v>3780000</v>
      </c>
      <c r="L776" s="134">
        <f t="shared" si="71"/>
        <v>0.99909954975446058</v>
      </c>
      <c r="M776" s="7" t="str">
        <f t="shared" si="67"/>
        <v>C</v>
      </c>
      <c r="N776" s="7">
        <f t="shared" si="68"/>
        <v>0</v>
      </c>
      <c r="O776" s="7" t="str">
        <f t="shared" si="69"/>
        <v>Z</v>
      </c>
      <c r="P776" s="7" t="str">
        <f t="shared" si="70"/>
        <v>CZ</v>
      </c>
      <c r="S776" s="6" t="s">
        <v>343</v>
      </c>
      <c r="T776" s="7"/>
      <c r="U776" s="7" t="str">
        <v>CZ</v>
      </c>
      <c r="Y776" t="e">
        <v>#N/A</v>
      </c>
      <c r="Z776" s="104"/>
    </row>
    <row r="777" spans="1:26">
      <c r="A777" s="133" t="s">
        <v>948</v>
      </c>
      <c r="B777" s="7"/>
      <c r="C777" s="7">
        <v>3780000</v>
      </c>
      <c r="D777" s="7"/>
      <c r="E777" s="7"/>
      <c r="F777" s="7"/>
      <c r="G777" s="7"/>
      <c r="H777" s="7"/>
      <c r="I777" s="7"/>
      <c r="J777" s="7"/>
      <c r="K777" s="7">
        <v>3780000</v>
      </c>
      <c r="L777" s="134">
        <f t="shared" si="71"/>
        <v>0.99911211711004955</v>
      </c>
      <c r="M777" s="7" t="str">
        <f t="shared" si="67"/>
        <v>C</v>
      </c>
      <c r="N777" s="7">
        <f t="shared" si="68"/>
        <v>0</v>
      </c>
      <c r="O777" s="7" t="str">
        <f t="shared" si="69"/>
        <v>Z</v>
      </c>
      <c r="P777" s="7" t="str">
        <f t="shared" si="70"/>
        <v>CZ</v>
      </c>
      <c r="S777" s="6" t="s">
        <v>379</v>
      </c>
      <c r="T777" s="7"/>
      <c r="U777" s="7" t="str">
        <v>CX</v>
      </c>
      <c r="Y777" t="e">
        <v>#N/A</v>
      </c>
      <c r="Z777" s="104"/>
    </row>
    <row r="778" spans="1:26">
      <c r="A778" s="133" t="s">
        <v>949</v>
      </c>
      <c r="B778" s="7">
        <v>3700000</v>
      </c>
      <c r="C778" s="7"/>
      <c r="D778" s="7"/>
      <c r="E778" s="7"/>
      <c r="F778" s="7"/>
      <c r="G778" s="7"/>
      <c r="H778" s="7"/>
      <c r="I778" s="7"/>
      <c r="J778" s="7"/>
      <c r="K778" s="7">
        <v>3700000</v>
      </c>
      <c r="L778" s="134">
        <f t="shared" si="71"/>
        <v>0.99912441848985878</v>
      </c>
      <c r="M778" s="7" t="str">
        <f t="shared" si="67"/>
        <v>C</v>
      </c>
      <c r="N778" s="7">
        <f t="shared" si="68"/>
        <v>0</v>
      </c>
      <c r="O778" s="7" t="str">
        <f t="shared" si="69"/>
        <v>Z</v>
      </c>
      <c r="P778" s="7" t="str">
        <f t="shared" si="70"/>
        <v>CZ</v>
      </c>
      <c r="S778" s="6" t="s">
        <v>497</v>
      </c>
      <c r="T778" s="7"/>
      <c r="U778" s="7" t="str">
        <v>CX</v>
      </c>
      <c r="Y778" t="e">
        <v>#N/A</v>
      </c>
      <c r="Z778" s="104"/>
    </row>
    <row r="779" spans="1:26">
      <c r="A779" s="133" t="s">
        <v>581</v>
      </c>
      <c r="B779" s="7"/>
      <c r="C779" s="7"/>
      <c r="D779" s="7"/>
      <c r="E779" s="7"/>
      <c r="F779" s="7">
        <v>3600000</v>
      </c>
      <c r="G779" s="7"/>
      <c r="H779" s="7"/>
      <c r="I779" s="7"/>
      <c r="J779" s="7"/>
      <c r="K779" s="7">
        <v>3600000</v>
      </c>
      <c r="L779" s="134">
        <f t="shared" si="71"/>
        <v>0.99913638739994348</v>
      </c>
      <c r="M779" s="7" t="str">
        <f t="shared" si="67"/>
        <v>C</v>
      </c>
      <c r="N779" s="7">
        <f t="shared" si="68"/>
        <v>0</v>
      </c>
      <c r="O779" s="7" t="str">
        <f t="shared" si="69"/>
        <v>Z</v>
      </c>
      <c r="P779" s="7" t="str">
        <f t="shared" si="70"/>
        <v>CZ</v>
      </c>
      <c r="S779" s="6" t="s">
        <v>380</v>
      </c>
      <c r="T779" s="7"/>
      <c r="U779" s="7" t="str">
        <v>CX</v>
      </c>
      <c r="Y779" t="e">
        <v>#N/A</v>
      </c>
      <c r="Z779" s="104"/>
    </row>
    <row r="780" spans="1:26">
      <c r="A780" s="133" t="s">
        <v>950</v>
      </c>
      <c r="B780" s="7"/>
      <c r="C780" s="7"/>
      <c r="D780" s="7">
        <v>3550000</v>
      </c>
      <c r="E780" s="7"/>
      <c r="F780" s="7"/>
      <c r="G780" s="7"/>
      <c r="H780" s="7"/>
      <c r="I780" s="7"/>
      <c r="J780" s="7"/>
      <c r="K780" s="7">
        <v>3550000</v>
      </c>
      <c r="L780" s="134">
        <f t="shared" si="71"/>
        <v>0.99914819007516587</v>
      </c>
      <c r="M780" s="7" t="str">
        <f t="shared" si="67"/>
        <v>C</v>
      </c>
      <c r="N780" s="7">
        <f t="shared" si="68"/>
        <v>0</v>
      </c>
      <c r="O780" s="7" t="str">
        <f t="shared" si="69"/>
        <v>Z</v>
      </c>
      <c r="P780" s="7" t="str">
        <f t="shared" si="70"/>
        <v>CZ</v>
      </c>
      <c r="S780" s="6" t="s">
        <v>224</v>
      </c>
      <c r="T780" s="7"/>
      <c r="U780" s="7" t="str">
        <v>BY</v>
      </c>
      <c r="Y780" t="e">
        <v>#N/A</v>
      </c>
      <c r="Z780" s="104"/>
    </row>
    <row r="781" spans="1:26">
      <c r="A781" s="133" t="s">
        <v>951</v>
      </c>
      <c r="B781" s="7"/>
      <c r="C781" s="7"/>
      <c r="D781" s="7">
        <v>3550000</v>
      </c>
      <c r="E781" s="7"/>
      <c r="F781" s="7"/>
      <c r="G781" s="7"/>
      <c r="H781" s="7"/>
      <c r="I781" s="7"/>
      <c r="J781" s="7"/>
      <c r="K781" s="7">
        <v>3550000</v>
      </c>
      <c r="L781" s="134">
        <f t="shared" si="71"/>
        <v>0.99915999275038825</v>
      </c>
      <c r="M781" s="7" t="str">
        <f t="shared" si="67"/>
        <v>C</v>
      </c>
      <c r="N781" s="7">
        <f t="shared" si="68"/>
        <v>0</v>
      </c>
      <c r="O781" s="7" t="str">
        <f t="shared" si="69"/>
        <v>Z</v>
      </c>
      <c r="P781" s="7" t="str">
        <f t="shared" si="70"/>
        <v>CZ</v>
      </c>
      <c r="S781" s="6" t="s">
        <v>261</v>
      </c>
      <c r="T781" s="7"/>
      <c r="U781" s="7" t="str">
        <v>BZ</v>
      </c>
      <c r="Y781" t="e">
        <v>#N/A</v>
      </c>
      <c r="Z781" s="104"/>
    </row>
    <row r="782" spans="1:26">
      <c r="A782" s="133" t="s">
        <v>952</v>
      </c>
      <c r="B782" s="7"/>
      <c r="C782" s="7"/>
      <c r="D782" s="7">
        <v>3550000</v>
      </c>
      <c r="E782" s="7"/>
      <c r="F782" s="7"/>
      <c r="G782" s="7"/>
      <c r="H782" s="7"/>
      <c r="I782" s="7"/>
      <c r="J782" s="7"/>
      <c r="K782" s="7">
        <v>3550000</v>
      </c>
      <c r="L782" s="134">
        <f t="shared" si="71"/>
        <v>0.99917179542561063</v>
      </c>
      <c r="M782" s="7" t="str">
        <f t="shared" si="67"/>
        <v>C</v>
      </c>
      <c r="N782" s="7">
        <f t="shared" si="68"/>
        <v>0</v>
      </c>
      <c r="O782" s="7" t="str">
        <f t="shared" si="69"/>
        <v>Z</v>
      </c>
      <c r="P782" s="7" t="str">
        <f t="shared" si="70"/>
        <v>CZ</v>
      </c>
      <c r="S782" s="6" t="s">
        <v>261</v>
      </c>
      <c r="T782" s="7"/>
      <c r="U782" s="7" t="str">
        <v>BZ</v>
      </c>
      <c r="Y782" t="e">
        <v>#N/A</v>
      </c>
      <c r="Z782" s="104"/>
    </row>
    <row r="783" spans="1:26">
      <c r="A783" s="133" t="s">
        <v>953</v>
      </c>
      <c r="B783" s="7"/>
      <c r="C783" s="7"/>
      <c r="D783" s="7">
        <v>3550000</v>
      </c>
      <c r="E783" s="7"/>
      <c r="F783" s="7"/>
      <c r="G783" s="7"/>
      <c r="H783" s="7"/>
      <c r="I783" s="7"/>
      <c r="J783" s="7"/>
      <c r="K783" s="7">
        <v>3550000</v>
      </c>
      <c r="L783" s="134">
        <f t="shared" si="71"/>
        <v>0.99918359810083301</v>
      </c>
      <c r="M783" s="7" t="str">
        <f t="shared" si="67"/>
        <v>C</v>
      </c>
      <c r="N783" s="7">
        <f t="shared" si="68"/>
        <v>0</v>
      </c>
      <c r="O783" s="7" t="str">
        <f t="shared" si="69"/>
        <v>Z</v>
      </c>
      <c r="P783" s="7" t="str">
        <f t="shared" si="70"/>
        <v>CZ</v>
      </c>
      <c r="S783" s="6" t="s">
        <v>261</v>
      </c>
      <c r="T783" s="7"/>
      <c r="U783" s="7" t="str">
        <v>BZ</v>
      </c>
      <c r="Y783" t="e">
        <v>#N/A</v>
      </c>
      <c r="Z783" s="104"/>
    </row>
    <row r="784" spans="1:26">
      <c r="A784" s="133" t="s">
        <v>954</v>
      </c>
      <c r="B784" s="7"/>
      <c r="C784" s="7"/>
      <c r="D784" s="7"/>
      <c r="E784" s="7">
        <v>3550000</v>
      </c>
      <c r="F784" s="7"/>
      <c r="G784" s="7"/>
      <c r="H784" s="7"/>
      <c r="I784" s="7"/>
      <c r="J784" s="7"/>
      <c r="K784" s="7">
        <v>3550000</v>
      </c>
      <c r="L784" s="134">
        <f t="shared" si="71"/>
        <v>0.9991954007760554</v>
      </c>
      <c r="M784" s="7" t="str">
        <f t="shared" si="67"/>
        <v>C</v>
      </c>
      <c r="N784" s="7">
        <f t="shared" si="68"/>
        <v>0</v>
      </c>
      <c r="O784" s="7" t="str">
        <f t="shared" si="69"/>
        <v>Z</v>
      </c>
      <c r="P784" s="7" t="str">
        <f t="shared" si="70"/>
        <v>CZ</v>
      </c>
      <c r="S784" s="6" t="s">
        <v>452</v>
      </c>
      <c r="T784" s="7"/>
      <c r="U784" s="7" t="str">
        <v>CX</v>
      </c>
      <c r="Y784" t="e">
        <v>#N/A</v>
      </c>
      <c r="Z784" s="104"/>
    </row>
    <row r="785" spans="1:26">
      <c r="A785" s="133" t="s">
        <v>955</v>
      </c>
      <c r="B785" s="7"/>
      <c r="C785" s="7">
        <v>2800000</v>
      </c>
      <c r="D785" s="7"/>
      <c r="E785" s="7">
        <v>720000</v>
      </c>
      <c r="F785" s="7"/>
      <c r="G785" s="7"/>
      <c r="H785" s="7"/>
      <c r="I785" s="7"/>
      <c r="J785" s="7"/>
      <c r="K785" s="7">
        <v>3520000</v>
      </c>
      <c r="L785" s="134">
        <f t="shared" si="71"/>
        <v>0.99920710371036048</v>
      </c>
      <c r="M785" s="7" t="str">
        <f t="shared" si="67"/>
        <v>C</v>
      </c>
      <c r="N785" s="7">
        <f t="shared" si="68"/>
        <v>0.59090909090909094</v>
      </c>
      <c r="O785" s="7" t="str">
        <f t="shared" si="69"/>
        <v>Y</v>
      </c>
      <c r="P785" s="7" t="str">
        <f t="shared" si="70"/>
        <v>CY</v>
      </c>
      <c r="S785" s="6" t="s">
        <v>351</v>
      </c>
      <c r="T785" s="7"/>
      <c r="U785" s="7" t="str">
        <v>BZ</v>
      </c>
      <c r="Y785" t="e">
        <v>#N/A</v>
      </c>
      <c r="Z785" s="104"/>
    </row>
    <row r="786" spans="1:26">
      <c r="A786" s="133" t="s">
        <v>956</v>
      </c>
      <c r="B786" s="7"/>
      <c r="C786" s="7"/>
      <c r="D786" s="7"/>
      <c r="E786" s="7">
        <v>3520000</v>
      </c>
      <c r="F786" s="7"/>
      <c r="G786" s="7"/>
      <c r="H786" s="7"/>
      <c r="I786" s="7"/>
      <c r="J786" s="7"/>
      <c r="K786" s="7">
        <v>3520000</v>
      </c>
      <c r="L786" s="134">
        <f t="shared" si="71"/>
        <v>0.99921880664466556</v>
      </c>
      <c r="M786" s="7" t="str">
        <f t="shared" si="67"/>
        <v>C</v>
      </c>
      <c r="N786" s="7">
        <f t="shared" si="68"/>
        <v>0</v>
      </c>
      <c r="O786" s="7" t="str">
        <f t="shared" si="69"/>
        <v>Z</v>
      </c>
      <c r="P786" s="7" t="str">
        <f t="shared" si="70"/>
        <v>CZ</v>
      </c>
      <c r="S786" s="6" t="s">
        <v>506</v>
      </c>
      <c r="T786" s="7"/>
      <c r="U786" s="7" t="str">
        <v>BZ</v>
      </c>
      <c r="Y786" t="e">
        <v>#N/A</v>
      </c>
      <c r="Z786" s="104"/>
    </row>
    <row r="787" spans="1:26">
      <c r="A787" s="133" t="s">
        <v>957</v>
      </c>
      <c r="B787" s="7">
        <v>3500000</v>
      </c>
      <c r="C787" s="7"/>
      <c r="D787" s="7"/>
      <c r="E787" s="7"/>
      <c r="F787" s="7"/>
      <c r="G787" s="7"/>
      <c r="H787" s="7"/>
      <c r="I787" s="7"/>
      <c r="J787" s="7"/>
      <c r="K787" s="7">
        <v>3500000</v>
      </c>
      <c r="L787" s="134">
        <f t="shared" si="71"/>
        <v>0.99923044308502573</v>
      </c>
      <c r="M787" s="7" t="str">
        <f t="shared" si="67"/>
        <v>C</v>
      </c>
      <c r="N787" s="7">
        <f t="shared" si="68"/>
        <v>0</v>
      </c>
      <c r="O787" s="7" t="str">
        <f t="shared" si="69"/>
        <v>Z</v>
      </c>
      <c r="P787" s="7" t="str">
        <f t="shared" si="70"/>
        <v>CZ</v>
      </c>
      <c r="S787" s="6" t="s">
        <v>374</v>
      </c>
      <c r="T787" s="7"/>
      <c r="U787" s="7" t="str">
        <v>BY</v>
      </c>
      <c r="Y787" t="e">
        <v>#N/A</v>
      </c>
      <c r="Z787" s="104"/>
    </row>
    <row r="788" spans="1:26">
      <c r="A788" s="133" t="s">
        <v>958</v>
      </c>
      <c r="B788" s="7">
        <v>3500000</v>
      </c>
      <c r="C788" s="7"/>
      <c r="D788" s="7"/>
      <c r="E788" s="7"/>
      <c r="F788" s="7"/>
      <c r="G788" s="7"/>
      <c r="H788" s="7"/>
      <c r="I788" s="7"/>
      <c r="J788" s="7"/>
      <c r="K788" s="7">
        <v>3500000</v>
      </c>
      <c r="L788" s="134">
        <f t="shared" si="71"/>
        <v>0.99924207952538591</v>
      </c>
      <c r="M788" s="7" t="str">
        <f t="shared" si="67"/>
        <v>C</v>
      </c>
      <c r="N788" s="7">
        <f t="shared" si="68"/>
        <v>0</v>
      </c>
      <c r="O788" s="7" t="str">
        <f t="shared" si="69"/>
        <v>Z</v>
      </c>
      <c r="P788" s="7" t="str">
        <f t="shared" si="70"/>
        <v>CZ</v>
      </c>
      <c r="S788" s="6" t="s">
        <v>562</v>
      </c>
      <c r="T788" s="7"/>
      <c r="U788" s="7" t="str">
        <v>CZ</v>
      </c>
      <c r="Y788" t="e">
        <v>#N/A</v>
      </c>
      <c r="Z788" s="104"/>
    </row>
    <row r="789" spans="1:26">
      <c r="A789" s="133" t="s">
        <v>959</v>
      </c>
      <c r="B789" s="7"/>
      <c r="C789" s="7">
        <v>3500000</v>
      </c>
      <c r="D789" s="7"/>
      <c r="E789" s="7"/>
      <c r="F789" s="7"/>
      <c r="G789" s="7"/>
      <c r="H789" s="7"/>
      <c r="I789" s="7"/>
      <c r="J789" s="7"/>
      <c r="K789" s="7">
        <v>3500000</v>
      </c>
      <c r="L789" s="134">
        <f t="shared" si="71"/>
        <v>0.99925371596574608</v>
      </c>
      <c r="M789" s="7" t="str">
        <f t="shared" si="67"/>
        <v>C</v>
      </c>
      <c r="N789" s="7">
        <f t="shared" si="68"/>
        <v>0</v>
      </c>
      <c r="O789" s="7" t="str">
        <f t="shared" si="69"/>
        <v>Z</v>
      </c>
      <c r="P789" s="7" t="str">
        <f t="shared" si="70"/>
        <v>CZ</v>
      </c>
      <c r="S789" s="6" t="s">
        <v>816</v>
      </c>
      <c r="T789" s="7"/>
      <c r="U789" s="7" t="str">
        <v>CZ</v>
      </c>
      <c r="Y789" t="e">
        <v>#N/A</v>
      </c>
      <c r="Z789" s="104"/>
    </row>
    <row r="790" spans="1:26">
      <c r="A790" s="133" t="s">
        <v>960</v>
      </c>
      <c r="B790" s="7"/>
      <c r="C790" s="7"/>
      <c r="D790" s="7">
        <v>3500000</v>
      </c>
      <c r="E790" s="7"/>
      <c r="F790" s="7"/>
      <c r="G790" s="7"/>
      <c r="H790" s="7"/>
      <c r="I790" s="7"/>
      <c r="J790" s="7"/>
      <c r="K790" s="7">
        <v>3500000</v>
      </c>
      <c r="L790" s="134">
        <f t="shared" si="71"/>
        <v>0.99926535240610626</v>
      </c>
      <c r="M790" s="7" t="str">
        <f t="shared" si="67"/>
        <v>C</v>
      </c>
      <c r="N790" s="7">
        <f t="shared" si="68"/>
        <v>0</v>
      </c>
      <c r="O790" s="7" t="str">
        <f t="shared" si="69"/>
        <v>Z</v>
      </c>
      <c r="P790" s="7" t="str">
        <f t="shared" si="70"/>
        <v>CZ</v>
      </c>
      <c r="S790" s="6" t="s">
        <v>353</v>
      </c>
      <c r="T790" s="7"/>
      <c r="U790" s="7" t="str">
        <v>CZ</v>
      </c>
      <c r="Y790" t="e">
        <v>#N/A</v>
      </c>
      <c r="Z790" s="104"/>
    </row>
    <row r="791" spans="1:26">
      <c r="A791" s="133" t="s">
        <v>961</v>
      </c>
      <c r="B791" s="7"/>
      <c r="C791" s="7"/>
      <c r="D791" s="7"/>
      <c r="E791" s="7"/>
      <c r="F791" s="7"/>
      <c r="G791" s="7"/>
      <c r="H791" s="7"/>
      <c r="I791" s="7">
        <v>3500000</v>
      </c>
      <c r="J791" s="7"/>
      <c r="K791" s="7">
        <v>3500000</v>
      </c>
      <c r="L791" s="134">
        <f t="shared" si="71"/>
        <v>0.99927698884646643</v>
      </c>
      <c r="M791" s="7" t="str">
        <f t="shared" si="67"/>
        <v>C</v>
      </c>
      <c r="N791" s="7">
        <f t="shared" si="68"/>
        <v>0</v>
      </c>
      <c r="O791" s="7" t="str">
        <f t="shared" si="69"/>
        <v>Z</v>
      </c>
      <c r="P791" s="7" t="str">
        <f t="shared" si="70"/>
        <v>CZ</v>
      </c>
      <c r="S791" s="6" t="s">
        <v>690</v>
      </c>
      <c r="T791" s="7"/>
      <c r="U791" s="7" t="str">
        <v>CZ</v>
      </c>
      <c r="Y791" t="e">
        <v>#N/A</v>
      </c>
      <c r="Z791" s="104"/>
    </row>
    <row r="792" spans="1:26">
      <c r="A792" s="133" t="s">
        <v>468</v>
      </c>
      <c r="B792" s="7"/>
      <c r="C792" s="7"/>
      <c r="D792" s="7"/>
      <c r="E792" s="7"/>
      <c r="F792" s="7">
        <v>3450000</v>
      </c>
      <c r="G792" s="7"/>
      <c r="H792" s="7"/>
      <c r="I792" s="7"/>
      <c r="J792" s="7"/>
      <c r="K792" s="7">
        <v>3450000</v>
      </c>
      <c r="L792" s="134">
        <f t="shared" si="71"/>
        <v>0.99928845905196428</v>
      </c>
      <c r="M792" s="7" t="str">
        <f t="shared" si="67"/>
        <v>C</v>
      </c>
      <c r="N792" s="7">
        <f t="shared" si="68"/>
        <v>0</v>
      </c>
      <c r="O792" s="7" t="str">
        <f t="shared" si="69"/>
        <v>Z</v>
      </c>
      <c r="P792" s="7" t="str">
        <f t="shared" si="70"/>
        <v>CZ</v>
      </c>
      <c r="S792" s="6" t="s">
        <v>340</v>
      </c>
      <c r="T792" s="7"/>
      <c r="U792" s="7" t="str">
        <v>BY</v>
      </c>
      <c r="Y792" t="e">
        <v>#N/A</v>
      </c>
      <c r="Z792" s="104"/>
    </row>
    <row r="793" spans="1:26">
      <c r="A793" s="133" t="s">
        <v>839</v>
      </c>
      <c r="B793" s="7"/>
      <c r="C793" s="7"/>
      <c r="D793" s="7"/>
      <c r="E793" s="7"/>
      <c r="F793" s="7"/>
      <c r="G793" s="7">
        <v>3390000</v>
      </c>
      <c r="H793" s="7"/>
      <c r="I793" s="7"/>
      <c r="J793" s="7"/>
      <c r="K793" s="7">
        <v>3390000</v>
      </c>
      <c r="L793" s="134">
        <f t="shared" si="71"/>
        <v>0.99929972977562742</v>
      </c>
      <c r="M793" s="7" t="str">
        <f t="shared" si="67"/>
        <v>C</v>
      </c>
      <c r="N793" s="7">
        <f t="shared" si="68"/>
        <v>0</v>
      </c>
      <c r="O793" s="7" t="str">
        <f t="shared" si="69"/>
        <v>Z</v>
      </c>
      <c r="P793" s="7" t="str">
        <f t="shared" si="70"/>
        <v>CZ</v>
      </c>
      <c r="S793" s="6" t="s">
        <v>371</v>
      </c>
      <c r="T793" s="7"/>
      <c r="U793" s="7" t="str">
        <v>BZ</v>
      </c>
      <c r="Y793" t="e">
        <v>#N/A</v>
      </c>
      <c r="Z793" s="104"/>
    </row>
    <row r="794" spans="1:26">
      <c r="A794" s="133" t="s">
        <v>913</v>
      </c>
      <c r="B794" s="7"/>
      <c r="C794" s="7"/>
      <c r="D794" s="7"/>
      <c r="E794" s="7"/>
      <c r="F794" s="7"/>
      <c r="G794" s="7">
        <v>3360000</v>
      </c>
      <c r="H794" s="7"/>
      <c r="I794" s="7"/>
      <c r="J794" s="7"/>
      <c r="K794" s="7">
        <v>3360000</v>
      </c>
      <c r="L794" s="134">
        <f t="shared" si="71"/>
        <v>0.99931090075837314</v>
      </c>
      <c r="M794" s="7" t="str">
        <f t="shared" si="67"/>
        <v>C</v>
      </c>
      <c r="N794" s="7">
        <f t="shared" si="68"/>
        <v>0</v>
      </c>
      <c r="O794" s="7" t="str">
        <f t="shared" si="69"/>
        <v>Z</v>
      </c>
      <c r="P794" s="7" t="str">
        <f t="shared" si="70"/>
        <v>CZ</v>
      </c>
      <c r="S794" s="6" t="s">
        <v>348</v>
      </c>
      <c r="T794" s="7"/>
      <c r="U794" s="7" t="str">
        <v>BZ</v>
      </c>
      <c r="Y794" t="e">
        <v>#N/A</v>
      </c>
      <c r="Z794" s="104"/>
    </row>
    <row r="795" spans="1:26">
      <c r="A795" s="133" t="s">
        <v>914</v>
      </c>
      <c r="B795" s="7"/>
      <c r="C795" s="7"/>
      <c r="D795" s="7"/>
      <c r="E795" s="7"/>
      <c r="F795" s="7"/>
      <c r="G795" s="7">
        <v>3360000</v>
      </c>
      <c r="H795" s="7"/>
      <c r="I795" s="7"/>
      <c r="J795" s="7"/>
      <c r="K795" s="7">
        <v>3360000</v>
      </c>
      <c r="L795" s="134">
        <f t="shared" si="71"/>
        <v>0.99932207174111887</v>
      </c>
      <c r="M795" s="7" t="str">
        <f t="shared" si="67"/>
        <v>C</v>
      </c>
      <c r="N795" s="7">
        <f t="shared" si="68"/>
        <v>0</v>
      </c>
      <c r="O795" s="7" t="str">
        <f t="shared" si="69"/>
        <v>Z</v>
      </c>
      <c r="P795" s="7" t="str">
        <f t="shared" si="70"/>
        <v>CZ</v>
      </c>
      <c r="S795" s="6" t="s">
        <v>739</v>
      </c>
      <c r="T795" s="7"/>
      <c r="U795" s="7" t="str">
        <v>CY</v>
      </c>
      <c r="Y795" t="e">
        <v>#N/A</v>
      </c>
      <c r="Z795" s="104"/>
    </row>
    <row r="796" spans="1:26">
      <c r="A796" s="133" t="s">
        <v>962</v>
      </c>
      <c r="B796" s="7"/>
      <c r="C796" s="7"/>
      <c r="D796" s="7"/>
      <c r="E796" s="7"/>
      <c r="F796" s="7">
        <v>3350000</v>
      </c>
      <c r="G796" s="7"/>
      <c r="H796" s="7"/>
      <c r="I796" s="7"/>
      <c r="J796" s="7"/>
      <c r="K796" s="7">
        <v>3350000</v>
      </c>
      <c r="L796" s="134">
        <f t="shared" si="71"/>
        <v>0.99933320947689208</v>
      </c>
      <c r="M796" s="7" t="str">
        <f t="shared" si="67"/>
        <v>C</v>
      </c>
      <c r="N796" s="7">
        <f t="shared" si="68"/>
        <v>0</v>
      </c>
      <c r="O796" s="7" t="str">
        <f t="shared" si="69"/>
        <v>Z</v>
      </c>
      <c r="P796" s="7" t="str">
        <f t="shared" si="70"/>
        <v>CZ</v>
      </c>
      <c r="S796" s="6" t="s">
        <v>350</v>
      </c>
      <c r="T796" s="7"/>
      <c r="U796" s="7" t="str">
        <v>BZ</v>
      </c>
      <c r="Y796" t="e">
        <v>#N/A</v>
      </c>
      <c r="Z796" s="104"/>
    </row>
    <row r="797" spans="1:26">
      <c r="A797" s="133" t="s">
        <v>870</v>
      </c>
      <c r="B797" s="7">
        <v>390000</v>
      </c>
      <c r="C797" s="7"/>
      <c r="D797" s="7"/>
      <c r="E797" s="7"/>
      <c r="F797" s="7">
        <v>1381250</v>
      </c>
      <c r="G797" s="7">
        <v>1576000</v>
      </c>
      <c r="H797" s="7"/>
      <c r="I797" s="7"/>
      <c r="J797" s="7"/>
      <c r="K797" s="7">
        <v>3347250</v>
      </c>
      <c r="L797" s="134">
        <f t="shared" si="71"/>
        <v>0.99934433806974787</v>
      </c>
      <c r="M797" s="7" t="str">
        <f t="shared" si="67"/>
        <v>C</v>
      </c>
      <c r="N797" s="7">
        <f t="shared" si="68"/>
        <v>0.46543141797260712</v>
      </c>
      <c r="O797" s="7" t="str">
        <f t="shared" si="69"/>
        <v>Y</v>
      </c>
      <c r="P797" s="7" t="str">
        <f t="shared" si="70"/>
        <v>CY</v>
      </c>
      <c r="S797" s="6" t="s">
        <v>364</v>
      </c>
      <c r="T797" s="7"/>
      <c r="U797" s="7" t="str">
        <v>BX</v>
      </c>
      <c r="Y797" t="e">
        <v>#N/A</v>
      </c>
      <c r="Z797" s="104"/>
    </row>
    <row r="798" spans="1:26">
      <c r="A798" s="133" t="s">
        <v>963</v>
      </c>
      <c r="B798" s="7"/>
      <c r="C798" s="7"/>
      <c r="D798" s="7">
        <v>3300000</v>
      </c>
      <c r="E798" s="7"/>
      <c r="F798" s="7"/>
      <c r="G798" s="7"/>
      <c r="H798" s="7"/>
      <c r="I798" s="7"/>
      <c r="J798" s="7"/>
      <c r="K798" s="7">
        <v>3300000</v>
      </c>
      <c r="L798" s="134">
        <f t="shared" si="71"/>
        <v>0.99935530957065888</v>
      </c>
      <c r="M798" s="7" t="str">
        <f t="shared" si="67"/>
        <v>C</v>
      </c>
      <c r="N798" s="7">
        <f t="shared" si="68"/>
        <v>0</v>
      </c>
      <c r="O798" s="7" t="str">
        <f t="shared" si="69"/>
        <v>Z</v>
      </c>
      <c r="P798" s="7" t="str">
        <f t="shared" si="70"/>
        <v>CZ</v>
      </c>
      <c r="S798" s="6" t="s">
        <v>364</v>
      </c>
      <c r="T798" s="7"/>
      <c r="U798" s="7" t="str">
        <v>BX</v>
      </c>
      <c r="Y798" t="e">
        <v>#N/A</v>
      </c>
      <c r="Z798" s="104"/>
    </row>
    <row r="799" spans="1:26">
      <c r="A799" s="133" t="s">
        <v>964</v>
      </c>
      <c r="B799" s="7"/>
      <c r="C799" s="7"/>
      <c r="D799" s="7"/>
      <c r="E799" s="7"/>
      <c r="F799" s="7">
        <v>3300000</v>
      </c>
      <c r="G799" s="7"/>
      <c r="H799" s="7"/>
      <c r="I799" s="7"/>
      <c r="J799" s="7"/>
      <c r="K799" s="7">
        <v>3300000</v>
      </c>
      <c r="L799" s="134">
        <f t="shared" si="71"/>
        <v>0.99936628107156988</v>
      </c>
      <c r="M799" s="7" t="str">
        <f t="shared" si="67"/>
        <v>C</v>
      </c>
      <c r="N799" s="7">
        <f t="shared" si="68"/>
        <v>0</v>
      </c>
      <c r="O799" s="7" t="str">
        <f t="shared" si="69"/>
        <v>Z</v>
      </c>
      <c r="P799" s="7" t="str">
        <f t="shared" si="70"/>
        <v>CZ</v>
      </c>
      <c r="S799" s="6" t="s">
        <v>364</v>
      </c>
      <c r="T799" s="7"/>
      <c r="U799" s="7" t="str">
        <v>BX</v>
      </c>
      <c r="Y799" t="e">
        <v>#N/A</v>
      </c>
      <c r="Z799" s="104"/>
    </row>
    <row r="800" spans="1:26">
      <c r="A800" s="133" t="s">
        <v>965</v>
      </c>
      <c r="B800" s="7"/>
      <c r="C800" s="7"/>
      <c r="D800" s="7"/>
      <c r="E800" s="7"/>
      <c r="F800" s="7"/>
      <c r="G800" s="7"/>
      <c r="H800" s="7">
        <v>3280000</v>
      </c>
      <c r="I800" s="7"/>
      <c r="J800" s="7"/>
      <c r="K800" s="7">
        <v>3280000</v>
      </c>
      <c r="L800" s="134">
        <f t="shared" si="71"/>
        <v>0.99937718607853598</v>
      </c>
      <c r="M800" s="7" t="str">
        <f t="shared" si="67"/>
        <v>C</v>
      </c>
      <c r="N800" s="7">
        <f t="shared" si="68"/>
        <v>0</v>
      </c>
      <c r="O800" s="7" t="str">
        <f t="shared" si="69"/>
        <v>Z</v>
      </c>
      <c r="P800" s="7" t="str">
        <f t="shared" si="70"/>
        <v>CZ</v>
      </c>
      <c r="S800" s="6" t="s">
        <v>364</v>
      </c>
      <c r="T800" s="7"/>
      <c r="U800" s="7" t="str">
        <v>BX</v>
      </c>
      <c r="Y800" t="e">
        <v>#N/A</v>
      </c>
      <c r="Z800" s="104"/>
    </row>
    <row r="801" spans="1:26">
      <c r="A801" s="133" t="s">
        <v>420</v>
      </c>
      <c r="B801" s="7"/>
      <c r="C801" s="7"/>
      <c r="D801" s="7"/>
      <c r="E801" s="7"/>
      <c r="F801" s="7"/>
      <c r="G801" s="7"/>
      <c r="H801" s="7">
        <v>3250000</v>
      </c>
      <c r="I801" s="7"/>
      <c r="J801" s="7"/>
      <c r="K801" s="7">
        <v>3250000</v>
      </c>
      <c r="L801" s="134">
        <f t="shared" si="71"/>
        <v>0.99938799134458467</v>
      </c>
      <c r="M801" s="7" t="str">
        <f t="shared" si="67"/>
        <v>C</v>
      </c>
      <c r="N801" s="7">
        <f t="shared" si="68"/>
        <v>0</v>
      </c>
      <c r="O801" s="7" t="str">
        <f t="shared" si="69"/>
        <v>Z</v>
      </c>
      <c r="P801" s="7" t="str">
        <f t="shared" si="70"/>
        <v>CZ</v>
      </c>
      <c r="S801" s="6" t="s">
        <v>364</v>
      </c>
      <c r="T801" s="7"/>
      <c r="U801" s="7" t="str">
        <v>BX</v>
      </c>
      <c r="Y801" t="e">
        <v>#N/A</v>
      </c>
      <c r="Z801" s="104"/>
    </row>
    <row r="802" spans="1:26">
      <c r="A802" s="133" t="s">
        <v>966</v>
      </c>
      <c r="B802" s="7"/>
      <c r="C802" s="7"/>
      <c r="D802" s="7"/>
      <c r="E802" s="7"/>
      <c r="F802" s="7"/>
      <c r="G802" s="7">
        <v>3170000</v>
      </c>
      <c r="H802" s="7"/>
      <c r="I802" s="7"/>
      <c r="J802" s="7"/>
      <c r="K802" s="7">
        <v>3170000</v>
      </c>
      <c r="L802" s="134">
        <f t="shared" si="71"/>
        <v>0.99939853063485373</v>
      </c>
      <c r="M802" s="7" t="str">
        <f t="shared" si="67"/>
        <v>C</v>
      </c>
      <c r="N802" s="7">
        <f t="shared" si="68"/>
        <v>0</v>
      </c>
      <c r="O802" s="7" t="str">
        <f t="shared" si="69"/>
        <v>Z</v>
      </c>
      <c r="P802" s="7" t="str">
        <f t="shared" si="70"/>
        <v>CZ</v>
      </c>
      <c r="S802" s="6" t="s">
        <v>900</v>
      </c>
      <c r="T802" s="7"/>
      <c r="U802" s="7" t="str">
        <v>CZ</v>
      </c>
      <c r="Y802" t="e">
        <v>#N/A</v>
      </c>
      <c r="Z802" s="104"/>
    </row>
    <row r="803" spans="1:26">
      <c r="A803" s="133" t="s">
        <v>967</v>
      </c>
      <c r="B803" s="7">
        <v>3160000</v>
      </c>
      <c r="C803" s="7"/>
      <c r="D803" s="7"/>
      <c r="E803" s="7"/>
      <c r="F803" s="7"/>
      <c r="G803" s="7"/>
      <c r="H803" s="7"/>
      <c r="I803" s="7"/>
      <c r="J803" s="7"/>
      <c r="K803" s="7">
        <v>3160000</v>
      </c>
      <c r="L803" s="134">
        <f t="shared" si="71"/>
        <v>0.99940903667815029</v>
      </c>
      <c r="M803" s="7" t="str">
        <f t="shared" si="67"/>
        <v>C</v>
      </c>
      <c r="N803" s="7">
        <f t="shared" si="68"/>
        <v>0</v>
      </c>
      <c r="O803" s="7" t="str">
        <f t="shared" si="69"/>
        <v>Z</v>
      </c>
      <c r="P803" s="7" t="str">
        <f t="shared" si="70"/>
        <v>CZ</v>
      </c>
      <c r="S803" s="6" t="s">
        <v>654</v>
      </c>
      <c r="T803" s="7"/>
      <c r="U803" s="7" t="str">
        <v>CZ</v>
      </c>
      <c r="Y803" t="e">
        <v>#N/A</v>
      </c>
      <c r="Z803" s="104"/>
    </row>
    <row r="804" spans="1:26">
      <c r="A804" s="133" t="s">
        <v>968</v>
      </c>
      <c r="B804" s="7">
        <v>3150000</v>
      </c>
      <c r="C804" s="7"/>
      <c r="D804" s="7"/>
      <c r="E804" s="7"/>
      <c r="F804" s="7"/>
      <c r="G804" s="7"/>
      <c r="H804" s="7"/>
      <c r="I804" s="7"/>
      <c r="J804" s="7"/>
      <c r="K804" s="7">
        <v>3150000</v>
      </c>
      <c r="L804" s="134">
        <f t="shared" si="71"/>
        <v>0.99941950947447444</v>
      </c>
      <c r="M804" s="7" t="str">
        <f t="shared" si="67"/>
        <v>C</v>
      </c>
      <c r="N804" s="7">
        <f t="shared" si="68"/>
        <v>0</v>
      </c>
      <c r="O804" s="7" t="str">
        <f t="shared" si="69"/>
        <v>Z</v>
      </c>
      <c r="P804" s="7" t="str">
        <f t="shared" si="70"/>
        <v>CZ</v>
      </c>
      <c r="S804" s="6" t="s">
        <v>312</v>
      </c>
      <c r="T804" s="7"/>
      <c r="U804" s="7" t="str">
        <v>CX</v>
      </c>
      <c r="Y804" t="e">
        <v>#N/A</v>
      </c>
      <c r="Z804" s="104"/>
    </row>
    <row r="805" spans="1:26">
      <c r="A805" s="133" t="s">
        <v>969</v>
      </c>
      <c r="B805" s="7"/>
      <c r="C805" s="7"/>
      <c r="D805" s="7"/>
      <c r="E805" s="7"/>
      <c r="F805" s="7">
        <v>3150000</v>
      </c>
      <c r="G805" s="7"/>
      <c r="H805" s="7"/>
      <c r="I805" s="7"/>
      <c r="J805" s="7"/>
      <c r="K805" s="7">
        <v>3150000</v>
      </c>
      <c r="L805" s="134">
        <f t="shared" si="71"/>
        <v>0.9994299822707986</v>
      </c>
      <c r="M805" s="7" t="str">
        <f t="shared" si="67"/>
        <v>C</v>
      </c>
      <c r="N805" s="7">
        <f t="shared" si="68"/>
        <v>0</v>
      </c>
      <c r="O805" s="7" t="str">
        <f t="shared" si="69"/>
        <v>Z</v>
      </c>
      <c r="P805" s="7" t="str">
        <f t="shared" si="70"/>
        <v>CZ</v>
      </c>
      <c r="S805" s="6" t="s">
        <v>357</v>
      </c>
      <c r="T805" s="7"/>
      <c r="U805" s="7" t="str">
        <v>BZ</v>
      </c>
      <c r="Y805" t="e">
        <v>#N/A</v>
      </c>
      <c r="Z805" s="104"/>
    </row>
    <row r="806" spans="1:26">
      <c r="A806" s="133" t="s">
        <v>382</v>
      </c>
      <c r="B806" s="7"/>
      <c r="C806" s="7"/>
      <c r="D806" s="7"/>
      <c r="E806" s="7"/>
      <c r="F806" s="7"/>
      <c r="G806" s="7"/>
      <c r="H806" s="7">
        <v>2677500</v>
      </c>
      <c r="I806" s="7">
        <v>472500</v>
      </c>
      <c r="J806" s="7"/>
      <c r="K806" s="7">
        <v>3150000</v>
      </c>
      <c r="L806" s="134">
        <f t="shared" si="71"/>
        <v>0.99944045506712276</v>
      </c>
      <c r="M806" s="7" t="str">
        <f t="shared" si="67"/>
        <v>C</v>
      </c>
      <c r="N806" s="7">
        <f t="shared" si="68"/>
        <v>0.7</v>
      </c>
      <c r="O806" s="7" t="str">
        <f t="shared" si="69"/>
        <v>Z</v>
      </c>
      <c r="P806" s="7" t="str">
        <f t="shared" si="70"/>
        <v>CZ</v>
      </c>
      <c r="S806" s="6" t="s">
        <v>332</v>
      </c>
      <c r="T806" s="7"/>
      <c r="U806" s="7" t="str">
        <v>BY</v>
      </c>
      <c r="Y806" t="e">
        <v>#N/A</v>
      </c>
      <c r="Z806" s="104"/>
    </row>
    <row r="807" spans="1:26">
      <c r="A807" s="133" t="s">
        <v>877</v>
      </c>
      <c r="B807" s="7"/>
      <c r="C807" s="7"/>
      <c r="D807" s="7"/>
      <c r="E807" s="7"/>
      <c r="F807" s="7">
        <v>3150000</v>
      </c>
      <c r="G807" s="7"/>
      <c r="H807" s="7"/>
      <c r="I807" s="7"/>
      <c r="J807" s="7"/>
      <c r="K807" s="7">
        <v>3150000</v>
      </c>
      <c r="L807" s="134">
        <f t="shared" si="71"/>
        <v>0.99945092786344691</v>
      </c>
      <c r="M807" s="7" t="str">
        <f t="shared" si="67"/>
        <v>C</v>
      </c>
      <c r="N807" s="7">
        <f t="shared" si="68"/>
        <v>0</v>
      </c>
      <c r="O807" s="7" t="str">
        <f t="shared" si="69"/>
        <v>Z</v>
      </c>
      <c r="P807" s="7" t="str">
        <f t="shared" si="70"/>
        <v>CZ</v>
      </c>
      <c r="S807" s="6" t="s">
        <v>406</v>
      </c>
      <c r="T807" s="7"/>
      <c r="U807" s="7" t="str">
        <v>BY</v>
      </c>
      <c r="Y807" t="e">
        <v>#N/A</v>
      </c>
      <c r="Z807" s="104"/>
    </row>
    <row r="808" spans="1:26">
      <c r="A808" s="133" t="s">
        <v>970</v>
      </c>
      <c r="B808" s="7"/>
      <c r="C808" s="7"/>
      <c r="D808" s="7"/>
      <c r="E808" s="7">
        <v>3082000</v>
      </c>
      <c r="F808" s="7"/>
      <c r="G808" s="7"/>
      <c r="H808" s="7"/>
      <c r="I808" s="7"/>
      <c r="J808" s="7"/>
      <c r="K808" s="7">
        <v>3082000</v>
      </c>
      <c r="L808" s="134">
        <f t="shared" si="71"/>
        <v>0.99946117458035832</v>
      </c>
      <c r="M808" s="7" t="str">
        <f t="shared" si="67"/>
        <v>C</v>
      </c>
      <c r="N808" s="7">
        <f t="shared" si="68"/>
        <v>0</v>
      </c>
      <c r="O808" s="7" t="str">
        <f t="shared" si="69"/>
        <v>Z</v>
      </c>
      <c r="P808" s="7" t="str">
        <f t="shared" si="70"/>
        <v>CZ</v>
      </c>
      <c r="S808" s="6" t="s">
        <v>341</v>
      </c>
      <c r="T808" s="7"/>
      <c r="U808" s="7" t="str">
        <v>CZ</v>
      </c>
      <c r="Y808" t="e">
        <v>#N/A</v>
      </c>
      <c r="Z808" s="104"/>
    </row>
    <row r="809" spans="1:26">
      <c r="A809" s="133" t="s">
        <v>396</v>
      </c>
      <c r="B809" s="7"/>
      <c r="C809" s="7"/>
      <c r="D809" s="7"/>
      <c r="E809" s="7"/>
      <c r="F809" s="7"/>
      <c r="G809" s="7"/>
      <c r="H809" s="7"/>
      <c r="I809" s="7">
        <v>3000000</v>
      </c>
      <c r="J809" s="7"/>
      <c r="K809" s="7">
        <v>3000000</v>
      </c>
      <c r="L809" s="134">
        <f t="shared" si="71"/>
        <v>0.99947114867209563</v>
      </c>
      <c r="M809" s="7" t="str">
        <f t="shared" si="67"/>
        <v>C</v>
      </c>
      <c r="N809" s="7">
        <f t="shared" si="68"/>
        <v>0</v>
      </c>
      <c r="O809" s="7" t="str">
        <f t="shared" si="69"/>
        <v>Z</v>
      </c>
      <c r="P809" s="7" t="str">
        <f t="shared" si="70"/>
        <v>CZ</v>
      </c>
      <c r="S809" s="6" t="s">
        <v>322</v>
      </c>
      <c r="T809" s="7"/>
      <c r="U809" s="7" t="str">
        <v>BZ</v>
      </c>
      <c r="Y809" t="e">
        <v>#N/A</v>
      </c>
      <c r="Z809" s="104"/>
    </row>
    <row r="810" spans="1:26">
      <c r="A810" s="133" t="s">
        <v>908</v>
      </c>
      <c r="B810" s="7"/>
      <c r="C810" s="7"/>
      <c r="D810" s="7"/>
      <c r="E810" s="7"/>
      <c r="F810" s="7"/>
      <c r="G810" s="7"/>
      <c r="H810" s="7"/>
      <c r="I810" s="7"/>
      <c r="J810" s="7">
        <v>2995000</v>
      </c>
      <c r="K810" s="7">
        <v>2995000</v>
      </c>
      <c r="L810" s="134">
        <f t="shared" si="71"/>
        <v>0.99948110614034669</v>
      </c>
      <c r="M810" s="7" t="str">
        <f t="shared" si="67"/>
        <v>C</v>
      </c>
      <c r="N810" s="7">
        <f t="shared" si="68"/>
        <v>0</v>
      </c>
      <c r="O810" s="7" t="str">
        <f t="shared" si="69"/>
        <v>Z</v>
      </c>
      <c r="P810" s="7" t="str">
        <f t="shared" si="70"/>
        <v>CZ</v>
      </c>
      <c r="S810" s="6" t="s">
        <v>544</v>
      </c>
      <c r="T810" s="7"/>
      <c r="U810" s="7" t="str">
        <v>CZ</v>
      </c>
      <c r="Y810" t="e">
        <v>#N/A</v>
      </c>
      <c r="Z810" s="104"/>
    </row>
    <row r="811" spans="1:26">
      <c r="A811" s="133" t="s">
        <v>910</v>
      </c>
      <c r="B811" s="7"/>
      <c r="C811" s="7"/>
      <c r="D811" s="7"/>
      <c r="E811" s="7"/>
      <c r="F811" s="7"/>
      <c r="G811" s="7"/>
      <c r="H811" s="7"/>
      <c r="I811" s="7"/>
      <c r="J811" s="7">
        <v>2995000</v>
      </c>
      <c r="K811" s="7">
        <v>2995000</v>
      </c>
      <c r="L811" s="134">
        <f t="shared" si="71"/>
        <v>0.99949106360859774</v>
      </c>
      <c r="M811" s="7" t="str">
        <f t="shared" si="67"/>
        <v>C</v>
      </c>
      <c r="N811" s="7">
        <f t="shared" si="68"/>
        <v>0</v>
      </c>
      <c r="O811" s="7" t="str">
        <f t="shared" si="69"/>
        <v>Z</v>
      </c>
      <c r="P811" s="7" t="str">
        <f t="shared" si="70"/>
        <v>CZ</v>
      </c>
      <c r="S811" s="6" t="s">
        <v>329</v>
      </c>
      <c r="T811" s="7"/>
      <c r="U811" s="7" t="str">
        <v>CZ</v>
      </c>
      <c r="Y811" t="e">
        <v>#N/A</v>
      </c>
      <c r="Z811" s="104"/>
    </row>
    <row r="812" spans="1:26">
      <c r="A812" s="133" t="s">
        <v>193</v>
      </c>
      <c r="B812" s="7"/>
      <c r="C812" s="7"/>
      <c r="D812" s="7"/>
      <c r="E812" s="7"/>
      <c r="F812" s="7"/>
      <c r="G812" s="7"/>
      <c r="H812" s="7"/>
      <c r="I812" s="7">
        <v>2970000</v>
      </c>
      <c r="J812" s="7"/>
      <c r="K812" s="7">
        <v>2970000</v>
      </c>
      <c r="L812" s="134">
        <f t="shared" si="71"/>
        <v>0.99950093795941763</v>
      </c>
      <c r="M812" s="7" t="str">
        <f t="shared" si="67"/>
        <v>C</v>
      </c>
      <c r="N812" s="7">
        <f t="shared" si="68"/>
        <v>0</v>
      </c>
      <c r="O812" s="7" t="str">
        <f t="shared" si="69"/>
        <v>Z</v>
      </c>
      <c r="P812" s="7" t="str">
        <f t="shared" si="70"/>
        <v>CZ</v>
      </c>
      <c r="S812" s="6" t="s">
        <v>372</v>
      </c>
      <c r="T812" s="7"/>
      <c r="U812" s="7" t="str">
        <v>CZ</v>
      </c>
      <c r="Y812" t="e">
        <v>#N/A</v>
      </c>
      <c r="Z812" s="104"/>
    </row>
    <row r="813" spans="1:26">
      <c r="A813" s="133" t="s">
        <v>971</v>
      </c>
      <c r="B813" s="7"/>
      <c r="C813" s="7"/>
      <c r="D813" s="7"/>
      <c r="E813" s="7"/>
      <c r="F813" s="7"/>
      <c r="G813" s="7">
        <v>2950000</v>
      </c>
      <c r="H813" s="7"/>
      <c r="I813" s="7"/>
      <c r="J813" s="7"/>
      <c r="K813" s="7">
        <v>2950000</v>
      </c>
      <c r="L813" s="134">
        <f t="shared" si="71"/>
        <v>0.99951074581629262</v>
      </c>
      <c r="M813" s="7" t="str">
        <f t="shared" si="67"/>
        <v>C</v>
      </c>
      <c r="N813" s="7">
        <f t="shared" si="68"/>
        <v>0</v>
      </c>
      <c r="O813" s="7" t="str">
        <f t="shared" si="69"/>
        <v>Z</v>
      </c>
      <c r="P813" s="7" t="str">
        <f t="shared" si="70"/>
        <v>CZ</v>
      </c>
      <c r="S813" s="6" t="s">
        <v>523</v>
      </c>
      <c r="T813" s="7"/>
      <c r="U813" s="7" t="str">
        <v>BZ</v>
      </c>
      <c r="Y813" t="e">
        <v>#N/A</v>
      </c>
      <c r="Z813" s="104"/>
    </row>
    <row r="814" spans="1:26">
      <c r="A814" s="133" t="s">
        <v>972</v>
      </c>
      <c r="B814" s="7"/>
      <c r="C814" s="7"/>
      <c r="D814" s="7"/>
      <c r="E814" s="7">
        <v>2940000</v>
      </c>
      <c r="F814" s="7"/>
      <c r="G814" s="7"/>
      <c r="H814" s="7"/>
      <c r="I814" s="7"/>
      <c r="J814" s="7"/>
      <c r="K814" s="7">
        <v>2940000</v>
      </c>
      <c r="L814" s="134">
        <f t="shared" si="71"/>
        <v>0.9995205204261951</v>
      </c>
      <c r="M814" s="7" t="str">
        <f t="shared" si="67"/>
        <v>C</v>
      </c>
      <c r="N814" s="7">
        <f t="shared" si="68"/>
        <v>0</v>
      </c>
      <c r="O814" s="7" t="str">
        <f t="shared" si="69"/>
        <v>Z</v>
      </c>
      <c r="P814" s="7" t="str">
        <f t="shared" si="70"/>
        <v>CZ</v>
      </c>
      <c r="S814" s="6" t="s">
        <v>259</v>
      </c>
      <c r="T814" s="7"/>
      <c r="U814" s="7" t="str">
        <v>CZ</v>
      </c>
      <c r="Y814" t="e">
        <v>#N/A</v>
      </c>
      <c r="Z814" s="104"/>
    </row>
    <row r="815" spans="1:26">
      <c r="A815" s="133" t="s">
        <v>973</v>
      </c>
      <c r="B815" s="7"/>
      <c r="C815" s="7"/>
      <c r="D815" s="7"/>
      <c r="E815" s="7"/>
      <c r="F815" s="7"/>
      <c r="G815" s="7">
        <v>2900000</v>
      </c>
      <c r="H815" s="7"/>
      <c r="I815" s="7"/>
      <c r="J815" s="7"/>
      <c r="K815" s="7">
        <v>2900000</v>
      </c>
      <c r="L815" s="134">
        <f t="shared" si="71"/>
        <v>0.99953016204820777</v>
      </c>
      <c r="M815" s="7" t="str">
        <f t="shared" si="67"/>
        <v>C</v>
      </c>
      <c r="N815" s="7">
        <f t="shared" si="68"/>
        <v>0</v>
      </c>
      <c r="O815" s="7" t="str">
        <f t="shared" si="69"/>
        <v>Z</v>
      </c>
      <c r="P815" s="7" t="str">
        <f t="shared" si="70"/>
        <v>CZ</v>
      </c>
      <c r="S815" s="6" t="s">
        <v>640</v>
      </c>
      <c r="T815" s="7"/>
      <c r="U815" s="7" t="str">
        <v>CX</v>
      </c>
      <c r="Y815" t="e">
        <v>#N/A</v>
      </c>
      <c r="Z815" s="104"/>
    </row>
    <row r="816" spans="1:26">
      <c r="A816" s="133" t="s">
        <v>207</v>
      </c>
      <c r="B816" s="7">
        <v>900000</v>
      </c>
      <c r="C816" s="7">
        <v>45000</v>
      </c>
      <c r="D816" s="7">
        <v>360000</v>
      </c>
      <c r="E816" s="7">
        <v>45000</v>
      </c>
      <c r="F816" s="7">
        <v>333000</v>
      </c>
      <c r="G816" s="7">
        <v>270000</v>
      </c>
      <c r="H816" s="7">
        <v>192000</v>
      </c>
      <c r="I816" s="7">
        <v>508800</v>
      </c>
      <c r="J816" s="7">
        <v>192000</v>
      </c>
      <c r="K816" s="7">
        <v>2845800</v>
      </c>
      <c r="L816" s="134">
        <f t="shared" si="71"/>
        <v>0.99953962347162972</v>
      </c>
      <c r="M816" s="7" t="str">
        <f t="shared" si="67"/>
        <v>C</v>
      </c>
      <c r="N816" s="7">
        <f t="shared" si="68"/>
        <v>0.78902250977083943</v>
      </c>
      <c r="O816" s="7" t="str">
        <f t="shared" si="69"/>
        <v>Z</v>
      </c>
      <c r="P816" s="7" t="str">
        <f t="shared" si="70"/>
        <v>CZ</v>
      </c>
      <c r="S816" s="6" t="s">
        <v>322</v>
      </c>
      <c r="T816" s="7"/>
      <c r="U816" s="7" t="str">
        <v>BZ</v>
      </c>
      <c r="Y816" t="e">
        <v>#N/A</v>
      </c>
      <c r="Z816" s="104"/>
    </row>
    <row r="817" spans="1:26">
      <c r="A817" s="133" t="s">
        <v>900</v>
      </c>
      <c r="B817" s="7"/>
      <c r="C817" s="7"/>
      <c r="D817" s="7"/>
      <c r="E817" s="7"/>
      <c r="F817" s="7"/>
      <c r="G817" s="7"/>
      <c r="H817" s="7">
        <v>2825000</v>
      </c>
      <c r="I817" s="7"/>
      <c r="J817" s="7"/>
      <c r="K817" s="7">
        <v>2825000</v>
      </c>
      <c r="L817" s="134">
        <f t="shared" si="71"/>
        <v>0.99954901574134902</v>
      </c>
      <c r="M817" s="7" t="str">
        <f t="shared" si="67"/>
        <v>C</v>
      </c>
      <c r="N817" s="7">
        <f t="shared" si="68"/>
        <v>0</v>
      </c>
      <c r="O817" s="7" t="str">
        <f t="shared" si="69"/>
        <v>Z</v>
      </c>
      <c r="P817" s="7" t="str">
        <f t="shared" si="70"/>
        <v>CZ</v>
      </c>
      <c r="S817" s="6" t="s">
        <v>356</v>
      </c>
      <c r="T817" s="7"/>
      <c r="U817" s="7" t="str">
        <v>BZ</v>
      </c>
      <c r="Y817" t="e">
        <v>#N/A</v>
      </c>
      <c r="Z817" s="104"/>
    </row>
    <row r="818" spans="1:26">
      <c r="A818" s="133" t="s">
        <v>974</v>
      </c>
      <c r="B818" s="7"/>
      <c r="C818" s="7"/>
      <c r="D818" s="7"/>
      <c r="E818" s="7"/>
      <c r="F818" s="7">
        <v>2800000</v>
      </c>
      <c r="G818" s="7"/>
      <c r="H818" s="7"/>
      <c r="I818" s="7"/>
      <c r="J818" s="7"/>
      <c r="K818" s="7">
        <v>2800000</v>
      </c>
      <c r="L818" s="134">
        <f t="shared" si="71"/>
        <v>0.99955832489363716</v>
      </c>
      <c r="M818" s="7" t="str">
        <f t="shared" si="67"/>
        <v>C</v>
      </c>
      <c r="N818" s="7">
        <f t="shared" si="68"/>
        <v>0</v>
      </c>
      <c r="O818" s="7" t="str">
        <f t="shared" si="69"/>
        <v>Z</v>
      </c>
      <c r="P818" s="7" t="str">
        <f t="shared" si="70"/>
        <v>CZ</v>
      </c>
      <c r="S818" s="6" t="s">
        <v>594</v>
      </c>
      <c r="T818" s="7"/>
      <c r="U818" s="7" t="str">
        <v>CY</v>
      </c>
      <c r="Y818" t="e">
        <v>#N/A</v>
      </c>
      <c r="Z818" s="104"/>
    </row>
    <row r="819" spans="1:26">
      <c r="A819" s="133" t="s">
        <v>975</v>
      </c>
      <c r="B819" s="7"/>
      <c r="C819" s="7"/>
      <c r="D819" s="7"/>
      <c r="E819" s="7"/>
      <c r="F819" s="7">
        <v>2790000</v>
      </c>
      <c r="G819" s="7"/>
      <c r="H819" s="7"/>
      <c r="I819" s="7"/>
      <c r="J819" s="7"/>
      <c r="K819" s="7">
        <v>2790000</v>
      </c>
      <c r="L819" s="134">
        <f t="shared" si="71"/>
        <v>0.99956760079895279</v>
      </c>
      <c r="M819" s="7" t="str">
        <f t="shared" si="67"/>
        <v>C</v>
      </c>
      <c r="N819" s="7">
        <f t="shared" si="68"/>
        <v>0</v>
      </c>
      <c r="O819" s="7" t="str">
        <f t="shared" si="69"/>
        <v>Z</v>
      </c>
      <c r="P819" s="7" t="str">
        <f t="shared" si="70"/>
        <v>CZ</v>
      </c>
      <c r="S819" s="6" t="s">
        <v>655</v>
      </c>
      <c r="T819" s="7"/>
      <c r="U819" s="7" t="str">
        <v>CX</v>
      </c>
      <c r="Y819" t="e">
        <v>#N/A</v>
      </c>
      <c r="Z819" s="104"/>
    </row>
    <row r="820" spans="1:26">
      <c r="A820" s="133" t="s">
        <v>329</v>
      </c>
      <c r="B820" s="7"/>
      <c r="C820" s="7"/>
      <c r="D820" s="7"/>
      <c r="E820" s="7"/>
      <c r="F820" s="7"/>
      <c r="G820" s="7"/>
      <c r="H820" s="7">
        <v>2769000</v>
      </c>
      <c r="I820" s="7"/>
      <c r="J820" s="7"/>
      <c r="K820" s="7">
        <v>2769000</v>
      </c>
      <c r="L820" s="134">
        <f t="shared" si="71"/>
        <v>0.99957680688562622</v>
      </c>
      <c r="M820" s="7" t="str">
        <f t="shared" si="67"/>
        <v>C</v>
      </c>
      <c r="N820" s="7">
        <f t="shared" si="68"/>
        <v>0</v>
      </c>
      <c r="O820" s="7" t="str">
        <f t="shared" si="69"/>
        <v>Z</v>
      </c>
      <c r="P820" s="7" t="str">
        <f t="shared" si="70"/>
        <v>CZ</v>
      </c>
      <c r="S820" s="6" t="s">
        <v>297</v>
      </c>
      <c r="T820" s="7"/>
      <c r="U820" s="7" t="str">
        <v>BZ</v>
      </c>
      <c r="Y820" t="e">
        <v>#N/A</v>
      </c>
      <c r="Z820" s="104"/>
    </row>
    <row r="821" spans="1:26">
      <c r="A821" s="133" t="s">
        <v>976</v>
      </c>
      <c r="B821" s="7"/>
      <c r="C821" s="7"/>
      <c r="D821" s="7"/>
      <c r="E821" s="7">
        <v>2750000</v>
      </c>
      <c r="F821" s="7"/>
      <c r="G821" s="7"/>
      <c r="H821" s="7"/>
      <c r="I821" s="7"/>
      <c r="J821" s="7"/>
      <c r="K821" s="7">
        <v>2750000</v>
      </c>
      <c r="L821" s="134">
        <f t="shared" si="71"/>
        <v>0.99958594980305204</v>
      </c>
      <c r="M821" s="7" t="str">
        <f t="shared" si="67"/>
        <v>C</v>
      </c>
      <c r="N821" s="7">
        <f t="shared" si="68"/>
        <v>0</v>
      </c>
      <c r="O821" s="7" t="str">
        <f t="shared" si="69"/>
        <v>Z</v>
      </c>
      <c r="P821" s="7" t="str">
        <f t="shared" si="70"/>
        <v>CZ</v>
      </c>
      <c r="S821" s="6" t="s">
        <v>297</v>
      </c>
      <c r="T821" s="7"/>
      <c r="U821" s="7" t="str">
        <v>BZ</v>
      </c>
      <c r="Y821" t="e">
        <v>#N/A</v>
      </c>
      <c r="Z821" s="104"/>
    </row>
    <row r="822" spans="1:26">
      <c r="A822" s="133" t="s">
        <v>375</v>
      </c>
      <c r="B822" s="7"/>
      <c r="C822" s="7">
        <v>1790000</v>
      </c>
      <c r="D822" s="7"/>
      <c r="E822" s="7"/>
      <c r="F822" s="7"/>
      <c r="G822" s="7">
        <v>948000</v>
      </c>
      <c r="H822" s="7"/>
      <c r="I822" s="7"/>
      <c r="J822" s="7"/>
      <c r="K822" s="7">
        <v>2738000</v>
      </c>
      <c r="L822" s="134">
        <f t="shared" si="71"/>
        <v>0.99959505282411087</v>
      </c>
      <c r="M822" s="7" t="str">
        <f t="shared" si="67"/>
        <v>C</v>
      </c>
      <c r="N822" s="7">
        <f t="shared" si="68"/>
        <v>0.30752373995617238</v>
      </c>
      <c r="O822" s="7" t="str">
        <f t="shared" si="69"/>
        <v>Y</v>
      </c>
      <c r="P822" s="7" t="str">
        <f t="shared" si="70"/>
        <v>CY</v>
      </c>
      <c r="S822" s="6" t="s">
        <v>335</v>
      </c>
      <c r="T822" s="7"/>
      <c r="U822" s="7" t="str">
        <v>BZ</v>
      </c>
      <c r="Y822" t="e">
        <v>#N/A</v>
      </c>
      <c r="Z822" s="104"/>
    </row>
    <row r="823" spans="1:26">
      <c r="A823" s="133" t="s">
        <v>977</v>
      </c>
      <c r="B823" s="7"/>
      <c r="C823" s="7"/>
      <c r="D823" s="7">
        <v>2700000</v>
      </c>
      <c r="E823" s="7"/>
      <c r="F823" s="7"/>
      <c r="G823" s="7"/>
      <c r="H823" s="7"/>
      <c r="I823" s="7"/>
      <c r="J823" s="7"/>
      <c r="K823" s="7">
        <v>2700000</v>
      </c>
      <c r="L823" s="134">
        <f t="shared" si="71"/>
        <v>0.99960402950667437</v>
      </c>
      <c r="M823" s="7" t="str">
        <f t="shared" si="67"/>
        <v>C</v>
      </c>
      <c r="N823" s="7">
        <f t="shared" si="68"/>
        <v>0</v>
      </c>
      <c r="O823" s="7" t="str">
        <f t="shared" si="69"/>
        <v>Z</v>
      </c>
      <c r="P823" s="7" t="str">
        <f t="shared" si="70"/>
        <v>CZ</v>
      </c>
      <c r="S823" s="6" t="s">
        <v>297</v>
      </c>
      <c r="T823" s="7"/>
      <c r="U823" s="7" t="str">
        <v>BZ</v>
      </c>
      <c r="Y823" t="e">
        <v>#N/A</v>
      </c>
      <c r="Z823" s="104"/>
    </row>
    <row r="824" spans="1:26">
      <c r="A824" s="133" t="s">
        <v>978</v>
      </c>
      <c r="B824" s="7"/>
      <c r="C824" s="7"/>
      <c r="D824" s="7">
        <v>2700000</v>
      </c>
      <c r="E824" s="7"/>
      <c r="F824" s="7"/>
      <c r="G824" s="7"/>
      <c r="H824" s="7"/>
      <c r="I824" s="7"/>
      <c r="J824" s="7"/>
      <c r="K824" s="7">
        <v>2700000</v>
      </c>
      <c r="L824" s="134">
        <f t="shared" si="71"/>
        <v>0.99961300618923787</v>
      </c>
      <c r="M824" s="7" t="str">
        <f t="shared" si="67"/>
        <v>C</v>
      </c>
      <c r="N824" s="7">
        <f t="shared" si="68"/>
        <v>0</v>
      </c>
      <c r="O824" s="7" t="str">
        <f t="shared" si="69"/>
        <v>Z</v>
      </c>
      <c r="P824" s="7" t="str">
        <f t="shared" si="70"/>
        <v>CZ</v>
      </c>
      <c r="S824" s="6" t="s">
        <v>526</v>
      </c>
      <c r="T824" s="7"/>
      <c r="U824" s="7" t="str">
        <v>CZ</v>
      </c>
      <c r="Y824" t="e">
        <v>#N/A</v>
      </c>
      <c r="Z824" s="104"/>
    </row>
    <row r="825" spans="1:26">
      <c r="A825" s="133" t="s">
        <v>979</v>
      </c>
      <c r="B825" s="7"/>
      <c r="C825" s="7"/>
      <c r="D825" s="7"/>
      <c r="E825" s="7"/>
      <c r="F825" s="7"/>
      <c r="G825" s="7">
        <v>2650000</v>
      </c>
      <c r="H825" s="7"/>
      <c r="I825" s="7"/>
      <c r="J825" s="7"/>
      <c r="K825" s="7">
        <v>2650000</v>
      </c>
      <c r="L825" s="134">
        <f t="shared" si="71"/>
        <v>0.99962181663693916</v>
      </c>
      <c r="M825" s="7" t="str">
        <f t="shared" si="67"/>
        <v>C</v>
      </c>
      <c r="N825" s="7">
        <f t="shared" si="68"/>
        <v>0</v>
      </c>
      <c r="O825" s="7" t="str">
        <f t="shared" si="69"/>
        <v>Z</v>
      </c>
      <c r="P825" s="7" t="str">
        <f t="shared" si="70"/>
        <v>CZ</v>
      </c>
      <c r="S825" s="6" t="s">
        <v>481</v>
      </c>
      <c r="T825" s="7"/>
      <c r="U825" s="7" t="str">
        <v>CY</v>
      </c>
      <c r="Y825" t="e">
        <v>#N/A</v>
      </c>
      <c r="Z825" s="104"/>
    </row>
    <row r="826" spans="1:26">
      <c r="A826" s="133" t="s">
        <v>980</v>
      </c>
      <c r="B826" s="7"/>
      <c r="C826" s="7"/>
      <c r="D826" s="7"/>
      <c r="E826" s="7"/>
      <c r="F826" s="7"/>
      <c r="G826" s="7"/>
      <c r="H826" s="7"/>
      <c r="I826" s="7">
        <v>2600000</v>
      </c>
      <c r="J826" s="7"/>
      <c r="K826" s="7">
        <v>2600000</v>
      </c>
      <c r="L826" s="134">
        <f t="shared" si="71"/>
        <v>0.99963046084977814</v>
      </c>
      <c r="M826" s="7" t="str">
        <f t="shared" si="67"/>
        <v>C</v>
      </c>
      <c r="N826" s="7">
        <f t="shared" si="68"/>
        <v>0</v>
      </c>
      <c r="O826" s="7" t="str">
        <f t="shared" si="69"/>
        <v>Z</v>
      </c>
      <c r="P826" s="7" t="str">
        <f t="shared" si="70"/>
        <v>CZ</v>
      </c>
      <c r="S826" s="6" t="s">
        <v>481</v>
      </c>
      <c r="T826" s="7"/>
      <c r="U826" s="7" t="str">
        <v>CY</v>
      </c>
      <c r="Y826" t="e">
        <v>#N/A</v>
      </c>
      <c r="Z826" s="104"/>
    </row>
    <row r="827" spans="1:26">
      <c r="A827" s="133" t="s">
        <v>981</v>
      </c>
      <c r="B827" s="7"/>
      <c r="C827" s="7"/>
      <c r="D827" s="7"/>
      <c r="E827" s="7">
        <v>2550000</v>
      </c>
      <c r="F827" s="7"/>
      <c r="G827" s="7"/>
      <c r="H827" s="7"/>
      <c r="I827" s="7"/>
      <c r="J827" s="7"/>
      <c r="K827" s="7">
        <v>2550000</v>
      </c>
      <c r="L827" s="134">
        <f t="shared" si="71"/>
        <v>0.99963893882775479</v>
      </c>
      <c r="M827" s="7" t="str">
        <f t="shared" si="67"/>
        <v>C</v>
      </c>
      <c r="N827" s="7">
        <f t="shared" si="68"/>
        <v>0</v>
      </c>
      <c r="O827" s="7" t="str">
        <f t="shared" si="69"/>
        <v>Z</v>
      </c>
      <c r="P827" s="7" t="str">
        <f t="shared" si="70"/>
        <v>CZ</v>
      </c>
      <c r="S827" s="6" t="s">
        <v>318</v>
      </c>
      <c r="T827" s="7"/>
      <c r="U827" s="7" t="str">
        <v>BZ</v>
      </c>
      <c r="Y827" t="e">
        <v>#N/A</v>
      </c>
      <c r="Z827" s="104"/>
    </row>
    <row r="828" spans="1:26">
      <c r="A828" s="133" t="s">
        <v>982</v>
      </c>
      <c r="B828" s="7"/>
      <c r="C828" s="7"/>
      <c r="D828" s="7"/>
      <c r="E828" s="7"/>
      <c r="F828" s="7"/>
      <c r="G828" s="7">
        <v>2550000</v>
      </c>
      <c r="H828" s="7"/>
      <c r="I828" s="7"/>
      <c r="J828" s="7"/>
      <c r="K828" s="7">
        <v>2550000</v>
      </c>
      <c r="L828" s="134">
        <f t="shared" si="71"/>
        <v>0.99964741680573144</v>
      </c>
      <c r="M828" s="7" t="str">
        <f t="shared" si="67"/>
        <v>C</v>
      </c>
      <c r="N828" s="7">
        <f t="shared" si="68"/>
        <v>0</v>
      </c>
      <c r="O828" s="7" t="str">
        <f t="shared" si="69"/>
        <v>Z</v>
      </c>
      <c r="P828" s="7" t="str">
        <f t="shared" si="70"/>
        <v>CZ</v>
      </c>
      <c r="S828" s="6" t="s">
        <v>303</v>
      </c>
      <c r="T828" s="7"/>
      <c r="U828" s="7" t="str">
        <v>BZ</v>
      </c>
      <c r="Y828" t="e">
        <v>#N/A</v>
      </c>
      <c r="Z828" s="104"/>
    </row>
    <row r="829" spans="1:26">
      <c r="A829" s="133" t="s">
        <v>444</v>
      </c>
      <c r="B829" s="7">
        <v>2500000</v>
      </c>
      <c r="C829" s="7"/>
      <c r="D829" s="7"/>
      <c r="E829" s="7"/>
      <c r="F829" s="7"/>
      <c r="G829" s="7"/>
      <c r="H829" s="7"/>
      <c r="I829" s="7"/>
      <c r="J829" s="7"/>
      <c r="K829" s="7">
        <v>2500000</v>
      </c>
      <c r="L829" s="134">
        <f t="shared" si="71"/>
        <v>0.99965572854884577</v>
      </c>
      <c r="M829" s="7" t="str">
        <f t="shared" si="67"/>
        <v>C</v>
      </c>
      <c r="N829" s="7">
        <f t="shared" si="68"/>
        <v>0</v>
      </c>
      <c r="O829" s="7" t="str">
        <f t="shared" si="69"/>
        <v>Z</v>
      </c>
      <c r="P829" s="7" t="str">
        <f t="shared" si="70"/>
        <v>CZ</v>
      </c>
      <c r="S829" s="6" t="s">
        <v>293</v>
      </c>
      <c r="T829" s="7"/>
      <c r="U829" s="7" t="str">
        <v>AY</v>
      </c>
      <c r="Y829" t="e">
        <v>#N/A</v>
      </c>
      <c r="Z829" s="104"/>
    </row>
    <row r="830" spans="1:26">
      <c r="A830" s="133" t="s">
        <v>983</v>
      </c>
      <c r="B830" s="7"/>
      <c r="C830" s="7"/>
      <c r="D830" s="7"/>
      <c r="E830" s="7">
        <v>2500000</v>
      </c>
      <c r="F830" s="7"/>
      <c r="G830" s="7"/>
      <c r="H830" s="7"/>
      <c r="I830" s="7"/>
      <c r="J830" s="7"/>
      <c r="K830" s="7">
        <v>2500000</v>
      </c>
      <c r="L830" s="134">
        <f t="shared" si="71"/>
        <v>0.9996640402919601</v>
      </c>
      <c r="M830" s="7" t="str">
        <f t="shared" si="67"/>
        <v>C</v>
      </c>
      <c r="N830" s="7">
        <f t="shared" si="68"/>
        <v>0</v>
      </c>
      <c r="O830" s="7" t="str">
        <f t="shared" si="69"/>
        <v>Z</v>
      </c>
      <c r="P830" s="7" t="str">
        <f t="shared" si="70"/>
        <v>CZ</v>
      </c>
      <c r="S830" s="6" t="s">
        <v>293</v>
      </c>
      <c r="T830" s="7"/>
      <c r="U830" s="7" t="str">
        <v>AY</v>
      </c>
      <c r="Y830" t="e">
        <v>#N/A</v>
      </c>
      <c r="Z830" s="104"/>
    </row>
    <row r="831" spans="1:26">
      <c r="A831" s="133" t="s">
        <v>984</v>
      </c>
      <c r="B831" s="7"/>
      <c r="C831" s="7"/>
      <c r="D831" s="7"/>
      <c r="E831" s="7"/>
      <c r="F831" s="7"/>
      <c r="G831" s="7"/>
      <c r="H831" s="7"/>
      <c r="I831" s="7">
        <v>2500000</v>
      </c>
      <c r="J831" s="7"/>
      <c r="K831" s="7">
        <v>2500000</v>
      </c>
      <c r="L831" s="134">
        <f t="shared" si="71"/>
        <v>0.99967235203507443</v>
      </c>
      <c r="M831" s="7" t="str">
        <f t="shared" si="67"/>
        <v>C</v>
      </c>
      <c r="N831" s="7">
        <f t="shared" si="68"/>
        <v>0</v>
      </c>
      <c r="O831" s="7" t="str">
        <f t="shared" si="69"/>
        <v>Z</v>
      </c>
      <c r="P831" s="7" t="str">
        <f t="shared" si="70"/>
        <v>CZ</v>
      </c>
      <c r="S831" s="6" t="s">
        <v>204</v>
      </c>
      <c r="T831" s="7"/>
      <c r="U831" s="7" t="str">
        <v>BY</v>
      </c>
      <c r="Y831" t="e">
        <v>#N/A</v>
      </c>
      <c r="Z831" s="104"/>
    </row>
    <row r="832" spans="1:26">
      <c r="A832" s="133" t="s">
        <v>158</v>
      </c>
      <c r="B832" s="7"/>
      <c r="C832" s="7"/>
      <c r="D832" s="7"/>
      <c r="E832" s="7"/>
      <c r="F832" s="7"/>
      <c r="G832" s="7"/>
      <c r="H832" s="7"/>
      <c r="I832" s="7"/>
      <c r="J832" s="7">
        <v>2400050</v>
      </c>
      <c r="K832" s="7">
        <v>2400050</v>
      </c>
      <c r="L832" s="134">
        <f t="shared" si="71"/>
        <v>0.99968033147469915</v>
      </c>
      <c r="M832" s="7" t="str">
        <f t="shared" si="67"/>
        <v>C</v>
      </c>
      <c r="N832" s="7">
        <f t="shared" si="68"/>
        <v>0</v>
      </c>
      <c r="O832" s="7" t="str">
        <f t="shared" si="69"/>
        <v>Z</v>
      </c>
      <c r="P832" s="7" t="str">
        <f t="shared" si="70"/>
        <v>CZ</v>
      </c>
      <c r="S832" s="6" t="s">
        <v>240</v>
      </c>
      <c r="T832" s="7"/>
      <c r="U832" s="7" t="str">
        <v>BZ</v>
      </c>
      <c r="Y832" t="e">
        <v>#N/A</v>
      </c>
      <c r="Z832" s="104"/>
    </row>
    <row r="833" spans="1:26">
      <c r="A833" s="133" t="s">
        <v>985</v>
      </c>
      <c r="B833" s="7"/>
      <c r="C833" s="7">
        <v>2400000</v>
      </c>
      <c r="D833" s="7"/>
      <c r="E833" s="7"/>
      <c r="F833" s="7"/>
      <c r="G833" s="7"/>
      <c r="H833" s="7"/>
      <c r="I833" s="7"/>
      <c r="J833" s="7"/>
      <c r="K833" s="7">
        <v>2400000</v>
      </c>
      <c r="L833" s="134">
        <f t="shared" si="71"/>
        <v>0.99968831074808895</v>
      </c>
      <c r="M833" s="7" t="str">
        <f t="shared" si="67"/>
        <v>C</v>
      </c>
      <c r="N833" s="7">
        <f t="shared" si="68"/>
        <v>0</v>
      </c>
      <c r="O833" s="7" t="str">
        <f t="shared" si="69"/>
        <v>Z</v>
      </c>
      <c r="P833" s="7" t="str">
        <f t="shared" si="70"/>
        <v>CZ</v>
      </c>
      <c r="S833" s="6" t="s">
        <v>249</v>
      </c>
      <c r="T833" s="7"/>
      <c r="U833" s="7" t="str">
        <v>AY</v>
      </c>
      <c r="Y833" t="e">
        <v>#N/A</v>
      </c>
      <c r="Z833" s="104"/>
    </row>
    <row r="834" spans="1:26">
      <c r="A834" s="133" t="s">
        <v>467</v>
      </c>
      <c r="B834" s="7"/>
      <c r="C834" s="7"/>
      <c r="D834" s="7"/>
      <c r="E834" s="7"/>
      <c r="F834" s="7">
        <v>2310000</v>
      </c>
      <c r="G834" s="7"/>
      <c r="H834" s="7"/>
      <c r="I834" s="7"/>
      <c r="J834" s="7"/>
      <c r="K834" s="7">
        <v>2310000</v>
      </c>
      <c r="L834" s="134">
        <f t="shared" si="71"/>
        <v>0.99969599079872662</v>
      </c>
      <c r="M834" s="7" t="str">
        <f t="shared" si="67"/>
        <v>C</v>
      </c>
      <c r="N834" s="7">
        <f t="shared" si="68"/>
        <v>0</v>
      </c>
      <c r="O834" s="7" t="str">
        <f t="shared" si="69"/>
        <v>Z</v>
      </c>
      <c r="P834" s="7" t="str">
        <f t="shared" si="70"/>
        <v>CZ</v>
      </c>
      <c r="S834" s="6" t="s">
        <v>414</v>
      </c>
      <c r="T834" s="7"/>
      <c r="U834" s="7" t="str">
        <v>BZ</v>
      </c>
      <c r="Y834" t="e">
        <v>#N/A</v>
      </c>
      <c r="Z834" s="104"/>
    </row>
    <row r="835" spans="1:26">
      <c r="A835" s="133" t="s">
        <v>986</v>
      </c>
      <c r="B835" s="7"/>
      <c r="C835" s="7"/>
      <c r="D835" s="7"/>
      <c r="E835" s="7"/>
      <c r="F835" s="7"/>
      <c r="G835" s="7">
        <v>2275000</v>
      </c>
      <c r="H835" s="7"/>
      <c r="I835" s="7"/>
      <c r="J835" s="7"/>
      <c r="K835" s="7">
        <v>2275000</v>
      </c>
      <c r="L835" s="134">
        <f t="shared" si="71"/>
        <v>0.99970355448496073</v>
      </c>
      <c r="M835" s="7" t="str">
        <f t="shared" si="67"/>
        <v>C</v>
      </c>
      <c r="N835" s="7">
        <f t="shared" si="68"/>
        <v>0</v>
      </c>
      <c r="O835" s="7" t="str">
        <f t="shared" si="69"/>
        <v>Z</v>
      </c>
      <c r="P835" s="7" t="str">
        <f t="shared" si="70"/>
        <v>CZ</v>
      </c>
      <c r="S835" s="6" t="s">
        <v>239</v>
      </c>
      <c r="T835" s="7"/>
      <c r="U835" s="7" t="str">
        <v>AZ</v>
      </c>
      <c r="Y835" t="e">
        <v>#N/A</v>
      </c>
      <c r="Z835" s="104"/>
    </row>
    <row r="836" spans="1:26">
      <c r="A836" s="133" t="s">
        <v>892</v>
      </c>
      <c r="B836" s="7"/>
      <c r="C836" s="7"/>
      <c r="D836" s="7"/>
      <c r="E836" s="7"/>
      <c r="F836" s="7"/>
      <c r="G836" s="7">
        <v>2250000</v>
      </c>
      <c r="H836" s="7"/>
      <c r="I836" s="7"/>
      <c r="J836" s="7"/>
      <c r="K836" s="7">
        <v>2250000</v>
      </c>
      <c r="L836" s="134">
        <f t="shared" si="71"/>
        <v>0.99971103505376369</v>
      </c>
      <c r="M836" s="7" t="str">
        <f t="shared" si="67"/>
        <v>C</v>
      </c>
      <c r="N836" s="7">
        <f t="shared" si="68"/>
        <v>0</v>
      </c>
      <c r="O836" s="7" t="str">
        <f t="shared" si="69"/>
        <v>Z</v>
      </c>
      <c r="P836" s="7" t="str">
        <f t="shared" si="70"/>
        <v>CZ</v>
      </c>
      <c r="S836" s="6" t="s">
        <v>210</v>
      </c>
      <c r="T836" s="7"/>
      <c r="U836" s="7" t="str">
        <v>AY</v>
      </c>
      <c r="Y836" t="e">
        <v>#N/A</v>
      </c>
      <c r="Z836" s="104"/>
    </row>
    <row r="837" spans="1:26">
      <c r="A837" s="133" t="s">
        <v>987</v>
      </c>
      <c r="B837" s="7"/>
      <c r="C837" s="7"/>
      <c r="D837" s="7"/>
      <c r="E837" s="7">
        <v>2241000</v>
      </c>
      <c r="F837" s="7"/>
      <c r="G837" s="7"/>
      <c r="H837" s="7"/>
      <c r="I837" s="7"/>
      <c r="J837" s="7"/>
      <c r="K837" s="7">
        <v>2241000</v>
      </c>
      <c r="L837" s="134">
        <f t="shared" si="71"/>
        <v>0.99971848570029143</v>
      </c>
      <c r="M837" s="7" t="str">
        <f t="shared" ref="M837:M900" si="72">IF(L837&lt;=0.8,"A",IF(L837&lt;=0.95,"B","C"))</f>
        <v>C</v>
      </c>
      <c r="N837" s="7">
        <f t="shared" ref="N837:N900" si="73">STDEVP(B837:J837)/AVERAGE(B837:J837)</f>
        <v>0</v>
      </c>
      <c r="O837" s="7" t="str">
        <f t="shared" ref="O837:O900" si="74">IF(N837=0,"Z",IF(N837&lt;=30%,"X",IF(N837&lt;=60%,"Y","Z")))</f>
        <v>Z</v>
      </c>
      <c r="P837" s="7" t="str">
        <f t="shared" ref="P837:P900" si="75">M837&amp;O837</f>
        <v>CZ</v>
      </c>
      <c r="S837" s="6" t="s">
        <v>218</v>
      </c>
      <c r="T837" s="7"/>
      <c r="U837" s="7" t="str">
        <v>AY</v>
      </c>
      <c r="Y837" t="e">
        <v>#N/A</v>
      </c>
      <c r="Z837" s="104"/>
    </row>
    <row r="838" spans="1:26">
      <c r="A838" s="133" t="s">
        <v>988</v>
      </c>
      <c r="B838" s="7"/>
      <c r="C838" s="7"/>
      <c r="D838" s="7"/>
      <c r="E838" s="7"/>
      <c r="F838" s="7">
        <v>2200000</v>
      </c>
      <c r="G838" s="7"/>
      <c r="H838" s="7"/>
      <c r="I838" s="7"/>
      <c r="J838" s="7"/>
      <c r="K838" s="7">
        <v>2200000</v>
      </c>
      <c r="L838" s="134">
        <f t="shared" ref="L838:L901" si="76">K838/$K$932+L837</f>
        <v>0.99972580003423206</v>
      </c>
      <c r="M838" s="7" t="str">
        <f t="shared" si="72"/>
        <v>C</v>
      </c>
      <c r="N838" s="7">
        <f t="shared" si="73"/>
        <v>0</v>
      </c>
      <c r="O838" s="7" t="str">
        <f t="shared" si="74"/>
        <v>Z</v>
      </c>
      <c r="P838" s="7" t="str">
        <f t="shared" si="75"/>
        <v>CZ</v>
      </c>
      <c r="S838" s="6" t="s">
        <v>266</v>
      </c>
      <c r="T838" s="7"/>
      <c r="U838" s="7" t="str">
        <v>AZ</v>
      </c>
      <c r="Y838" t="e">
        <v>#N/A</v>
      </c>
      <c r="Z838" s="104"/>
    </row>
    <row r="839" spans="1:26">
      <c r="A839" s="133" t="s">
        <v>989</v>
      </c>
      <c r="B839" s="7">
        <v>2150000</v>
      </c>
      <c r="C839" s="7"/>
      <c r="D839" s="7"/>
      <c r="E839" s="7"/>
      <c r="F839" s="7"/>
      <c r="G839" s="7"/>
      <c r="H839" s="7"/>
      <c r="I839" s="7"/>
      <c r="J839" s="7"/>
      <c r="K839" s="7">
        <v>2150000</v>
      </c>
      <c r="L839" s="134">
        <f t="shared" si="76"/>
        <v>0.99973294813331037</v>
      </c>
      <c r="M839" s="7" t="str">
        <f t="shared" si="72"/>
        <v>C</v>
      </c>
      <c r="N839" s="7">
        <f t="shared" si="73"/>
        <v>0</v>
      </c>
      <c r="O839" s="7" t="str">
        <f t="shared" si="74"/>
        <v>Z</v>
      </c>
      <c r="P839" s="7" t="str">
        <f t="shared" si="75"/>
        <v>CZ</v>
      </c>
      <c r="S839" s="6" t="s">
        <v>297</v>
      </c>
      <c r="T839" s="7"/>
      <c r="U839" s="7" t="str">
        <v>BZ</v>
      </c>
      <c r="Y839" t="e">
        <v>#N/A</v>
      </c>
      <c r="Z839" s="104"/>
    </row>
    <row r="840" spans="1:26">
      <c r="A840" s="133" t="s">
        <v>990</v>
      </c>
      <c r="B840" s="7"/>
      <c r="C840" s="7"/>
      <c r="D840" s="7"/>
      <c r="E840" s="7"/>
      <c r="F840" s="7">
        <v>2081818.18181818</v>
      </c>
      <c r="G840" s="7"/>
      <c r="H840" s="7"/>
      <c r="I840" s="7"/>
      <c r="J840" s="7"/>
      <c r="K840" s="7">
        <v>2081818.18181818</v>
      </c>
      <c r="L840" s="134">
        <f t="shared" si="76"/>
        <v>0.99973986954848559</v>
      </c>
      <c r="M840" s="7" t="str">
        <f t="shared" si="72"/>
        <v>C</v>
      </c>
      <c r="N840" s="7">
        <f t="shared" si="73"/>
        <v>0</v>
      </c>
      <c r="O840" s="7" t="str">
        <f t="shared" si="74"/>
        <v>Z</v>
      </c>
      <c r="P840" s="7" t="str">
        <f t="shared" si="75"/>
        <v>CZ</v>
      </c>
      <c r="S840" s="6" t="s">
        <v>324</v>
      </c>
      <c r="T840" s="7"/>
      <c r="U840" s="7" t="str">
        <v>BZ</v>
      </c>
      <c r="Y840" t="e">
        <v>#N/A</v>
      </c>
      <c r="Z840" s="104"/>
    </row>
    <row r="841" spans="1:26">
      <c r="A841" s="133" t="s">
        <v>991</v>
      </c>
      <c r="B841" s="7"/>
      <c r="C841" s="7"/>
      <c r="D841" s="7">
        <v>2000000</v>
      </c>
      <c r="E841" s="7"/>
      <c r="F841" s="7"/>
      <c r="G841" s="7"/>
      <c r="H841" s="7"/>
      <c r="I841" s="7"/>
      <c r="J841" s="7"/>
      <c r="K841" s="7">
        <v>2000000</v>
      </c>
      <c r="L841" s="134">
        <f t="shared" si="76"/>
        <v>0.99974651894297706</v>
      </c>
      <c r="M841" s="7" t="str">
        <f t="shared" si="72"/>
        <v>C</v>
      </c>
      <c r="N841" s="7">
        <f t="shared" si="73"/>
        <v>0</v>
      </c>
      <c r="O841" s="7" t="str">
        <f t="shared" si="74"/>
        <v>Z</v>
      </c>
      <c r="P841" s="7" t="str">
        <f t="shared" si="75"/>
        <v>CZ</v>
      </c>
      <c r="S841" s="6" t="s">
        <v>283</v>
      </c>
      <c r="T841" s="7"/>
      <c r="U841" s="7" t="str">
        <v>CZ</v>
      </c>
      <c r="Y841" t="e">
        <v>#N/A</v>
      </c>
      <c r="Z841" s="104"/>
    </row>
    <row r="842" spans="1:26">
      <c r="A842" s="133" t="s">
        <v>992</v>
      </c>
      <c r="B842" s="7">
        <v>2000000</v>
      </c>
      <c r="C842" s="7"/>
      <c r="D842" s="7"/>
      <c r="E842" s="7"/>
      <c r="F842" s="7"/>
      <c r="G842" s="7"/>
      <c r="H842" s="7"/>
      <c r="I842" s="7"/>
      <c r="J842" s="7"/>
      <c r="K842" s="7">
        <v>2000000</v>
      </c>
      <c r="L842" s="134">
        <f t="shared" si="76"/>
        <v>0.99975316833746852</v>
      </c>
      <c r="M842" s="7" t="str">
        <f t="shared" si="72"/>
        <v>C</v>
      </c>
      <c r="N842" s="7">
        <f t="shared" si="73"/>
        <v>0</v>
      </c>
      <c r="O842" s="7" t="str">
        <f t="shared" si="74"/>
        <v>Z</v>
      </c>
      <c r="P842" s="7" t="str">
        <f t="shared" si="75"/>
        <v>CZ</v>
      </c>
      <c r="S842" s="6" t="s">
        <v>481</v>
      </c>
      <c r="T842" s="7"/>
      <c r="U842" s="7" t="str">
        <v>CY</v>
      </c>
      <c r="Y842" t="e">
        <v>#N/A</v>
      </c>
      <c r="Z842" s="104"/>
    </row>
    <row r="843" spans="1:26">
      <c r="A843" s="133" t="s">
        <v>993</v>
      </c>
      <c r="B843" s="7">
        <v>2000000</v>
      </c>
      <c r="C843" s="7"/>
      <c r="D843" s="7"/>
      <c r="E843" s="7"/>
      <c r="F843" s="7"/>
      <c r="G843" s="7"/>
      <c r="H843" s="7"/>
      <c r="I843" s="7"/>
      <c r="J843" s="7"/>
      <c r="K843" s="7">
        <v>2000000</v>
      </c>
      <c r="L843" s="134">
        <f t="shared" si="76"/>
        <v>0.99975981773195999</v>
      </c>
      <c r="M843" s="7" t="str">
        <f t="shared" si="72"/>
        <v>C</v>
      </c>
      <c r="N843" s="7">
        <f t="shared" si="73"/>
        <v>0</v>
      </c>
      <c r="O843" s="7" t="str">
        <f t="shared" si="74"/>
        <v>Z</v>
      </c>
      <c r="P843" s="7" t="str">
        <f t="shared" si="75"/>
        <v>CZ</v>
      </c>
      <c r="S843" s="6" t="s">
        <v>539</v>
      </c>
      <c r="T843" s="7"/>
      <c r="U843" s="7" t="str">
        <v>BY</v>
      </c>
      <c r="Y843" t="e">
        <v>#N/A</v>
      </c>
      <c r="Z843" s="104"/>
    </row>
    <row r="844" spans="1:26">
      <c r="A844" s="133" t="s">
        <v>994</v>
      </c>
      <c r="B844" s="7"/>
      <c r="C844" s="7"/>
      <c r="D844" s="7"/>
      <c r="E844" s="7"/>
      <c r="F844" s="7"/>
      <c r="G844" s="7"/>
      <c r="H844" s="7"/>
      <c r="I844" s="7">
        <v>1957500</v>
      </c>
      <c r="J844" s="7"/>
      <c r="K844" s="7">
        <v>1957500</v>
      </c>
      <c r="L844" s="134">
        <f t="shared" si="76"/>
        <v>0.99976632582681857</v>
      </c>
      <c r="M844" s="7" t="str">
        <f t="shared" si="72"/>
        <v>C</v>
      </c>
      <c r="N844" s="7">
        <f t="shared" si="73"/>
        <v>0</v>
      </c>
      <c r="O844" s="7" t="str">
        <f t="shared" si="74"/>
        <v>Z</v>
      </c>
      <c r="P844" s="7" t="str">
        <f t="shared" si="75"/>
        <v>CZ</v>
      </c>
      <c r="S844" s="6" t="s">
        <v>372</v>
      </c>
      <c r="T844" s="7"/>
      <c r="U844" s="7" t="str">
        <v>CZ</v>
      </c>
      <c r="Y844" t="e">
        <v>#N/A</v>
      </c>
      <c r="Z844" s="104"/>
    </row>
    <row r="845" spans="1:26">
      <c r="A845" s="133" t="s">
        <v>732</v>
      </c>
      <c r="B845" s="7"/>
      <c r="C845" s="7"/>
      <c r="D845" s="7"/>
      <c r="E845" s="7"/>
      <c r="F845" s="7"/>
      <c r="G845" s="7"/>
      <c r="H845" s="7"/>
      <c r="I845" s="7">
        <v>1936000</v>
      </c>
      <c r="J845" s="7"/>
      <c r="K845" s="7">
        <v>1936000</v>
      </c>
      <c r="L845" s="134">
        <f t="shared" si="76"/>
        <v>0.99977276244068636</v>
      </c>
      <c r="M845" s="7" t="str">
        <f t="shared" si="72"/>
        <v>C</v>
      </c>
      <c r="N845" s="7">
        <f t="shared" si="73"/>
        <v>0</v>
      </c>
      <c r="O845" s="7" t="str">
        <f t="shared" si="74"/>
        <v>Z</v>
      </c>
      <c r="P845" s="7" t="str">
        <f t="shared" si="75"/>
        <v>CZ</v>
      </c>
      <c r="S845" s="6" t="s">
        <v>378</v>
      </c>
      <c r="T845" s="7"/>
      <c r="U845" s="7" t="str">
        <v>CY</v>
      </c>
      <c r="Y845" t="e">
        <v>#N/A</v>
      </c>
      <c r="Z845" s="104"/>
    </row>
    <row r="846" spans="1:26">
      <c r="A846" s="133" t="s">
        <v>995</v>
      </c>
      <c r="B846" s="7"/>
      <c r="C846" s="7"/>
      <c r="D846" s="7"/>
      <c r="E846" s="7"/>
      <c r="F846" s="7"/>
      <c r="G846" s="7"/>
      <c r="H846" s="7"/>
      <c r="I846" s="7">
        <v>1925000</v>
      </c>
      <c r="J846" s="7"/>
      <c r="K846" s="7">
        <v>1925000</v>
      </c>
      <c r="L846" s="134">
        <f t="shared" si="76"/>
        <v>0.99977916248288445</v>
      </c>
      <c r="M846" s="7" t="str">
        <f t="shared" si="72"/>
        <v>C</v>
      </c>
      <c r="N846" s="7">
        <f t="shared" si="73"/>
        <v>0</v>
      </c>
      <c r="O846" s="7" t="str">
        <f t="shared" si="74"/>
        <v>Z</v>
      </c>
      <c r="P846" s="7" t="str">
        <f t="shared" si="75"/>
        <v>CZ</v>
      </c>
      <c r="S846" s="6" t="s">
        <v>334</v>
      </c>
      <c r="T846" s="7"/>
      <c r="U846" s="7" t="str">
        <v>CY</v>
      </c>
      <c r="Y846" t="e">
        <v>#N/A</v>
      </c>
      <c r="Z846" s="104"/>
    </row>
    <row r="847" spans="1:26">
      <c r="A847" s="133" t="s">
        <v>996</v>
      </c>
      <c r="B847" s="7"/>
      <c r="C847" s="7"/>
      <c r="D847" s="7"/>
      <c r="E847" s="7"/>
      <c r="F847" s="7"/>
      <c r="G847" s="7"/>
      <c r="H847" s="7"/>
      <c r="I847" s="7">
        <v>1925000</v>
      </c>
      <c r="J847" s="7"/>
      <c r="K847" s="7">
        <v>1925000</v>
      </c>
      <c r="L847" s="134">
        <f t="shared" si="76"/>
        <v>0.99978556252508255</v>
      </c>
      <c r="M847" s="7" t="str">
        <f t="shared" si="72"/>
        <v>C</v>
      </c>
      <c r="N847" s="7">
        <f t="shared" si="73"/>
        <v>0</v>
      </c>
      <c r="O847" s="7" t="str">
        <f t="shared" si="74"/>
        <v>Z</v>
      </c>
      <c r="P847" s="7" t="str">
        <f t="shared" si="75"/>
        <v>CZ</v>
      </c>
      <c r="S847" s="6" t="s">
        <v>283</v>
      </c>
      <c r="T847" s="7"/>
      <c r="U847" s="7" t="str">
        <v>CZ</v>
      </c>
      <c r="Y847" t="e">
        <v>#N/A</v>
      </c>
      <c r="Z847" s="104"/>
    </row>
    <row r="848" spans="1:26">
      <c r="A848" s="133" t="s">
        <v>997</v>
      </c>
      <c r="B848" s="7"/>
      <c r="C848" s="7"/>
      <c r="D848" s="7"/>
      <c r="E848" s="7"/>
      <c r="F848" s="7"/>
      <c r="G848" s="7"/>
      <c r="H848" s="7"/>
      <c r="I848" s="7">
        <v>1925000</v>
      </c>
      <c r="J848" s="7"/>
      <c r="K848" s="7">
        <v>1925000</v>
      </c>
      <c r="L848" s="134">
        <f t="shared" si="76"/>
        <v>0.99979196256728065</v>
      </c>
      <c r="M848" s="7" t="str">
        <f t="shared" si="72"/>
        <v>C</v>
      </c>
      <c r="N848" s="7">
        <f t="shared" si="73"/>
        <v>0</v>
      </c>
      <c r="O848" s="7" t="str">
        <f t="shared" si="74"/>
        <v>Z</v>
      </c>
      <c r="P848" s="7" t="str">
        <f t="shared" si="75"/>
        <v>CZ</v>
      </c>
      <c r="S848" s="6" t="s">
        <v>582</v>
      </c>
      <c r="T848" s="7"/>
      <c r="U848" s="7" t="str">
        <v>CZ</v>
      </c>
      <c r="Y848" t="e">
        <v>#N/A</v>
      </c>
      <c r="Z848" s="104"/>
    </row>
    <row r="849" spans="1:26">
      <c r="A849" s="133" t="s">
        <v>998</v>
      </c>
      <c r="B849" s="7"/>
      <c r="C849" s="7"/>
      <c r="D849" s="7"/>
      <c r="E849" s="7"/>
      <c r="F849" s="7">
        <v>1900000</v>
      </c>
      <c r="G849" s="7"/>
      <c r="H849" s="7"/>
      <c r="I849" s="7"/>
      <c r="J849" s="7"/>
      <c r="K849" s="7">
        <v>1900000</v>
      </c>
      <c r="L849" s="134">
        <f t="shared" si="76"/>
        <v>0.99979827949204758</v>
      </c>
      <c r="M849" s="7" t="str">
        <f t="shared" si="72"/>
        <v>C</v>
      </c>
      <c r="N849" s="7">
        <f t="shared" si="73"/>
        <v>0</v>
      </c>
      <c r="O849" s="7" t="str">
        <f t="shared" si="74"/>
        <v>Z</v>
      </c>
      <c r="P849" s="7" t="str">
        <f t="shared" si="75"/>
        <v>CZ</v>
      </c>
      <c r="S849" s="6" t="s">
        <v>261</v>
      </c>
      <c r="T849" s="7"/>
      <c r="U849" s="7" t="str">
        <v>BZ</v>
      </c>
      <c r="Y849" t="e">
        <v>#N/A</v>
      </c>
      <c r="Z849" s="104"/>
    </row>
    <row r="850" spans="1:26">
      <c r="A850" s="133" t="s">
        <v>999</v>
      </c>
      <c r="B850" s="7"/>
      <c r="C850" s="7"/>
      <c r="D850" s="7"/>
      <c r="E850" s="7"/>
      <c r="F850" s="7"/>
      <c r="G850" s="7"/>
      <c r="H850" s="7"/>
      <c r="I850" s="7">
        <v>1870000</v>
      </c>
      <c r="J850" s="7"/>
      <c r="K850" s="7">
        <v>1870000</v>
      </c>
      <c r="L850" s="134">
        <f t="shared" si="76"/>
        <v>0.9998044966758971</v>
      </c>
      <c r="M850" s="7" t="str">
        <f t="shared" si="72"/>
        <v>C</v>
      </c>
      <c r="N850" s="7">
        <f t="shared" si="73"/>
        <v>0</v>
      </c>
      <c r="O850" s="7" t="str">
        <f t="shared" si="74"/>
        <v>Z</v>
      </c>
      <c r="P850" s="7" t="str">
        <f t="shared" si="75"/>
        <v>CZ</v>
      </c>
      <c r="S850" s="6" t="s">
        <v>261</v>
      </c>
      <c r="T850" s="7"/>
      <c r="U850" s="7" t="str">
        <v>BZ</v>
      </c>
      <c r="Y850" t="e">
        <v>#N/A</v>
      </c>
      <c r="Z850" s="104"/>
    </row>
    <row r="851" spans="1:26">
      <c r="A851" s="133" t="s">
        <v>1000</v>
      </c>
      <c r="B851" s="7"/>
      <c r="C851" s="7">
        <v>720000</v>
      </c>
      <c r="D851" s="7"/>
      <c r="E851" s="7"/>
      <c r="F851" s="7"/>
      <c r="G851" s="7">
        <v>720000</v>
      </c>
      <c r="H851" s="7"/>
      <c r="I851" s="7">
        <v>360000</v>
      </c>
      <c r="J851" s="7"/>
      <c r="K851" s="7">
        <v>1800000</v>
      </c>
      <c r="L851" s="134">
        <f t="shared" si="76"/>
        <v>0.99981048113093951</v>
      </c>
      <c r="M851" s="7" t="str">
        <f t="shared" si="72"/>
        <v>C</v>
      </c>
      <c r="N851" s="7">
        <f t="shared" si="73"/>
        <v>0.28284271247461901</v>
      </c>
      <c r="O851" s="7" t="str">
        <f t="shared" si="74"/>
        <v>X</v>
      </c>
      <c r="P851" s="7" t="str">
        <f t="shared" si="75"/>
        <v>CX</v>
      </c>
      <c r="S851" s="6" t="s">
        <v>354</v>
      </c>
      <c r="T851" s="7"/>
      <c r="U851" s="7" t="str">
        <v>CY</v>
      </c>
      <c r="Y851" t="e">
        <v>#N/A</v>
      </c>
      <c r="Z851" s="104"/>
    </row>
    <row r="852" spans="1:26">
      <c r="A852" s="133" t="s">
        <v>1001</v>
      </c>
      <c r="B852" s="7"/>
      <c r="C852" s="7"/>
      <c r="D852" s="7">
        <v>1800000</v>
      </c>
      <c r="E852" s="7"/>
      <c r="F852" s="7"/>
      <c r="G852" s="7"/>
      <c r="H852" s="7"/>
      <c r="I852" s="7"/>
      <c r="J852" s="7"/>
      <c r="K852" s="7">
        <v>1800000</v>
      </c>
      <c r="L852" s="134">
        <f t="shared" si="76"/>
        <v>0.99981646558598192</v>
      </c>
      <c r="M852" s="7" t="str">
        <f t="shared" si="72"/>
        <v>C</v>
      </c>
      <c r="N852" s="7">
        <f t="shared" si="73"/>
        <v>0</v>
      </c>
      <c r="O852" s="7" t="str">
        <f t="shared" si="74"/>
        <v>Z</v>
      </c>
      <c r="P852" s="7" t="str">
        <f t="shared" si="75"/>
        <v>CZ</v>
      </c>
      <c r="S852" s="6" t="s">
        <v>382</v>
      </c>
      <c r="T852" s="7"/>
      <c r="U852" s="7" t="str">
        <v>CZ</v>
      </c>
      <c r="Y852" t="e">
        <v>#N/A</v>
      </c>
      <c r="Z852" s="104"/>
    </row>
    <row r="853" spans="1:26">
      <c r="A853" s="133" t="s">
        <v>1002</v>
      </c>
      <c r="B853" s="7"/>
      <c r="C853" s="7"/>
      <c r="D853" s="7"/>
      <c r="E853" s="7"/>
      <c r="F853" s="7">
        <v>1800000</v>
      </c>
      <c r="G853" s="7"/>
      <c r="H853" s="7"/>
      <c r="I853" s="7"/>
      <c r="J853" s="7"/>
      <c r="K853" s="7">
        <v>1800000</v>
      </c>
      <c r="L853" s="134">
        <f t="shared" si="76"/>
        <v>0.99982245004102432</v>
      </c>
      <c r="M853" s="7" t="str">
        <f t="shared" si="72"/>
        <v>C</v>
      </c>
      <c r="N853" s="7">
        <f t="shared" si="73"/>
        <v>0</v>
      </c>
      <c r="O853" s="7" t="str">
        <f t="shared" si="74"/>
        <v>Z</v>
      </c>
      <c r="P853" s="7" t="str">
        <f t="shared" si="75"/>
        <v>CZ</v>
      </c>
      <c r="S853" s="6" t="s">
        <v>309</v>
      </c>
      <c r="T853" s="7"/>
      <c r="U853" s="7" t="str">
        <v>BY</v>
      </c>
      <c r="Y853" t="e">
        <v>#N/A</v>
      </c>
      <c r="Z853" s="104"/>
    </row>
    <row r="854" spans="1:26">
      <c r="A854" s="133" t="s">
        <v>1003</v>
      </c>
      <c r="B854" s="7">
        <v>1790000</v>
      </c>
      <c r="C854" s="7"/>
      <c r="D854" s="7"/>
      <c r="E854" s="7"/>
      <c r="F854" s="7"/>
      <c r="G854" s="7"/>
      <c r="H854" s="7"/>
      <c r="I854" s="7"/>
      <c r="J854" s="7"/>
      <c r="K854" s="7">
        <v>1790000</v>
      </c>
      <c r="L854" s="134">
        <f t="shared" si="76"/>
        <v>0.99982840124909422</v>
      </c>
      <c r="M854" s="7" t="str">
        <f t="shared" si="72"/>
        <v>C</v>
      </c>
      <c r="N854" s="7">
        <f t="shared" si="73"/>
        <v>0</v>
      </c>
      <c r="O854" s="7" t="str">
        <f t="shared" si="74"/>
        <v>Z</v>
      </c>
      <c r="P854" s="7" t="str">
        <f t="shared" si="75"/>
        <v>CZ</v>
      </c>
      <c r="S854" s="6" t="s">
        <v>261</v>
      </c>
      <c r="T854" s="7"/>
      <c r="U854" s="7" t="str">
        <v>BZ</v>
      </c>
      <c r="Y854" t="e">
        <v>#N/A</v>
      </c>
      <c r="Z854" s="104"/>
    </row>
    <row r="855" spans="1:26">
      <c r="A855" s="133" t="s">
        <v>1004</v>
      </c>
      <c r="B855" s="7"/>
      <c r="C855" s="7"/>
      <c r="D855" s="7"/>
      <c r="E855" s="7"/>
      <c r="F855" s="7">
        <v>1760000</v>
      </c>
      <c r="G855" s="7"/>
      <c r="H855" s="7"/>
      <c r="I855" s="7"/>
      <c r="J855" s="7"/>
      <c r="K855" s="7">
        <v>1760000</v>
      </c>
      <c r="L855" s="134">
        <f t="shared" si="76"/>
        <v>0.99983425271624671</v>
      </c>
      <c r="M855" s="7" t="str">
        <f t="shared" si="72"/>
        <v>C</v>
      </c>
      <c r="N855" s="7">
        <f t="shared" si="73"/>
        <v>0</v>
      </c>
      <c r="O855" s="7" t="str">
        <f t="shared" si="74"/>
        <v>Z</v>
      </c>
      <c r="P855" s="7" t="str">
        <f t="shared" si="75"/>
        <v>CZ</v>
      </c>
      <c r="S855" s="6" t="s">
        <v>499</v>
      </c>
      <c r="T855" s="7"/>
      <c r="U855" s="7" t="str">
        <v>BZ</v>
      </c>
      <c r="Y855" t="e">
        <v>#N/A</v>
      </c>
      <c r="Z855" s="104"/>
    </row>
    <row r="856" spans="1:26">
      <c r="A856" s="133" t="s">
        <v>327</v>
      </c>
      <c r="B856" s="7"/>
      <c r="C856" s="7"/>
      <c r="D856" s="7"/>
      <c r="E856" s="7"/>
      <c r="F856" s="7"/>
      <c r="G856" s="7"/>
      <c r="H856" s="7"/>
      <c r="I856" s="7">
        <v>1628000</v>
      </c>
      <c r="J856" s="7"/>
      <c r="K856" s="7">
        <v>1628000</v>
      </c>
      <c r="L856" s="134">
        <f t="shared" si="76"/>
        <v>0.99983966532336277</v>
      </c>
      <c r="M856" s="7" t="str">
        <f t="shared" si="72"/>
        <v>C</v>
      </c>
      <c r="N856" s="7">
        <f t="shared" si="73"/>
        <v>0</v>
      </c>
      <c r="O856" s="7" t="str">
        <f t="shared" si="74"/>
        <v>Z</v>
      </c>
      <c r="P856" s="7" t="str">
        <f t="shared" si="75"/>
        <v>CZ</v>
      </c>
      <c r="S856" s="6" t="s">
        <v>267</v>
      </c>
      <c r="T856" s="7"/>
      <c r="U856" s="7" t="str">
        <v>BZ</v>
      </c>
      <c r="Y856" t="e">
        <v>#N/A</v>
      </c>
      <c r="Z856" s="104"/>
    </row>
    <row r="857" spans="1:26">
      <c r="A857" s="133" t="s">
        <v>137</v>
      </c>
      <c r="B857" s="7"/>
      <c r="C857" s="7"/>
      <c r="D857" s="7"/>
      <c r="E857" s="7">
        <v>257467.03200000001</v>
      </c>
      <c r="F857" s="7"/>
      <c r="G857" s="7"/>
      <c r="H857" s="7">
        <v>450000</v>
      </c>
      <c r="I857" s="7"/>
      <c r="J857" s="7">
        <v>900000</v>
      </c>
      <c r="K857" s="7">
        <v>1607467.0320000001</v>
      </c>
      <c r="L857" s="134">
        <f t="shared" si="76"/>
        <v>0.99984500966457668</v>
      </c>
      <c r="M857" s="7" t="str">
        <f t="shared" si="72"/>
        <v>C</v>
      </c>
      <c r="N857" s="7">
        <f t="shared" si="73"/>
        <v>0.50248227398514134</v>
      </c>
      <c r="O857" s="7" t="str">
        <f t="shared" si="74"/>
        <v>Y</v>
      </c>
      <c r="P857" s="7" t="str">
        <f t="shared" si="75"/>
        <v>CY</v>
      </c>
      <c r="S857" s="6" t="s">
        <v>328</v>
      </c>
      <c r="T857" s="7"/>
      <c r="U857" s="7" t="str">
        <v>CY</v>
      </c>
      <c r="Y857" t="e">
        <v>#N/A</v>
      </c>
      <c r="Z857" s="104"/>
    </row>
    <row r="858" spans="1:26">
      <c r="A858" s="133" t="s">
        <v>346</v>
      </c>
      <c r="B858" s="7"/>
      <c r="C858" s="7"/>
      <c r="D858" s="7"/>
      <c r="E858" s="7"/>
      <c r="F858" s="7"/>
      <c r="G858" s="7"/>
      <c r="H858" s="7"/>
      <c r="I858" s="7">
        <v>1500000</v>
      </c>
      <c r="J858" s="7"/>
      <c r="K858" s="7">
        <v>1500000</v>
      </c>
      <c r="L858" s="134">
        <f t="shared" si="76"/>
        <v>0.99984999671044528</v>
      </c>
      <c r="M858" s="7" t="str">
        <f t="shared" si="72"/>
        <v>C</v>
      </c>
      <c r="N858" s="7">
        <f t="shared" si="73"/>
        <v>0</v>
      </c>
      <c r="O858" s="7" t="str">
        <f t="shared" si="74"/>
        <v>Z</v>
      </c>
      <c r="P858" s="7" t="str">
        <f t="shared" si="75"/>
        <v>CZ</v>
      </c>
      <c r="S858" s="6" t="s">
        <v>261</v>
      </c>
      <c r="T858" s="7"/>
      <c r="U858" s="7" t="str">
        <v>BZ</v>
      </c>
      <c r="Y858" t="e">
        <v>#N/A</v>
      </c>
      <c r="Z858" s="104"/>
    </row>
    <row r="859" spans="1:26">
      <c r="A859" s="133" t="s">
        <v>1005</v>
      </c>
      <c r="B859" s="7"/>
      <c r="C859" s="7"/>
      <c r="D859" s="7"/>
      <c r="E859" s="7"/>
      <c r="F859" s="7"/>
      <c r="G859" s="7"/>
      <c r="H859" s="7"/>
      <c r="I859" s="7">
        <v>1500000</v>
      </c>
      <c r="J859" s="7"/>
      <c r="K859" s="7">
        <v>1500000</v>
      </c>
      <c r="L859" s="134">
        <f t="shared" si="76"/>
        <v>0.99985498375631388</v>
      </c>
      <c r="M859" s="7" t="str">
        <f t="shared" si="72"/>
        <v>C</v>
      </c>
      <c r="N859" s="7">
        <f t="shared" si="73"/>
        <v>0</v>
      </c>
      <c r="O859" s="7" t="str">
        <f t="shared" si="74"/>
        <v>Z</v>
      </c>
      <c r="P859" s="7" t="str">
        <f t="shared" si="75"/>
        <v>CZ</v>
      </c>
      <c r="S859" s="6" t="s">
        <v>340</v>
      </c>
      <c r="T859" s="7"/>
      <c r="U859" s="7" t="str">
        <v>BY</v>
      </c>
      <c r="Y859" t="e">
        <v>#N/A</v>
      </c>
      <c r="Z859" s="104"/>
    </row>
    <row r="860" spans="1:26">
      <c r="A860" s="133" t="s">
        <v>1006</v>
      </c>
      <c r="B860" s="7"/>
      <c r="C860" s="7"/>
      <c r="D860" s="7">
        <v>1480000</v>
      </c>
      <c r="E860" s="7"/>
      <c r="F860" s="7"/>
      <c r="G860" s="7"/>
      <c r="H860" s="7"/>
      <c r="I860" s="7"/>
      <c r="J860" s="7"/>
      <c r="K860" s="7">
        <v>1480000</v>
      </c>
      <c r="L860" s="134">
        <f t="shared" si="76"/>
        <v>0.99985990430823757</v>
      </c>
      <c r="M860" s="7" t="str">
        <f t="shared" si="72"/>
        <v>C</v>
      </c>
      <c r="N860" s="7">
        <f t="shared" si="73"/>
        <v>0</v>
      </c>
      <c r="O860" s="7" t="str">
        <f t="shared" si="74"/>
        <v>Z</v>
      </c>
      <c r="P860" s="7" t="str">
        <f t="shared" si="75"/>
        <v>CZ</v>
      </c>
      <c r="S860" s="6" t="s">
        <v>357</v>
      </c>
      <c r="T860" s="7"/>
      <c r="U860" s="7" t="str">
        <v>BZ</v>
      </c>
      <c r="Y860" t="e">
        <v>#N/A</v>
      </c>
      <c r="Z860" s="104"/>
    </row>
    <row r="861" spans="1:26">
      <c r="A861" s="133" t="s">
        <v>376</v>
      </c>
      <c r="B861" s="7"/>
      <c r="C861" s="7"/>
      <c r="D861" s="7"/>
      <c r="E861" s="7"/>
      <c r="F861" s="7"/>
      <c r="G861" s="7">
        <v>1450000</v>
      </c>
      <c r="H861" s="7"/>
      <c r="I861" s="7"/>
      <c r="J861" s="7"/>
      <c r="K861" s="7">
        <v>1450000</v>
      </c>
      <c r="L861" s="134">
        <f t="shared" si="76"/>
        <v>0.99986472511924396</v>
      </c>
      <c r="M861" s="7" t="str">
        <f t="shared" si="72"/>
        <v>C</v>
      </c>
      <c r="N861" s="7">
        <f t="shared" si="73"/>
        <v>0</v>
      </c>
      <c r="O861" s="7" t="str">
        <f t="shared" si="74"/>
        <v>Z</v>
      </c>
      <c r="P861" s="7" t="str">
        <f t="shared" si="75"/>
        <v>CZ</v>
      </c>
      <c r="S861" s="6" t="s">
        <v>344</v>
      </c>
      <c r="T861" s="7"/>
      <c r="U861" s="7" t="str">
        <v>BY</v>
      </c>
      <c r="Y861" t="e">
        <v>#N/A</v>
      </c>
      <c r="Z861" s="104"/>
    </row>
    <row r="862" spans="1:26">
      <c r="A862" s="133" t="s">
        <v>1007</v>
      </c>
      <c r="B862" s="7">
        <v>1440000</v>
      </c>
      <c r="C862" s="7"/>
      <c r="D862" s="7"/>
      <c r="E862" s="7"/>
      <c r="F862" s="7"/>
      <c r="G862" s="7"/>
      <c r="H862" s="7"/>
      <c r="I862" s="7"/>
      <c r="J862" s="7"/>
      <c r="K862" s="7">
        <v>1440000</v>
      </c>
      <c r="L862" s="134">
        <f t="shared" si="76"/>
        <v>0.99986951268327784</v>
      </c>
      <c r="M862" s="7" t="str">
        <f t="shared" si="72"/>
        <v>C</v>
      </c>
      <c r="N862" s="7">
        <f t="shared" si="73"/>
        <v>0</v>
      </c>
      <c r="O862" s="7" t="str">
        <f t="shared" si="74"/>
        <v>Z</v>
      </c>
      <c r="P862" s="7" t="str">
        <f t="shared" si="75"/>
        <v>CZ</v>
      </c>
      <c r="S862" s="6" t="s">
        <v>354</v>
      </c>
      <c r="T862" s="7"/>
      <c r="U862" s="7" t="str">
        <v>CY</v>
      </c>
      <c r="Y862" t="e">
        <v>#N/A</v>
      </c>
      <c r="Z862" s="104"/>
    </row>
    <row r="863" spans="1:26">
      <c r="A863" s="133" t="s">
        <v>1008</v>
      </c>
      <c r="B863" s="7"/>
      <c r="C863" s="7"/>
      <c r="D863" s="7"/>
      <c r="E863" s="7">
        <v>1440000</v>
      </c>
      <c r="F863" s="7"/>
      <c r="G863" s="7"/>
      <c r="H863" s="7"/>
      <c r="I863" s="7"/>
      <c r="J863" s="7"/>
      <c r="K863" s="7">
        <v>1440000</v>
      </c>
      <c r="L863" s="134">
        <f t="shared" si="76"/>
        <v>0.99987430024731172</v>
      </c>
      <c r="M863" s="7" t="str">
        <f t="shared" si="72"/>
        <v>C</v>
      </c>
      <c r="N863" s="7">
        <f t="shared" si="73"/>
        <v>0</v>
      </c>
      <c r="O863" s="7" t="str">
        <f t="shared" si="74"/>
        <v>Z</v>
      </c>
      <c r="P863" s="7" t="str">
        <f t="shared" si="75"/>
        <v>CZ</v>
      </c>
      <c r="S863" s="6" t="s">
        <v>502</v>
      </c>
      <c r="T863" s="7"/>
      <c r="U863" s="7" t="str">
        <v>CX</v>
      </c>
      <c r="Y863" t="e">
        <v>#N/A</v>
      </c>
      <c r="Z863" s="104"/>
    </row>
    <row r="864" spans="1:26">
      <c r="A864" s="133" t="s">
        <v>163</v>
      </c>
      <c r="B864" s="7"/>
      <c r="C864" s="7"/>
      <c r="D864" s="7"/>
      <c r="E864" s="7"/>
      <c r="F864" s="7"/>
      <c r="G864" s="7"/>
      <c r="H864" s="7"/>
      <c r="I864" s="7"/>
      <c r="J864" s="7">
        <v>1400001</v>
      </c>
      <c r="K864" s="7">
        <v>1400001</v>
      </c>
      <c r="L864" s="134">
        <f t="shared" si="76"/>
        <v>0.99987895482678046</v>
      </c>
      <c r="M864" s="7" t="str">
        <f t="shared" si="72"/>
        <v>C</v>
      </c>
      <c r="N864" s="7">
        <f t="shared" si="73"/>
        <v>0</v>
      </c>
      <c r="O864" s="7" t="str">
        <f t="shared" si="74"/>
        <v>Z</v>
      </c>
      <c r="P864" s="7" t="str">
        <f t="shared" si="75"/>
        <v>CZ</v>
      </c>
      <c r="S864" s="6" t="s">
        <v>520</v>
      </c>
      <c r="T864" s="7"/>
      <c r="U864" s="7" t="str">
        <v>CY</v>
      </c>
      <c r="Y864" t="e">
        <v>#N/A</v>
      </c>
      <c r="Z864" s="104"/>
    </row>
    <row r="865" spans="1:26">
      <c r="A865" s="133" t="s">
        <v>1009</v>
      </c>
      <c r="B865" s="7"/>
      <c r="C865" s="7"/>
      <c r="D865" s="7"/>
      <c r="E865" s="7"/>
      <c r="F865" s="7"/>
      <c r="G865" s="7">
        <v>1390000</v>
      </c>
      <c r="H865" s="7"/>
      <c r="I865" s="7"/>
      <c r="J865" s="7"/>
      <c r="K865" s="7">
        <v>1390000</v>
      </c>
      <c r="L865" s="134">
        <f t="shared" si="76"/>
        <v>0.99988357615595203</v>
      </c>
      <c r="M865" s="7" t="str">
        <f t="shared" si="72"/>
        <v>C</v>
      </c>
      <c r="N865" s="7">
        <f t="shared" si="73"/>
        <v>0</v>
      </c>
      <c r="O865" s="7" t="str">
        <f t="shared" si="74"/>
        <v>Z</v>
      </c>
      <c r="P865" s="7" t="str">
        <f t="shared" si="75"/>
        <v>CZ</v>
      </c>
      <c r="S865" s="6" t="s">
        <v>348</v>
      </c>
      <c r="T865" s="7"/>
      <c r="U865" s="7" t="str">
        <v>BZ</v>
      </c>
      <c r="Y865" t="e">
        <v>#N/A</v>
      </c>
      <c r="Z865" s="104"/>
    </row>
    <row r="866" spans="1:26">
      <c r="A866" s="133" t="s">
        <v>213</v>
      </c>
      <c r="B866" s="7"/>
      <c r="C866" s="7"/>
      <c r="D866" s="7"/>
      <c r="E866" s="7"/>
      <c r="F866" s="7"/>
      <c r="G866" s="7"/>
      <c r="H866" s="7"/>
      <c r="I866" s="7">
        <v>1363500</v>
      </c>
      <c r="J866" s="7"/>
      <c r="K866" s="7">
        <v>1363500</v>
      </c>
      <c r="L866" s="134">
        <f t="shared" si="76"/>
        <v>0.99988810938064665</v>
      </c>
      <c r="M866" s="7" t="str">
        <f t="shared" si="72"/>
        <v>C</v>
      </c>
      <c r="N866" s="7">
        <f t="shared" si="73"/>
        <v>0</v>
      </c>
      <c r="O866" s="7" t="str">
        <f t="shared" si="74"/>
        <v>Z</v>
      </c>
      <c r="P866" s="7" t="str">
        <f t="shared" si="75"/>
        <v>CZ</v>
      </c>
      <c r="S866" s="6" t="s">
        <v>696</v>
      </c>
      <c r="T866" s="7"/>
      <c r="U866" s="7" t="str">
        <v>CX</v>
      </c>
      <c r="Y866" t="e">
        <v>#N/A</v>
      </c>
      <c r="Z866" s="104"/>
    </row>
    <row r="867" spans="1:26">
      <c r="A867" s="133" t="s">
        <v>1010</v>
      </c>
      <c r="B867" s="7"/>
      <c r="C867" s="7"/>
      <c r="D867" s="7">
        <v>1350000</v>
      </c>
      <c r="E867" s="7"/>
      <c r="F867" s="7"/>
      <c r="G867" s="7"/>
      <c r="H867" s="7"/>
      <c r="I867" s="7"/>
      <c r="J867" s="7"/>
      <c r="K867" s="7">
        <v>1350000</v>
      </c>
      <c r="L867" s="134">
        <f t="shared" si="76"/>
        <v>0.9998925977219284</v>
      </c>
      <c r="M867" s="7" t="str">
        <f t="shared" si="72"/>
        <v>C</v>
      </c>
      <c r="N867" s="7">
        <f t="shared" si="73"/>
        <v>0</v>
      </c>
      <c r="O867" s="7" t="str">
        <f t="shared" si="74"/>
        <v>Z</v>
      </c>
      <c r="P867" s="7" t="str">
        <f t="shared" si="75"/>
        <v>CZ</v>
      </c>
      <c r="S867" s="6" t="s">
        <v>363</v>
      </c>
      <c r="T867" s="7"/>
      <c r="U867" s="7" t="str">
        <v>CY</v>
      </c>
      <c r="Y867" t="e">
        <v>#N/A</v>
      </c>
      <c r="Z867" s="104"/>
    </row>
    <row r="868" spans="1:26">
      <c r="A868" s="133" t="s">
        <v>477</v>
      </c>
      <c r="B868" s="7"/>
      <c r="C868" s="7"/>
      <c r="D868" s="7"/>
      <c r="E868" s="7"/>
      <c r="F868" s="7"/>
      <c r="G868" s="7"/>
      <c r="H868" s="7"/>
      <c r="I868" s="7">
        <v>1350000</v>
      </c>
      <c r="J868" s="7"/>
      <c r="K868" s="7">
        <v>1350000</v>
      </c>
      <c r="L868" s="134">
        <f t="shared" si="76"/>
        <v>0.99989708606321015</v>
      </c>
      <c r="M868" s="7" t="str">
        <f t="shared" si="72"/>
        <v>C</v>
      </c>
      <c r="N868" s="7">
        <f t="shared" si="73"/>
        <v>0</v>
      </c>
      <c r="O868" s="7" t="str">
        <f t="shared" si="74"/>
        <v>Z</v>
      </c>
      <c r="P868" s="7" t="str">
        <f t="shared" si="75"/>
        <v>CZ</v>
      </c>
      <c r="S868" s="6" t="s">
        <v>224</v>
      </c>
      <c r="T868" s="7"/>
      <c r="U868" s="7" t="str">
        <v>BY</v>
      </c>
      <c r="Y868" t="e">
        <v>#N/A</v>
      </c>
      <c r="Z868" s="104"/>
    </row>
    <row r="869" spans="1:26">
      <c r="A869" s="133" t="s">
        <v>1011</v>
      </c>
      <c r="B869" s="7"/>
      <c r="C869" s="7"/>
      <c r="D869" s="7"/>
      <c r="E869" s="7"/>
      <c r="F869" s="7"/>
      <c r="G869" s="7">
        <v>1300000</v>
      </c>
      <c r="H869" s="7"/>
      <c r="I869" s="7"/>
      <c r="J869" s="7"/>
      <c r="K869" s="7">
        <v>1300000</v>
      </c>
      <c r="L869" s="134">
        <f t="shared" si="76"/>
        <v>0.99990140816962958</v>
      </c>
      <c r="M869" s="7" t="str">
        <f t="shared" si="72"/>
        <v>C</v>
      </c>
      <c r="N869" s="7">
        <f t="shared" si="73"/>
        <v>0</v>
      </c>
      <c r="O869" s="7" t="str">
        <f t="shared" si="74"/>
        <v>Z</v>
      </c>
      <c r="P869" s="7" t="str">
        <f t="shared" si="75"/>
        <v>CZ</v>
      </c>
      <c r="S869" s="6" t="s">
        <v>536</v>
      </c>
      <c r="T869" s="7"/>
      <c r="U869" s="7" t="str">
        <v>BZ</v>
      </c>
      <c r="Y869" t="e">
        <v>#N/A</v>
      </c>
      <c r="Z869" s="104"/>
    </row>
    <row r="870" spans="1:26">
      <c r="A870" s="133" t="s">
        <v>464</v>
      </c>
      <c r="B870" s="7"/>
      <c r="C870" s="7"/>
      <c r="D870" s="7"/>
      <c r="E870" s="7"/>
      <c r="F870" s="7">
        <v>1251818.1818181812</v>
      </c>
      <c r="G870" s="7"/>
      <c r="H870" s="7"/>
      <c r="I870" s="7"/>
      <c r="J870" s="7"/>
      <c r="K870" s="7">
        <v>1251818.1818181812</v>
      </c>
      <c r="L870" s="134">
        <f t="shared" si="76"/>
        <v>0.99990557008609082</v>
      </c>
      <c r="M870" s="7" t="str">
        <f t="shared" si="72"/>
        <v>C</v>
      </c>
      <c r="N870" s="7">
        <f t="shared" si="73"/>
        <v>0</v>
      </c>
      <c r="O870" s="7" t="str">
        <f t="shared" si="74"/>
        <v>Z</v>
      </c>
      <c r="P870" s="7" t="str">
        <f t="shared" si="75"/>
        <v>CZ</v>
      </c>
      <c r="S870" s="6" t="s">
        <v>575</v>
      </c>
      <c r="T870" s="7"/>
      <c r="U870" s="7" t="str">
        <v>CZ</v>
      </c>
      <c r="Y870" t="e">
        <v>#N/A</v>
      </c>
      <c r="Z870" s="104"/>
    </row>
    <row r="871" spans="1:26">
      <c r="A871" s="133" t="s">
        <v>712</v>
      </c>
      <c r="B871" s="7"/>
      <c r="C871" s="7"/>
      <c r="D871" s="7"/>
      <c r="E871" s="7"/>
      <c r="F871" s="7"/>
      <c r="G871" s="7"/>
      <c r="H871" s="7">
        <v>1200150</v>
      </c>
      <c r="I871" s="7"/>
      <c r="J871" s="7"/>
      <c r="K871" s="7">
        <v>1200150</v>
      </c>
      <c r="L871" s="134">
        <f t="shared" si="76"/>
        <v>0.99990956022149036</v>
      </c>
      <c r="M871" s="7" t="str">
        <f t="shared" si="72"/>
        <v>C</v>
      </c>
      <c r="N871" s="7">
        <f t="shared" si="73"/>
        <v>0</v>
      </c>
      <c r="O871" s="7" t="str">
        <f t="shared" si="74"/>
        <v>Z</v>
      </c>
      <c r="P871" s="7" t="str">
        <f t="shared" si="75"/>
        <v>CZ</v>
      </c>
      <c r="S871" s="6" t="s">
        <v>442</v>
      </c>
      <c r="T871" s="7"/>
      <c r="U871" s="7" t="str">
        <v>BZ</v>
      </c>
      <c r="Y871" t="e">
        <v>#N/A</v>
      </c>
      <c r="Z871" s="104"/>
    </row>
    <row r="872" spans="1:26">
      <c r="A872" s="133" t="s">
        <v>1012</v>
      </c>
      <c r="B872" s="7">
        <v>1200000</v>
      </c>
      <c r="C872" s="7"/>
      <c r="D872" s="7"/>
      <c r="E872" s="7"/>
      <c r="F872" s="7"/>
      <c r="G872" s="7"/>
      <c r="H872" s="7"/>
      <c r="I872" s="7"/>
      <c r="J872" s="7"/>
      <c r="K872" s="7">
        <v>1200000</v>
      </c>
      <c r="L872" s="134">
        <f t="shared" si="76"/>
        <v>0.99991354985818526</v>
      </c>
      <c r="M872" s="7" t="str">
        <f t="shared" si="72"/>
        <v>C</v>
      </c>
      <c r="N872" s="7">
        <f t="shared" si="73"/>
        <v>0</v>
      </c>
      <c r="O872" s="7" t="str">
        <f t="shared" si="74"/>
        <v>Z</v>
      </c>
      <c r="P872" s="7" t="str">
        <f t="shared" si="75"/>
        <v>CZ</v>
      </c>
      <c r="S872" s="6" t="s">
        <v>430</v>
      </c>
      <c r="T872" s="7"/>
      <c r="U872" s="7" t="str">
        <v>BZ</v>
      </c>
      <c r="Y872" t="e">
        <v>#N/A</v>
      </c>
      <c r="Z872" s="104"/>
    </row>
    <row r="873" spans="1:26">
      <c r="A873" s="133" t="s">
        <v>1013</v>
      </c>
      <c r="B873" s="7"/>
      <c r="C873" s="7"/>
      <c r="D873" s="7"/>
      <c r="E873" s="7">
        <v>1100000</v>
      </c>
      <c r="F873" s="7"/>
      <c r="G873" s="7"/>
      <c r="H873" s="7"/>
      <c r="I873" s="7"/>
      <c r="J873" s="7"/>
      <c r="K873" s="7">
        <v>1100000</v>
      </c>
      <c r="L873" s="134">
        <f t="shared" si="76"/>
        <v>0.99991720702515563</v>
      </c>
      <c r="M873" s="7" t="str">
        <f t="shared" si="72"/>
        <v>C</v>
      </c>
      <c r="N873" s="7">
        <f t="shared" si="73"/>
        <v>0</v>
      </c>
      <c r="O873" s="7" t="str">
        <f t="shared" si="74"/>
        <v>Z</v>
      </c>
      <c r="P873" s="7" t="str">
        <f t="shared" si="75"/>
        <v>CZ</v>
      </c>
      <c r="S873" s="6" t="s">
        <v>526</v>
      </c>
      <c r="T873" s="7"/>
      <c r="U873" s="7" t="str">
        <v>CZ</v>
      </c>
      <c r="Y873" t="e">
        <v>#N/A</v>
      </c>
      <c r="Z873" s="104"/>
    </row>
    <row r="874" spans="1:26">
      <c r="A874" s="133" t="s">
        <v>1014</v>
      </c>
      <c r="B874" s="7"/>
      <c r="C874" s="7"/>
      <c r="D874" s="7"/>
      <c r="E874" s="7"/>
      <c r="F874" s="7">
        <v>1100000</v>
      </c>
      <c r="G874" s="7"/>
      <c r="H874" s="7"/>
      <c r="I874" s="7"/>
      <c r="J874" s="7"/>
      <c r="K874" s="7">
        <v>1100000</v>
      </c>
      <c r="L874" s="134">
        <f t="shared" si="76"/>
        <v>0.999920864192126</v>
      </c>
      <c r="M874" s="7" t="str">
        <f t="shared" si="72"/>
        <v>C</v>
      </c>
      <c r="N874" s="7">
        <f t="shared" si="73"/>
        <v>0</v>
      </c>
      <c r="O874" s="7" t="str">
        <f t="shared" si="74"/>
        <v>Z</v>
      </c>
      <c r="P874" s="7" t="str">
        <f t="shared" si="75"/>
        <v>CZ</v>
      </c>
      <c r="S874" s="6" t="s">
        <v>278</v>
      </c>
      <c r="T874" s="7"/>
      <c r="U874" s="7" t="str">
        <v>AY</v>
      </c>
      <c r="Y874" t="e">
        <v>#N/A</v>
      </c>
      <c r="Z874" s="104"/>
    </row>
    <row r="875" spans="1:26">
      <c r="A875" s="133" t="s">
        <v>1015</v>
      </c>
      <c r="B875" s="7"/>
      <c r="C875" s="7"/>
      <c r="D875" s="7"/>
      <c r="E875" s="7"/>
      <c r="F875" s="7"/>
      <c r="G875" s="7">
        <v>1090909</v>
      </c>
      <c r="H875" s="7"/>
      <c r="I875" s="7"/>
      <c r="J875" s="7"/>
      <c r="K875" s="7">
        <v>1090909</v>
      </c>
      <c r="L875" s="134">
        <f t="shared" si="76"/>
        <v>0.99992449113427362</v>
      </c>
      <c r="M875" s="7" t="str">
        <f t="shared" si="72"/>
        <v>C</v>
      </c>
      <c r="N875" s="7">
        <f t="shared" si="73"/>
        <v>0</v>
      </c>
      <c r="O875" s="7" t="str">
        <f t="shared" si="74"/>
        <v>Z</v>
      </c>
      <c r="P875" s="7" t="str">
        <f t="shared" si="75"/>
        <v>CZ</v>
      </c>
      <c r="S875" s="6" t="s">
        <v>446</v>
      </c>
      <c r="T875" s="7"/>
      <c r="U875" s="7" t="str">
        <v>BX</v>
      </c>
      <c r="Y875" t="e">
        <v>#N/A</v>
      </c>
      <c r="Z875" s="104"/>
    </row>
    <row r="876" spans="1:26">
      <c r="A876" s="133" t="s">
        <v>479</v>
      </c>
      <c r="B876" s="7"/>
      <c r="C876" s="7"/>
      <c r="D876" s="7"/>
      <c r="E876" s="7"/>
      <c r="F876" s="7"/>
      <c r="G876" s="7"/>
      <c r="H876" s="7"/>
      <c r="I876" s="7">
        <v>1050000</v>
      </c>
      <c r="J876" s="7"/>
      <c r="K876" s="7">
        <v>1050000</v>
      </c>
      <c r="L876" s="134">
        <f t="shared" si="76"/>
        <v>0.99992798206638167</v>
      </c>
      <c r="M876" s="7" t="str">
        <f t="shared" si="72"/>
        <v>C</v>
      </c>
      <c r="N876" s="7">
        <f t="shared" si="73"/>
        <v>0</v>
      </c>
      <c r="O876" s="7" t="str">
        <f t="shared" si="74"/>
        <v>Z</v>
      </c>
      <c r="P876" s="7" t="str">
        <f t="shared" si="75"/>
        <v>CZ</v>
      </c>
      <c r="S876" s="6" t="s">
        <v>450</v>
      </c>
      <c r="T876" s="7"/>
      <c r="U876" s="7" t="str">
        <v>CZ</v>
      </c>
      <c r="Y876" t="e">
        <v>#N/A</v>
      </c>
      <c r="Z876" s="104"/>
    </row>
    <row r="877" spans="1:26">
      <c r="A877" s="133" t="s">
        <v>1016</v>
      </c>
      <c r="B877" s="7"/>
      <c r="C877" s="7"/>
      <c r="D877" s="7"/>
      <c r="E877" s="7">
        <v>1035000</v>
      </c>
      <c r="F877" s="7"/>
      <c r="G877" s="7"/>
      <c r="H877" s="7"/>
      <c r="I877" s="7"/>
      <c r="J877" s="7"/>
      <c r="K877" s="7">
        <v>1035000</v>
      </c>
      <c r="L877" s="134">
        <f t="shared" si="76"/>
        <v>0.99993142312803107</v>
      </c>
      <c r="M877" s="7" t="str">
        <f t="shared" si="72"/>
        <v>C</v>
      </c>
      <c r="N877" s="7">
        <f t="shared" si="73"/>
        <v>0</v>
      </c>
      <c r="O877" s="7" t="str">
        <f t="shared" si="74"/>
        <v>Z</v>
      </c>
      <c r="P877" s="7" t="str">
        <f t="shared" si="75"/>
        <v>CZ</v>
      </c>
      <c r="S877" s="6" t="s">
        <v>300</v>
      </c>
      <c r="T877" s="7"/>
      <c r="U877" s="7" t="str">
        <v>BZ</v>
      </c>
      <c r="Y877" t="e">
        <v>#N/A</v>
      </c>
      <c r="Z877" s="104"/>
    </row>
    <row r="878" spans="1:26">
      <c r="A878" s="133" t="s">
        <v>1017</v>
      </c>
      <c r="B878" s="7">
        <v>1000000</v>
      </c>
      <c r="C878" s="7"/>
      <c r="D878" s="7"/>
      <c r="E878" s="7"/>
      <c r="F878" s="7"/>
      <c r="G878" s="7"/>
      <c r="H878" s="7"/>
      <c r="I878" s="7"/>
      <c r="J878" s="7"/>
      <c r="K878" s="7">
        <v>1000000</v>
      </c>
      <c r="L878" s="134">
        <f t="shared" si="76"/>
        <v>0.9999347478252768</v>
      </c>
      <c r="M878" s="7" t="str">
        <f t="shared" si="72"/>
        <v>C</v>
      </c>
      <c r="N878" s="7">
        <f t="shared" si="73"/>
        <v>0</v>
      </c>
      <c r="O878" s="7" t="str">
        <f t="shared" si="74"/>
        <v>Z</v>
      </c>
      <c r="P878" s="7" t="str">
        <f t="shared" si="75"/>
        <v>CZ</v>
      </c>
      <c r="S878" s="6" t="s">
        <v>361</v>
      </c>
      <c r="T878" s="7"/>
      <c r="U878" s="7" t="str">
        <v>CX</v>
      </c>
      <c r="Y878" t="e">
        <v>#N/A</v>
      </c>
      <c r="Z878" s="104"/>
    </row>
    <row r="879" spans="1:26">
      <c r="A879" s="133" t="s">
        <v>1018</v>
      </c>
      <c r="B879" s="7"/>
      <c r="C879" s="7"/>
      <c r="D879" s="7"/>
      <c r="E879" s="7">
        <v>1000000</v>
      </c>
      <c r="F879" s="7"/>
      <c r="G879" s="7"/>
      <c r="H879" s="7"/>
      <c r="I879" s="7"/>
      <c r="J879" s="7"/>
      <c r="K879" s="7">
        <v>1000000</v>
      </c>
      <c r="L879" s="134">
        <f t="shared" si="76"/>
        <v>0.99993807252252254</v>
      </c>
      <c r="M879" s="7" t="str">
        <f t="shared" si="72"/>
        <v>C</v>
      </c>
      <c r="N879" s="7">
        <f t="shared" si="73"/>
        <v>0</v>
      </c>
      <c r="O879" s="7" t="str">
        <f t="shared" si="74"/>
        <v>Z</v>
      </c>
      <c r="P879" s="7" t="str">
        <f t="shared" si="75"/>
        <v>CZ</v>
      </c>
      <c r="S879" s="6" t="s">
        <v>359</v>
      </c>
      <c r="T879" s="7"/>
      <c r="U879" s="7" t="str">
        <v>CY</v>
      </c>
      <c r="Y879" t="e">
        <v>#N/A</v>
      </c>
      <c r="Z879" s="104"/>
    </row>
    <row r="880" spans="1:26">
      <c r="A880" s="133" t="s">
        <v>1019</v>
      </c>
      <c r="B880" s="7"/>
      <c r="C880" s="7"/>
      <c r="D880" s="7"/>
      <c r="E880" s="7">
        <v>1000000</v>
      </c>
      <c r="F880" s="7"/>
      <c r="G880" s="7"/>
      <c r="H880" s="7"/>
      <c r="I880" s="7"/>
      <c r="J880" s="7"/>
      <c r="K880" s="7">
        <v>1000000</v>
      </c>
      <c r="L880" s="134">
        <f t="shared" si="76"/>
        <v>0.99994139721976827</v>
      </c>
      <c r="M880" s="7" t="str">
        <f t="shared" si="72"/>
        <v>C</v>
      </c>
      <c r="N880" s="7">
        <f t="shared" si="73"/>
        <v>0</v>
      </c>
      <c r="O880" s="7" t="str">
        <f t="shared" si="74"/>
        <v>Z</v>
      </c>
      <c r="P880" s="7" t="str">
        <f t="shared" si="75"/>
        <v>CZ</v>
      </c>
      <c r="S880" s="6" t="s">
        <v>373</v>
      </c>
      <c r="T880" s="7"/>
      <c r="U880" s="7" t="str">
        <v>BX</v>
      </c>
      <c r="Y880" t="e">
        <v>#N/A</v>
      </c>
      <c r="Z880" s="104"/>
    </row>
    <row r="881" spans="1:26">
      <c r="A881" s="133" t="s">
        <v>880</v>
      </c>
      <c r="B881" s="7"/>
      <c r="C881" s="7"/>
      <c r="D881" s="7"/>
      <c r="E881" s="7"/>
      <c r="F881" s="7">
        <v>950000</v>
      </c>
      <c r="G881" s="7"/>
      <c r="H881" s="7"/>
      <c r="I881" s="7"/>
      <c r="J881" s="7"/>
      <c r="K881" s="7">
        <v>950000</v>
      </c>
      <c r="L881" s="134">
        <f t="shared" si="76"/>
        <v>0.99994455568215168</v>
      </c>
      <c r="M881" s="7" t="str">
        <f t="shared" si="72"/>
        <v>C</v>
      </c>
      <c r="N881" s="7">
        <f t="shared" si="73"/>
        <v>0</v>
      </c>
      <c r="O881" s="7" t="str">
        <f t="shared" si="74"/>
        <v>Z</v>
      </c>
      <c r="P881" s="7" t="str">
        <f t="shared" si="75"/>
        <v>CZ</v>
      </c>
      <c r="S881" s="6" t="s">
        <v>313</v>
      </c>
      <c r="T881" s="7"/>
      <c r="U881" s="7" t="str">
        <v>BY</v>
      </c>
      <c r="Y881" t="e">
        <v>#N/A</v>
      </c>
      <c r="Z881" s="104"/>
    </row>
    <row r="882" spans="1:26">
      <c r="A882" s="133" t="s">
        <v>1020</v>
      </c>
      <c r="B882" s="7"/>
      <c r="C882" s="7"/>
      <c r="D882" s="7"/>
      <c r="E882" s="7">
        <v>910000</v>
      </c>
      <c r="F882" s="7"/>
      <c r="G882" s="7"/>
      <c r="H882" s="7"/>
      <c r="I882" s="7"/>
      <c r="J882" s="7"/>
      <c r="K882" s="7">
        <v>910000</v>
      </c>
      <c r="L882" s="134">
        <f t="shared" si="76"/>
        <v>0.99994758115664528</v>
      </c>
      <c r="M882" s="7" t="str">
        <f t="shared" si="72"/>
        <v>C</v>
      </c>
      <c r="N882" s="7">
        <f t="shared" si="73"/>
        <v>0</v>
      </c>
      <c r="O882" s="7" t="str">
        <f t="shared" si="74"/>
        <v>Z</v>
      </c>
      <c r="P882" s="7" t="str">
        <f t="shared" si="75"/>
        <v>CZ</v>
      </c>
      <c r="S882" s="6" t="s">
        <v>266</v>
      </c>
      <c r="T882" s="7"/>
      <c r="U882" s="7" t="str">
        <v>AZ</v>
      </c>
      <c r="Y882" t="e">
        <v>#N/A</v>
      </c>
      <c r="Z882" s="104"/>
    </row>
    <row r="883" spans="1:26">
      <c r="A883" s="133" t="s">
        <v>1021</v>
      </c>
      <c r="B883" s="7">
        <v>500000</v>
      </c>
      <c r="C883" s="7"/>
      <c r="D883" s="7"/>
      <c r="E883" s="7">
        <v>400000</v>
      </c>
      <c r="F883" s="7"/>
      <c r="G883" s="7"/>
      <c r="H883" s="7"/>
      <c r="I883" s="7"/>
      <c r="J883" s="7"/>
      <c r="K883" s="7">
        <v>900000</v>
      </c>
      <c r="L883" s="134">
        <f t="shared" si="76"/>
        <v>0.99995057338416649</v>
      </c>
      <c r="M883" s="7" t="str">
        <f t="shared" si="72"/>
        <v>C</v>
      </c>
      <c r="N883" s="7">
        <f t="shared" si="73"/>
        <v>0.1111111111111111</v>
      </c>
      <c r="O883" s="7" t="str">
        <f t="shared" si="74"/>
        <v>X</v>
      </c>
      <c r="P883" s="7" t="str">
        <f t="shared" si="75"/>
        <v>CX</v>
      </c>
      <c r="S883" s="6" t="s">
        <v>408</v>
      </c>
      <c r="T883" s="7"/>
      <c r="U883" s="7" t="str">
        <v>BX</v>
      </c>
      <c r="Y883" t="e">
        <v>#N/A</v>
      </c>
      <c r="Z883" s="104"/>
    </row>
    <row r="884" spans="1:26">
      <c r="A884" s="133" t="s">
        <v>1022</v>
      </c>
      <c r="B884" s="7"/>
      <c r="C884" s="7"/>
      <c r="D884" s="7"/>
      <c r="E884" s="7"/>
      <c r="F884" s="7">
        <v>770000</v>
      </c>
      <c r="G884" s="7"/>
      <c r="H884" s="7"/>
      <c r="I884" s="7"/>
      <c r="J884" s="7"/>
      <c r="K884" s="7">
        <v>770000</v>
      </c>
      <c r="L884" s="134">
        <f t="shared" si="76"/>
        <v>0.99995313340104575</v>
      </c>
      <c r="M884" s="7" t="str">
        <f t="shared" si="72"/>
        <v>C</v>
      </c>
      <c r="N884" s="7">
        <f t="shared" si="73"/>
        <v>0</v>
      </c>
      <c r="O884" s="7" t="str">
        <f t="shared" si="74"/>
        <v>Z</v>
      </c>
      <c r="P884" s="7" t="str">
        <f t="shared" si="75"/>
        <v>CZ</v>
      </c>
      <c r="S884" s="6" t="s">
        <v>218</v>
      </c>
      <c r="T884" s="7"/>
      <c r="U884" s="7" t="str">
        <v>AY</v>
      </c>
      <c r="Y884" t="e">
        <v>#N/A</v>
      </c>
      <c r="Z884" s="104"/>
    </row>
    <row r="885" spans="1:26">
      <c r="A885" s="133" t="s">
        <v>1023</v>
      </c>
      <c r="B885" s="7">
        <v>748000</v>
      </c>
      <c r="C885" s="7"/>
      <c r="D885" s="7"/>
      <c r="E885" s="7"/>
      <c r="F885" s="7"/>
      <c r="G885" s="7"/>
      <c r="H885" s="7"/>
      <c r="I885" s="7"/>
      <c r="J885" s="7"/>
      <c r="K885" s="7">
        <v>748000</v>
      </c>
      <c r="L885" s="134">
        <f t="shared" si="76"/>
        <v>0.99995562027458562</v>
      </c>
      <c r="M885" s="7" t="str">
        <f t="shared" si="72"/>
        <v>C</v>
      </c>
      <c r="N885" s="7">
        <f t="shared" si="73"/>
        <v>0</v>
      </c>
      <c r="O885" s="7" t="str">
        <f t="shared" si="74"/>
        <v>Z</v>
      </c>
      <c r="P885" s="7" t="str">
        <f t="shared" si="75"/>
        <v>CZ</v>
      </c>
      <c r="S885" s="6" t="s">
        <v>122</v>
      </c>
      <c r="T885" s="7"/>
      <c r="U885" s="7" t="str">
        <v>AZ</v>
      </c>
      <c r="Y885" t="e">
        <v>#N/A</v>
      </c>
      <c r="Z885" s="104"/>
    </row>
    <row r="886" spans="1:26">
      <c r="A886" s="133" t="s">
        <v>299</v>
      </c>
      <c r="B886" s="7"/>
      <c r="C886" s="7"/>
      <c r="D886" s="7"/>
      <c r="E886" s="7"/>
      <c r="F886" s="7"/>
      <c r="G886" s="7"/>
      <c r="H886" s="7"/>
      <c r="I886" s="7">
        <v>730000</v>
      </c>
      <c r="J886" s="7"/>
      <c r="K886" s="7">
        <v>730000</v>
      </c>
      <c r="L886" s="134">
        <f t="shared" si="76"/>
        <v>0.99995804730357507</v>
      </c>
      <c r="M886" s="7" t="str">
        <f t="shared" si="72"/>
        <v>C</v>
      </c>
      <c r="N886" s="7">
        <f t="shared" si="73"/>
        <v>0</v>
      </c>
      <c r="O886" s="7" t="str">
        <f t="shared" si="74"/>
        <v>Z</v>
      </c>
      <c r="P886" s="7" t="str">
        <f t="shared" si="75"/>
        <v>CZ</v>
      </c>
      <c r="S886" s="6" t="s">
        <v>277</v>
      </c>
      <c r="T886" s="7"/>
      <c r="U886" s="7" t="str">
        <v>BZ</v>
      </c>
      <c r="Y886" t="e">
        <v>#N/A</v>
      </c>
      <c r="Z886" s="104"/>
    </row>
    <row r="887" spans="1:26">
      <c r="A887" s="133" t="s">
        <v>192</v>
      </c>
      <c r="B887" s="7"/>
      <c r="C887" s="7"/>
      <c r="D887" s="7">
        <v>307272.72727272677</v>
      </c>
      <c r="E887" s="7">
        <v>141816</v>
      </c>
      <c r="F887" s="7"/>
      <c r="G887" s="7">
        <v>118180</v>
      </c>
      <c r="H887" s="7"/>
      <c r="I887" s="7">
        <v>118180</v>
      </c>
      <c r="J887" s="7"/>
      <c r="K887" s="7">
        <v>685448.72727272683</v>
      </c>
      <c r="L887" s="134">
        <f t="shared" si="76"/>
        <v>0.99996032621307074</v>
      </c>
      <c r="M887" s="7" t="str">
        <f t="shared" si="72"/>
        <v>C</v>
      </c>
      <c r="N887" s="7">
        <f t="shared" si="73"/>
        <v>0.46135654182864716</v>
      </c>
      <c r="O887" s="7" t="str">
        <f t="shared" si="74"/>
        <v>Y</v>
      </c>
      <c r="P887" s="7" t="str">
        <f t="shared" si="75"/>
        <v>CY</v>
      </c>
      <c r="S887" s="6" t="s">
        <v>239</v>
      </c>
      <c r="T887" s="7"/>
      <c r="U887" s="7" t="str">
        <v>AZ</v>
      </c>
      <c r="Y887" t="e">
        <v>#N/A</v>
      </c>
      <c r="Z887" s="104"/>
    </row>
    <row r="888" spans="1:26">
      <c r="A888" s="133" t="s">
        <v>1024</v>
      </c>
      <c r="B888" s="7"/>
      <c r="C888" s="7"/>
      <c r="D888" s="7"/>
      <c r="E888" s="7"/>
      <c r="F888" s="7"/>
      <c r="G888" s="7">
        <v>650000</v>
      </c>
      <c r="H888" s="7"/>
      <c r="I888" s="7"/>
      <c r="J888" s="7"/>
      <c r="K888" s="7">
        <v>650000</v>
      </c>
      <c r="L888" s="134">
        <f t="shared" si="76"/>
        <v>0.99996248726628045</v>
      </c>
      <c r="M888" s="7" t="str">
        <f t="shared" si="72"/>
        <v>C</v>
      </c>
      <c r="N888" s="7">
        <f t="shared" si="73"/>
        <v>0</v>
      </c>
      <c r="O888" s="7" t="str">
        <f t="shared" si="74"/>
        <v>Z</v>
      </c>
      <c r="P888" s="7" t="str">
        <f t="shared" si="75"/>
        <v>CZ</v>
      </c>
      <c r="S888" s="6" t="s">
        <v>293</v>
      </c>
      <c r="T888" s="7"/>
      <c r="U888" s="7" t="str">
        <v>AY</v>
      </c>
      <c r="Y888" t="e">
        <v>#N/A</v>
      </c>
      <c r="Z888" s="104"/>
    </row>
    <row r="889" spans="1:26">
      <c r="A889" s="133" t="s">
        <v>1025</v>
      </c>
      <c r="B889" s="7"/>
      <c r="C889" s="7">
        <v>645000</v>
      </c>
      <c r="D889" s="7"/>
      <c r="E889" s="7"/>
      <c r="F889" s="7"/>
      <c r="G889" s="7"/>
      <c r="H889" s="7"/>
      <c r="I889" s="7"/>
      <c r="J889" s="7"/>
      <c r="K889" s="7">
        <v>645000</v>
      </c>
      <c r="L889" s="134">
        <f t="shared" si="76"/>
        <v>0.99996463169600391</v>
      </c>
      <c r="M889" s="7" t="str">
        <f t="shared" si="72"/>
        <v>C</v>
      </c>
      <c r="N889" s="7">
        <f t="shared" si="73"/>
        <v>0</v>
      </c>
      <c r="O889" s="7" t="str">
        <f t="shared" si="74"/>
        <v>Z</v>
      </c>
      <c r="P889" s="7" t="str">
        <f t="shared" si="75"/>
        <v>CZ</v>
      </c>
      <c r="S889" s="6" t="s">
        <v>322</v>
      </c>
      <c r="T889" s="7"/>
      <c r="U889" s="7" t="str">
        <v>BZ</v>
      </c>
      <c r="Y889" t="e">
        <v>#N/A</v>
      </c>
      <c r="Z889" s="104"/>
    </row>
    <row r="890" spans="1:26">
      <c r="A890" s="133" t="s">
        <v>1026</v>
      </c>
      <c r="B890" s="7"/>
      <c r="C890" s="7"/>
      <c r="D890" s="7"/>
      <c r="E890" s="7"/>
      <c r="F890" s="7">
        <v>645000</v>
      </c>
      <c r="G890" s="7"/>
      <c r="H890" s="7"/>
      <c r="I890" s="7"/>
      <c r="J890" s="7"/>
      <c r="K890" s="7">
        <v>645000</v>
      </c>
      <c r="L890" s="134">
        <f t="shared" si="76"/>
        <v>0.99996677612572737</v>
      </c>
      <c r="M890" s="7" t="str">
        <f t="shared" si="72"/>
        <v>C</v>
      </c>
      <c r="N890" s="7">
        <f t="shared" si="73"/>
        <v>0</v>
      </c>
      <c r="O890" s="7" t="str">
        <f t="shared" si="74"/>
        <v>Z</v>
      </c>
      <c r="P890" s="7" t="str">
        <f t="shared" si="75"/>
        <v>CZ</v>
      </c>
      <c r="S890" s="6" t="s">
        <v>513</v>
      </c>
      <c r="T890" s="7"/>
      <c r="U890" s="7" t="str">
        <v>BX</v>
      </c>
      <c r="Y890" t="e">
        <v>#N/A</v>
      </c>
      <c r="Z890" s="104"/>
    </row>
    <row r="891" spans="1:26">
      <c r="A891" s="133" t="s">
        <v>1027</v>
      </c>
      <c r="B891" s="7"/>
      <c r="C891" s="7"/>
      <c r="D891" s="7"/>
      <c r="E891" s="7"/>
      <c r="F891" s="7">
        <v>620000</v>
      </c>
      <c r="G891" s="7"/>
      <c r="H891" s="7"/>
      <c r="I891" s="7"/>
      <c r="J891" s="7"/>
      <c r="K891" s="7">
        <v>620000</v>
      </c>
      <c r="L891" s="134">
        <f t="shared" si="76"/>
        <v>0.99996883743801979</v>
      </c>
      <c r="M891" s="7" t="str">
        <f t="shared" si="72"/>
        <v>C</v>
      </c>
      <c r="N891" s="7">
        <f t="shared" si="73"/>
        <v>0</v>
      </c>
      <c r="O891" s="7" t="str">
        <f t="shared" si="74"/>
        <v>Z</v>
      </c>
      <c r="P891" s="7" t="str">
        <f t="shared" si="75"/>
        <v>CZ</v>
      </c>
      <c r="S891" s="6" t="s">
        <v>456</v>
      </c>
      <c r="T891" s="7"/>
      <c r="U891" s="7" t="str">
        <v>CY</v>
      </c>
      <c r="Y891" t="e">
        <v>#N/A</v>
      </c>
      <c r="Z891" s="104"/>
    </row>
    <row r="892" spans="1:26">
      <c r="A892" s="133" t="s">
        <v>1028</v>
      </c>
      <c r="B892" s="7">
        <v>600000</v>
      </c>
      <c r="C892" s="7"/>
      <c r="D892" s="7"/>
      <c r="E892" s="7"/>
      <c r="F892" s="7"/>
      <c r="G892" s="7"/>
      <c r="H892" s="7"/>
      <c r="I892" s="7"/>
      <c r="J892" s="7"/>
      <c r="K892" s="7">
        <v>600000</v>
      </c>
      <c r="L892" s="134">
        <f t="shared" si="76"/>
        <v>0.99997083225636729</v>
      </c>
      <c r="M892" s="7" t="str">
        <f t="shared" si="72"/>
        <v>C</v>
      </c>
      <c r="N892" s="7">
        <f t="shared" si="73"/>
        <v>0</v>
      </c>
      <c r="O892" s="7" t="str">
        <f t="shared" si="74"/>
        <v>Z</v>
      </c>
      <c r="P892" s="7" t="str">
        <f t="shared" si="75"/>
        <v>CZ</v>
      </c>
      <c r="S892" s="6" t="s">
        <v>512</v>
      </c>
      <c r="T892" s="7"/>
      <c r="U892" s="7" t="str">
        <v>CY</v>
      </c>
      <c r="Y892" t="e">
        <v>#N/A</v>
      </c>
      <c r="Z892" s="104"/>
    </row>
    <row r="893" spans="1:26">
      <c r="A893" s="133" t="s">
        <v>1029</v>
      </c>
      <c r="B893" s="7"/>
      <c r="C893" s="7"/>
      <c r="D893" s="7"/>
      <c r="E893" s="7"/>
      <c r="F893" s="7">
        <v>550000</v>
      </c>
      <c r="G893" s="7"/>
      <c r="H893" s="7"/>
      <c r="I893" s="7"/>
      <c r="J893" s="7"/>
      <c r="K893" s="7">
        <v>550000</v>
      </c>
      <c r="L893" s="134">
        <f t="shared" si="76"/>
        <v>0.99997266083985248</v>
      </c>
      <c r="M893" s="7" t="str">
        <f t="shared" si="72"/>
        <v>C</v>
      </c>
      <c r="N893" s="7">
        <f t="shared" si="73"/>
        <v>0</v>
      </c>
      <c r="O893" s="7" t="str">
        <f t="shared" si="74"/>
        <v>Z</v>
      </c>
      <c r="P893" s="7" t="str">
        <f t="shared" si="75"/>
        <v>CZ</v>
      </c>
      <c r="S893" s="6" t="s">
        <v>357</v>
      </c>
      <c r="T893" s="7"/>
      <c r="U893" s="7" t="str">
        <v>BZ</v>
      </c>
      <c r="Y893" t="e">
        <v>#N/A</v>
      </c>
      <c r="Z893" s="104"/>
    </row>
    <row r="894" spans="1:26">
      <c r="A894" s="133" t="s">
        <v>425</v>
      </c>
      <c r="B894" s="7"/>
      <c r="C894" s="7">
        <v>525000</v>
      </c>
      <c r="D894" s="7"/>
      <c r="E894" s="7"/>
      <c r="F894" s="7"/>
      <c r="G894" s="7"/>
      <c r="H894" s="7"/>
      <c r="I894" s="7"/>
      <c r="J894" s="7"/>
      <c r="K894" s="7">
        <v>525000</v>
      </c>
      <c r="L894" s="134">
        <f t="shared" si="76"/>
        <v>0.9999744063059065</v>
      </c>
      <c r="M894" s="7" t="str">
        <f t="shared" si="72"/>
        <v>C</v>
      </c>
      <c r="N894" s="7">
        <f t="shared" si="73"/>
        <v>0</v>
      </c>
      <c r="O894" s="7" t="str">
        <f t="shared" si="74"/>
        <v>Z</v>
      </c>
      <c r="P894" s="7" t="str">
        <f t="shared" si="75"/>
        <v>CZ</v>
      </c>
      <c r="S894" s="6" t="s">
        <v>332</v>
      </c>
      <c r="T894" s="7"/>
      <c r="U894" s="7" t="str">
        <v>BY</v>
      </c>
      <c r="Y894" t="e">
        <v>#N/A</v>
      </c>
      <c r="Z894" s="104"/>
    </row>
    <row r="895" spans="1:26">
      <c r="A895" s="133" t="s">
        <v>1030</v>
      </c>
      <c r="B895" s="7">
        <v>500000</v>
      </c>
      <c r="C895" s="7"/>
      <c r="D895" s="7"/>
      <c r="E895" s="7"/>
      <c r="F895" s="7"/>
      <c r="G895" s="7"/>
      <c r="H895" s="7"/>
      <c r="I895" s="7"/>
      <c r="J895" s="7"/>
      <c r="K895" s="7">
        <v>500000</v>
      </c>
      <c r="L895" s="134">
        <f t="shared" si="76"/>
        <v>0.99997606865452937</v>
      </c>
      <c r="M895" s="7" t="str">
        <f t="shared" si="72"/>
        <v>C</v>
      </c>
      <c r="N895" s="7">
        <f t="shared" si="73"/>
        <v>0</v>
      </c>
      <c r="O895" s="7" t="str">
        <f t="shared" si="74"/>
        <v>Z</v>
      </c>
      <c r="P895" s="7" t="str">
        <f t="shared" si="75"/>
        <v>CZ</v>
      </c>
      <c r="S895" s="6" t="s">
        <v>389</v>
      </c>
      <c r="T895" s="7"/>
      <c r="U895" s="7" t="str">
        <v>CZ</v>
      </c>
      <c r="Y895" t="e">
        <v>#N/A</v>
      </c>
      <c r="Z895" s="104"/>
    </row>
    <row r="896" spans="1:26">
      <c r="A896" s="133" t="s">
        <v>1031</v>
      </c>
      <c r="B896" s="7"/>
      <c r="C896" s="7"/>
      <c r="D896" s="7"/>
      <c r="E896" s="7">
        <v>500000</v>
      </c>
      <c r="F896" s="7"/>
      <c r="G896" s="7"/>
      <c r="H896" s="7"/>
      <c r="I896" s="7"/>
      <c r="J896" s="7"/>
      <c r="K896" s="7">
        <v>500000</v>
      </c>
      <c r="L896" s="134">
        <f t="shared" si="76"/>
        <v>0.99997773100315224</v>
      </c>
      <c r="M896" s="7" t="str">
        <f t="shared" si="72"/>
        <v>C</v>
      </c>
      <c r="N896" s="7">
        <f t="shared" si="73"/>
        <v>0</v>
      </c>
      <c r="O896" s="7" t="str">
        <f t="shared" si="74"/>
        <v>Z</v>
      </c>
      <c r="P896" s="7" t="str">
        <f t="shared" si="75"/>
        <v>CZ</v>
      </c>
      <c r="S896" s="6" t="s">
        <v>341</v>
      </c>
      <c r="T896" s="7"/>
      <c r="U896" s="7" t="str">
        <v>CZ</v>
      </c>
      <c r="Y896" t="e">
        <v>#N/A</v>
      </c>
      <c r="Z896" s="104"/>
    </row>
    <row r="897" spans="1:26">
      <c r="A897" s="133" t="s">
        <v>1032</v>
      </c>
      <c r="B897" s="7"/>
      <c r="C897" s="7"/>
      <c r="D897" s="7"/>
      <c r="E897" s="7"/>
      <c r="F897" s="7">
        <v>500000</v>
      </c>
      <c r="G897" s="7"/>
      <c r="H897" s="7"/>
      <c r="I897" s="7"/>
      <c r="J897" s="7"/>
      <c r="K897" s="7">
        <v>500000</v>
      </c>
      <c r="L897" s="134">
        <f t="shared" si="76"/>
        <v>0.9999793933517751</v>
      </c>
      <c r="M897" s="7" t="str">
        <f t="shared" si="72"/>
        <v>C</v>
      </c>
      <c r="N897" s="7">
        <f t="shared" si="73"/>
        <v>0</v>
      </c>
      <c r="O897" s="7" t="str">
        <f t="shared" si="74"/>
        <v>Z</v>
      </c>
      <c r="P897" s="7" t="str">
        <f t="shared" si="75"/>
        <v>CZ</v>
      </c>
      <c r="S897" s="6" t="s">
        <v>393</v>
      </c>
      <c r="T897" s="7"/>
      <c r="U897" s="7" t="str">
        <v>CX</v>
      </c>
      <c r="Y897" t="e">
        <v>#N/A</v>
      </c>
      <c r="Z897" s="104"/>
    </row>
    <row r="898" spans="1:26">
      <c r="A898" s="133" t="s">
        <v>1033</v>
      </c>
      <c r="B898" s="7"/>
      <c r="C898" s="7"/>
      <c r="D898" s="7"/>
      <c r="E898" s="7"/>
      <c r="F898" s="7">
        <v>445454.545454545</v>
      </c>
      <c r="G898" s="7"/>
      <c r="H898" s="7"/>
      <c r="I898" s="7"/>
      <c r="J898" s="7"/>
      <c r="K898" s="7">
        <v>445454.545454545</v>
      </c>
      <c r="L898" s="134">
        <f t="shared" si="76"/>
        <v>0.99998087435327543</v>
      </c>
      <c r="M898" s="7" t="str">
        <f t="shared" si="72"/>
        <v>C</v>
      </c>
      <c r="N898" s="7">
        <f t="shared" si="73"/>
        <v>0</v>
      </c>
      <c r="O898" s="7" t="str">
        <f t="shared" si="74"/>
        <v>Z</v>
      </c>
      <c r="P898" s="7" t="str">
        <f t="shared" si="75"/>
        <v>CZ</v>
      </c>
      <c r="S898" s="6" t="s">
        <v>322</v>
      </c>
      <c r="T898" s="7"/>
      <c r="U898" s="7" t="str">
        <v>BZ</v>
      </c>
      <c r="Y898" t="e">
        <v>#N/A</v>
      </c>
      <c r="Z898" s="104"/>
    </row>
    <row r="899" spans="1:26">
      <c r="A899" s="133" t="s">
        <v>1034</v>
      </c>
      <c r="B899" s="7"/>
      <c r="C899" s="7"/>
      <c r="D899" s="7"/>
      <c r="E899" s="7"/>
      <c r="F899" s="7">
        <v>430000</v>
      </c>
      <c r="G899" s="7"/>
      <c r="H899" s="7"/>
      <c r="I899" s="7"/>
      <c r="J899" s="7"/>
      <c r="K899" s="7">
        <v>430000</v>
      </c>
      <c r="L899" s="134">
        <f t="shared" si="76"/>
        <v>0.99998230397309107</v>
      </c>
      <c r="M899" s="7" t="str">
        <f t="shared" si="72"/>
        <v>C</v>
      </c>
      <c r="N899" s="7">
        <f t="shared" si="73"/>
        <v>0</v>
      </c>
      <c r="O899" s="7" t="str">
        <f t="shared" si="74"/>
        <v>Z</v>
      </c>
      <c r="P899" s="7" t="str">
        <f t="shared" si="75"/>
        <v>CZ</v>
      </c>
      <c r="S899" s="6" t="s">
        <v>544</v>
      </c>
      <c r="T899" s="7"/>
      <c r="U899" s="7" t="str">
        <v>CZ</v>
      </c>
      <c r="Y899" t="e">
        <v>#N/A</v>
      </c>
      <c r="Z899" s="104"/>
    </row>
    <row r="900" spans="1:26">
      <c r="A900" s="133" t="s">
        <v>1035</v>
      </c>
      <c r="B900" s="7">
        <v>400000</v>
      </c>
      <c r="C900" s="7"/>
      <c r="D900" s="7"/>
      <c r="E900" s="7"/>
      <c r="F900" s="7"/>
      <c r="G900" s="7"/>
      <c r="H900" s="7"/>
      <c r="I900" s="7"/>
      <c r="J900" s="7"/>
      <c r="K900" s="7">
        <v>400000</v>
      </c>
      <c r="L900" s="134">
        <f t="shared" si="76"/>
        <v>0.99998363385198941</v>
      </c>
      <c r="M900" s="7" t="str">
        <f t="shared" si="72"/>
        <v>C</v>
      </c>
      <c r="N900" s="7">
        <f t="shared" si="73"/>
        <v>0</v>
      </c>
      <c r="O900" s="7" t="str">
        <f t="shared" si="74"/>
        <v>Z</v>
      </c>
      <c r="P900" s="7" t="str">
        <f t="shared" si="75"/>
        <v>CZ</v>
      </c>
      <c r="S900" s="6" t="s">
        <v>344</v>
      </c>
      <c r="T900" s="7"/>
      <c r="U900" s="7" t="str">
        <v>BY</v>
      </c>
      <c r="Y900" t="e">
        <v>#N/A</v>
      </c>
      <c r="Z900" s="104"/>
    </row>
    <row r="901" spans="1:26">
      <c r="A901" s="133" t="s">
        <v>1036</v>
      </c>
      <c r="B901" s="7"/>
      <c r="C901" s="7"/>
      <c r="D901" s="7"/>
      <c r="E901" s="7"/>
      <c r="F901" s="7">
        <v>400000</v>
      </c>
      <c r="G901" s="7"/>
      <c r="H901" s="7"/>
      <c r="I901" s="7"/>
      <c r="J901" s="7"/>
      <c r="K901" s="7">
        <v>400000</v>
      </c>
      <c r="L901" s="134">
        <f t="shared" si="76"/>
        <v>0.99998496373088774</v>
      </c>
      <c r="M901" s="7" t="str">
        <f t="shared" ref="M901:M930" si="77">IF(L901&lt;=0.8,"A",IF(L901&lt;=0.95,"B","C"))</f>
        <v>C</v>
      </c>
      <c r="N901" s="7">
        <f t="shared" ref="N901:N930" si="78">STDEVP(B901:J901)/AVERAGE(B901:J901)</f>
        <v>0</v>
      </c>
      <c r="O901" s="7" t="str">
        <f t="shared" ref="O901:O930" si="79">IF(N901=0,"Z",IF(N901&lt;=30%,"X",IF(N901&lt;=60%,"Y","Z")))</f>
        <v>Z</v>
      </c>
      <c r="P901" s="7" t="str">
        <f t="shared" ref="P901:P930" si="80">M901&amp;O901</f>
        <v>CZ</v>
      </c>
      <c r="S901" s="6" t="s">
        <v>638</v>
      </c>
      <c r="T901" s="7"/>
      <c r="U901" s="7" t="str">
        <v>CZ</v>
      </c>
      <c r="Y901" t="e">
        <v>#N/A</v>
      </c>
      <c r="Z901" s="104"/>
    </row>
    <row r="902" spans="1:26">
      <c r="A902" s="133" t="s">
        <v>1037</v>
      </c>
      <c r="B902" s="7"/>
      <c r="C902" s="7"/>
      <c r="D902" s="7"/>
      <c r="E902" s="7"/>
      <c r="F902" s="7"/>
      <c r="G902" s="7"/>
      <c r="H902" s="7"/>
      <c r="I902" s="7">
        <v>394098</v>
      </c>
      <c r="J902" s="7"/>
      <c r="K902" s="7">
        <v>394098</v>
      </c>
      <c r="L902" s="134">
        <f t="shared" ref="L902:L930" si="81">K902/$K$932+L901</f>
        <v>0.9999862739874229</v>
      </c>
      <c r="M902" s="7" t="str">
        <f t="shared" si="77"/>
        <v>C</v>
      </c>
      <c r="N902" s="7">
        <f t="shared" si="78"/>
        <v>0</v>
      </c>
      <c r="O902" s="7" t="str">
        <f t="shared" si="79"/>
        <v>Z</v>
      </c>
      <c r="P902" s="7" t="str">
        <f t="shared" si="80"/>
        <v>CZ</v>
      </c>
      <c r="S902" s="6" t="s">
        <v>588</v>
      </c>
      <c r="T902" s="7"/>
      <c r="U902" s="7" t="str">
        <v>CX</v>
      </c>
      <c r="Y902" t="e">
        <v>#N/A</v>
      </c>
      <c r="Z902" s="104"/>
    </row>
    <row r="903" spans="1:26">
      <c r="A903" s="133" t="s">
        <v>1038</v>
      </c>
      <c r="B903" s="7"/>
      <c r="C903" s="7"/>
      <c r="D903" s="7"/>
      <c r="E903" s="7">
        <v>350000</v>
      </c>
      <c r="F903" s="7"/>
      <c r="G903" s="7"/>
      <c r="H903" s="7"/>
      <c r="I903" s="7"/>
      <c r="J903" s="7"/>
      <c r="K903" s="7">
        <v>350000</v>
      </c>
      <c r="L903" s="134">
        <f t="shared" si="81"/>
        <v>0.99998743763145892</v>
      </c>
      <c r="M903" s="7" t="str">
        <f t="shared" si="77"/>
        <v>C</v>
      </c>
      <c r="N903" s="7">
        <f t="shared" si="78"/>
        <v>0</v>
      </c>
      <c r="O903" s="7" t="str">
        <f t="shared" si="79"/>
        <v>Z</v>
      </c>
      <c r="P903" s="7" t="str">
        <f t="shared" si="80"/>
        <v>CZ</v>
      </c>
      <c r="S903" s="6" t="s">
        <v>591</v>
      </c>
      <c r="T903" s="7"/>
      <c r="U903" s="7" t="str">
        <v>CX</v>
      </c>
      <c r="Y903" t="e">
        <v>#N/A</v>
      </c>
      <c r="Z903" s="104"/>
    </row>
    <row r="904" spans="1:26">
      <c r="A904" s="133" t="s">
        <v>1039</v>
      </c>
      <c r="B904" s="7"/>
      <c r="C904" s="7"/>
      <c r="D904" s="7"/>
      <c r="E904" s="7"/>
      <c r="F904" s="7"/>
      <c r="G904" s="7">
        <v>160000</v>
      </c>
      <c r="H904" s="7"/>
      <c r="I904" s="7">
        <v>150000</v>
      </c>
      <c r="J904" s="7"/>
      <c r="K904" s="7">
        <v>310000</v>
      </c>
      <c r="L904" s="134">
        <f t="shared" si="81"/>
        <v>0.99998846828760513</v>
      </c>
      <c r="M904" s="7" t="str">
        <f t="shared" si="77"/>
        <v>C</v>
      </c>
      <c r="N904" s="7">
        <f t="shared" si="78"/>
        <v>3.2258064516129031E-2</v>
      </c>
      <c r="O904" s="7" t="str">
        <f t="shared" si="79"/>
        <v>X</v>
      </c>
      <c r="P904" s="7" t="str">
        <f t="shared" si="80"/>
        <v>CX</v>
      </c>
      <c r="S904" s="6" t="s">
        <v>406</v>
      </c>
      <c r="T904" s="7"/>
      <c r="U904" s="7" t="str">
        <v>BY</v>
      </c>
      <c r="Y904" t="e">
        <v>#N/A</v>
      </c>
      <c r="Z904" s="104"/>
    </row>
    <row r="905" spans="1:26">
      <c r="A905" s="133" t="s">
        <v>259</v>
      </c>
      <c r="B905" s="7"/>
      <c r="C905" s="7"/>
      <c r="D905" s="7"/>
      <c r="E905" s="7"/>
      <c r="F905" s="7"/>
      <c r="G905" s="7"/>
      <c r="H905" s="7">
        <v>300000</v>
      </c>
      <c r="I905" s="7"/>
      <c r="J905" s="7"/>
      <c r="K905" s="7">
        <v>300000</v>
      </c>
      <c r="L905" s="134">
        <f t="shared" si="81"/>
        <v>0.99998946569677882</v>
      </c>
      <c r="M905" s="7" t="str">
        <f t="shared" si="77"/>
        <v>C</v>
      </c>
      <c r="N905" s="7">
        <f t="shared" si="78"/>
        <v>0</v>
      </c>
      <c r="O905" s="7" t="str">
        <f t="shared" si="79"/>
        <v>Z</v>
      </c>
      <c r="P905" s="7" t="str">
        <f t="shared" si="80"/>
        <v>CZ</v>
      </c>
      <c r="S905" s="6" t="s">
        <v>333</v>
      </c>
      <c r="T905" s="7"/>
      <c r="U905" s="7" t="str">
        <v>BZ</v>
      </c>
      <c r="Y905" t="e">
        <v>#N/A</v>
      </c>
      <c r="Z905" s="104"/>
    </row>
    <row r="906" spans="1:26">
      <c r="A906" s="133" t="s">
        <v>1040</v>
      </c>
      <c r="B906" s="7"/>
      <c r="C906" s="7"/>
      <c r="D906" s="7"/>
      <c r="E906" s="7">
        <v>300000</v>
      </c>
      <c r="F906" s="7"/>
      <c r="G906" s="7"/>
      <c r="H906" s="7"/>
      <c r="I906" s="7"/>
      <c r="J906" s="7"/>
      <c r="K906" s="7">
        <v>300000</v>
      </c>
      <c r="L906" s="134">
        <f t="shared" si="81"/>
        <v>0.99999046310595252</v>
      </c>
      <c r="M906" s="7" t="str">
        <f t="shared" si="77"/>
        <v>C</v>
      </c>
      <c r="N906" s="7">
        <f t="shared" si="78"/>
        <v>0</v>
      </c>
      <c r="O906" s="7" t="str">
        <f t="shared" si="79"/>
        <v>Z</v>
      </c>
      <c r="P906" s="7" t="str">
        <f t="shared" si="80"/>
        <v>CZ</v>
      </c>
      <c r="S906" s="6" t="s">
        <v>210</v>
      </c>
      <c r="T906" s="7"/>
      <c r="U906" s="7" t="str">
        <v>AY</v>
      </c>
      <c r="Y906" t="e">
        <v>#N/A</v>
      </c>
      <c r="Z906" s="104"/>
    </row>
    <row r="907" spans="1:26">
      <c r="A907" s="133" t="s">
        <v>1041</v>
      </c>
      <c r="B907" s="7"/>
      <c r="C907" s="7"/>
      <c r="D907" s="7"/>
      <c r="E907" s="7">
        <v>275000</v>
      </c>
      <c r="F907" s="7"/>
      <c r="G907" s="7"/>
      <c r="H907" s="7"/>
      <c r="I907" s="7"/>
      <c r="J907" s="7"/>
      <c r="K907" s="7">
        <v>275000</v>
      </c>
      <c r="L907" s="134">
        <f t="shared" si="81"/>
        <v>0.99999137739769506</v>
      </c>
      <c r="M907" s="7" t="str">
        <f t="shared" si="77"/>
        <v>C</v>
      </c>
      <c r="N907" s="7">
        <f t="shared" si="78"/>
        <v>0</v>
      </c>
      <c r="O907" s="7" t="str">
        <f t="shared" si="79"/>
        <v>Z</v>
      </c>
      <c r="P907" s="7" t="str">
        <f t="shared" si="80"/>
        <v>CZ</v>
      </c>
      <c r="S907" s="6" t="s">
        <v>240</v>
      </c>
      <c r="T907" s="7"/>
      <c r="U907" s="7" t="str">
        <v>BZ</v>
      </c>
      <c r="Y907" t="e">
        <v>#N/A</v>
      </c>
      <c r="Z907" s="104"/>
    </row>
    <row r="908" spans="1:26">
      <c r="A908" s="133" t="s">
        <v>1042</v>
      </c>
      <c r="B908" s="7"/>
      <c r="C908" s="7"/>
      <c r="D908" s="7"/>
      <c r="E908" s="7">
        <v>250000</v>
      </c>
      <c r="F908" s="7"/>
      <c r="G908" s="7"/>
      <c r="H908" s="7"/>
      <c r="I908" s="7"/>
      <c r="J908" s="7"/>
      <c r="K908" s="7">
        <v>250000</v>
      </c>
      <c r="L908" s="134">
        <f t="shared" si="81"/>
        <v>0.99999220857200655</v>
      </c>
      <c r="M908" s="7" t="str">
        <f t="shared" si="77"/>
        <v>C</v>
      </c>
      <c r="N908" s="7">
        <f t="shared" si="78"/>
        <v>0</v>
      </c>
      <c r="O908" s="7" t="str">
        <f t="shared" si="79"/>
        <v>Z</v>
      </c>
      <c r="P908" s="7" t="str">
        <f t="shared" si="80"/>
        <v>CZ</v>
      </c>
      <c r="S908" s="6" t="s">
        <v>540</v>
      </c>
      <c r="T908" s="7"/>
      <c r="U908" s="7" t="str">
        <v>BZ</v>
      </c>
      <c r="Y908" t="e">
        <v>#N/A</v>
      </c>
      <c r="Z908" s="104"/>
    </row>
    <row r="909" spans="1:26">
      <c r="A909" s="133" t="s">
        <v>1043</v>
      </c>
      <c r="B909" s="7"/>
      <c r="C909" s="7"/>
      <c r="D909" s="7"/>
      <c r="E909" s="7">
        <v>250000</v>
      </c>
      <c r="F909" s="7"/>
      <c r="G909" s="7"/>
      <c r="H909" s="7"/>
      <c r="I909" s="7"/>
      <c r="J909" s="7"/>
      <c r="K909" s="7">
        <v>250000</v>
      </c>
      <c r="L909" s="134">
        <f t="shared" si="81"/>
        <v>0.99999303974631804</v>
      </c>
      <c r="M909" s="7" t="str">
        <f t="shared" si="77"/>
        <v>C</v>
      </c>
      <c r="N909" s="7">
        <f t="shared" si="78"/>
        <v>0</v>
      </c>
      <c r="O909" s="7" t="str">
        <f t="shared" si="79"/>
        <v>Z</v>
      </c>
      <c r="P909" s="7" t="str">
        <f t="shared" si="80"/>
        <v>CZ</v>
      </c>
      <c r="S909" s="6" t="s">
        <v>204</v>
      </c>
      <c r="T909" s="7"/>
      <c r="U909" s="7" t="str">
        <v>BY</v>
      </c>
      <c r="Y909" t="e">
        <v>#N/A</v>
      </c>
      <c r="Z909" s="104"/>
    </row>
    <row r="910" spans="1:26">
      <c r="A910" s="133" t="s">
        <v>1044</v>
      </c>
      <c r="B910" s="7"/>
      <c r="C910" s="7"/>
      <c r="D910" s="7"/>
      <c r="E910" s="7">
        <v>250000</v>
      </c>
      <c r="F910" s="7"/>
      <c r="G910" s="7"/>
      <c r="H910" s="7"/>
      <c r="I910" s="7"/>
      <c r="J910" s="7"/>
      <c r="K910" s="7">
        <v>250000</v>
      </c>
      <c r="L910" s="134">
        <f t="shared" si="81"/>
        <v>0.99999387092062952</v>
      </c>
      <c r="M910" s="7" t="str">
        <f t="shared" si="77"/>
        <v>C</v>
      </c>
      <c r="N910" s="7">
        <f t="shared" si="78"/>
        <v>0</v>
      </c>
      <c r="O910" s="7" t="str">
        <f t="shared" si="79"/>
        <v>Z</v>
      </c>
      <c r="P910" s="7" t="str">
        <f t="shared" si="80"/>
        <v>CZ</v>
      </c>
      <c r="S910" s="6" t="s">
        <v>230</v>
      </c>
      <c r="T910" s="7"/>
      <c r="U910" s="7" t="str">
        <v>BY</v>
      </c>
      <c r="Y910" t="e">
        <v>#N/A</v>
      </c>
      <c r="Z910" s="104"/>
    </row>
    <row r="911" spans="1:26">
      <c r="A911" s="133" t="s">
        <v>1045</v>
      </c>
      <c r="B911" s="7">
        <v>238000</v>
      </c>
      <c r="C911" s="7"/>
      <c r="D911" s="7"/>
      <c r="E911" s="7"/>
      <c r="F911" s="7"/>
      <c r="G911" s="7"/>
      <c r="H911" s="7"/>
      <c r="I911" s="7"/>
      <c r="J911" s="7"/>
      <c r="K911" s="7">
        <v>238000</v>
      </c>
      <c r="L911" s="134">
        <f t="shared" si="81"/>
        <v>0.99999466219857402</v>
      </c>
      <c r="M911" s="7" t="str">
        <f t="shared" si="77"/>
        <v>C</v>
      </c>
      <c r="N911" s="7">
        <f t="shared" si="78"/>
        <v>0</v>
      </c>
      <c r="O911" s="7" t="str">
        <f t="shared" si="79"/>
        <v>Z</v>
      </c>
      <c r="P911" s="7" t="str">
        <f t="shared" si="80"/>
        <v>CZ</v>
      </c>
      <c r="S911" s="6" t="s">
        <v>339</v>
      </c>
      <c r="T911" s="7"/>
      <c r="U911" s="7" t="str">
        <v>CZ</v>
      </c>
      <c r="Y911" t="e">
        <v>#N/A</v>
      </c>
      <c r="Z911" s="104"/>
    </row>
    <row r="912" spans="1:26">
      <c r="A912" s="133" t="s">
        <v>1046</v>
      </c>
      <c r="B912" s="7"/>
      <c r="C912" s="7">
        <v>200000</v>
      </c>
      <c r="D912" s="7"/>
      <c r="E912" s="7">
        <v>20000</v>
      </c>
      <c r="F912" s="7"/>
      <c r="G912" s="7"/>
      <c r="H912" s="7"/>
      <c r="I912" s="7"/>
      <c r="J912" s="7"/>
      <c r="K912" s="7">
        <v>220000</v>
      </c>
      <c r="L912" s="134">
        <f t="shared" si="81"/>
        <v>0.9999953936319681</v>
      </c>
      <c r="M912" s="7" t="str">
        <f t="shared" si="77"/>
        <v>C</v>
      </c>
      <c r="N912" s="7">
        <f t="shared" si="78"/>
        <v>0.81818181818181823</v>
      </c>
      <c r="O912" s="7" t="str">
        <f t="shared" si="79"/>
        <v>Z</v>
      </c>
      <c r="P912" s="7" t="str">
        <f t="shared" si="80"/>
        <v>CZ</v>
      </c>
      <c r="S912" s="6" t="s">
        <v>279</v>
      </c>
      <c r="T912" s="7"/>
      <c r="U912" s="7" t="str">
        <v>CX</v>
      </c>
      <c r="Y912" t="e">
        <v>#N/A</v>
      </c>
      <c r="Z912" s="104"/>
    </row>
    <row r="913" spans="1:26">
      <c r="A913" s="133" t="s">
        <v>1047</v>
      </c>
      <c r="B913" s="7"/>
      <c r="C913" s="7">
        <v>200000</v>
      </c>
      <c r="D913" s="7"/>
      <c r="E913" s="7"/>
      <c r="F913" s="7"/>
      <c r="G913" s="7"/>
      <c r="H913" s="7"/>
      <c r="I913" s="7"/>
      <c r="J913" s="7"/>
      <c r="K913" s="7">
        <v>200000</v>
      </c>
      <c r="L913" s="134">
        <f t="shared" si="81"/>
        <v>0.99999605857141727</v>
      </c>
      <c r="M913" s="7" t="str">
        <f t="shared" si="77"/>
        <v>C</v>
      </c>
      <c r="N913" s="7">
        <f t="shared" si="78"/>
        <v>0</v>
      </c>
      <c r="O913" s="7" t="str">
        <f t="shared" si="79"/>
        <v>Z</v>
      </c>
      <c r="P913" s="7" t="str">
        <f t="shared" si="80"/>
        <v>CZ</v>
      </c>
      <c r="S913" s="6" t="s">
        <v>331</v>
      </c>
      <c r="T913" s="7"/>
      <c r="U913" s="7" t="str">
        <v>CZ</v>
      </c>
      <c r="Y913" t="e">
        <v>#N/A</v>
      </c>
      <c r="Z913" s="104"/>
    </row>
    <row r="914" spans="1:26">
      <c r="A914" s="133" t="s">
        <v>1048</v>
      </c>
      <c r="B914" s="7">
        <v>200000</v>
      </c>
      <c r="C914" s="7"/>
      <c r="D914" s="7"/>
      <c r="E914" s="7"/>
      <c r="F914" s="7"/>
      <c r="G914" s="7"/>
      <c r="H914" s="7"/>
      <c r="I914" s="7"/>
      <c r="J914" s="7"/>
      <c r="K914" s="7">
        <v>200000</v>
      </c>
      <c r="L914" s="134">
        <f t="shared" si="81"/>
        <v>0.99999672351086644</v>
      </c>
      <c r="M914" s="7" t="str">
        <f t="shared" si="77"/>
        <v>C</v>
      </c>
      <c r="N914" s="7">
        <f t="shared" si="78"/>
        <v>0</v>
      </c>
      <c r="O914" s="7" t="str">
        <f t="shared" si="79"/>
        <v>Z</v>
      </c>
      <c r="P914" s="7" t="str">
        <f t="shared" si="80"/>
        <v>CZ</v>
      </c>
      <c r="S914" s="6" t="s">
        <v>333</v>
      </c>
      <c r="T914" s="7"/>
      <c r="U914" s="7" t="str">
        <v>BZ</v>
      </c>
      <c r="Y914" t="e">
        <v>#N/A</v>
      </c>
      <c r="Z914" s="104"/>
    </row>
    <row r="915" spans="1:26">
      <c r="A915" s="133" t="s">
        <v>867</v>
      </c>
      <c r="B915" s="7">
        <v>180000</v>
      </c>
      <c r="C915" s="7"/>
      <c r="D915" s="7"/>
      <c r="E915" s="7"/>
      <c r="F915" s="7"/>
      <c r="G915" s="7"/>
      <c r="H915" s="7"/>
      <c r="I915" s="7"/>
      <c r="J915" s="7"/>
      <c r="K915" s="7">
        <v>180000</v>
      </c>
      <c r="L915" s="134">
        <f t="shared" si="81"/>
        <v>0.9999973219563707</v>
      </c>
      <c r="M915" s="7" t="str">
        <f t="shared" si="77"/>
        <v>C</v>
      </c>
      <c r="N915" s="7">
        <f t="shared" si="78"/>
        <v>0</v>
      </c>
      <c r="O915" s="7" t="str">
        <f t="shared" si="79"/>
        <v>Z</v>
      </c>
      <c r="P915" s="7" t="str">
        <f t="shared" si="80"/>
        <v>CZ</v>
      </c>
      <c r="S915" s="6" t="s">
        <v>441</v>
      </c>
      <c r="T915" s="7"/>
      <c r="U915" s="7" t="str">
        <v>BZ</v>
      </c>
      <c r="Y915" t="e">
        <v>#N/A</v>
      </c>
      <c r="Z915" s="104"/>
    </row>
    <row r="916" spans="1:26">
      <c r="A916" s="133" t="s">
        <v>1049</v>
      </c>
      <c r="B916" s="7"/>
      <c r="C916" s="7"/>
      <c r="D916" s="7"/>
      <c r="E916" s="7">
        <v>150000</v>
      </c>
      <c r="F916" s="7"/>
      <c r="G916" s="7"/>
      <c r="H916" s="7"/>
      <c r="I916" s="7"/>
      <c r="J916" s="7"/>
      <c r="K916" s="7">
        <v>150000</v>
      </c>
      <c r="L916" s="134">
        <f t="shared" si="81"/>
        <v>0.99999782066095755</v>
      </c>
      <c r="M916" s="7" t="str">
        <f t="shared" si="77"/>
        <v>C</v>
      </c>
      <c r="N916" s="7">
        <f t="shared" si="78"/>
        <v>0</v>
      </c>
      <c r="O916" s="7" t="str">
        <f t="shared" si="79"/>
        <v>Z</v>
      </c>
      <c r="P916" s="7" t="str">
        <f t="shared" si="80"/>
        <v>CZ</v>
      </c>
      <c r="S916" s="6" t="s">
        <v>224</v>
      </c>
      <c r="T916" s="7"/>
      <c r="U916" s="7" t="str">
        <v>BY</v>
      </c>
      <c r="Y916" t="e">
        <v>#N/A</v>
      </c>
      <c r="Z916" s="104"/>
    </row>
    <row r="917" spans="1:26">
      <c r="A917" s="133" t="s">
        <v>1050</v>
      </c>
      <c r="B917" s="7"/>
      <c r="C917" s="7"/>
      <c r="D917" s="7"/>
      <c r="E917" s="7">
        <v>150000</v>
      </c>
      <c r="F917" s="7"/>
      <c r="G917" s="7"/>
      <c r="H917" s="7"/>
      <c r="I917" s="7"/>
      <c r="J917" s="7"/>
      <c r="K917" s="7">
        <v>150000</v>
      </c>
      <c r="L917" s="134">
        <f t="shared" si="81"/>
        <v>0.9999983193655444</v>
      </c>
      <c r="M917" s="7" t="str">
        <f t="shared" si="77"/>
        <v>C</v>
      </c>
      <c r="N917" s="7">
        <f t="shared" si="78"/>
        <v>0</v>
      </c>
      <c r="O917" s="7" t="str">
        <f t="shared" si="79"/>
        <v>Z</v>
      </c>
      <c r="P917" s="7" t="str">
        <f t="shared" si="80"/>
        <v>CZ</v>
      </c>
      <c r="S917" s="6" t="s">
        <v>147</v>
      </c>
      <c r="T917" s="7"/>
      <c r="U917" s="7" t="str">
        <v>AZ</v>
      </c>
      <c r="Y917" t="e">
        <v>#N/A</v>
      </c>
      <c r="Z917" s="104"/>
    </row>
    <row r="918" spans="1:26">
      <c r="A918" s="133" t="s">
        <v>1051</v>
      </c>
      <c r="B918" s="7"/>
      <c r="C918" s="7"/>
      <c r="D918" s="7"/>
      <c r="E918" s="7">
        <v>150000</v>
      </c>
      <c r="F918" s="7"/>
      <c r="G918" s="7"/>
      <c r="H918" s="7"/>
      <c r="I918" s="7"/>
      <c r="J918" s="7"/>
      <c r="K918" s="7">
        <v>150000</v>
      </c>
      <c r="L918" s="134">
        <f t="shared" si="81"/>
        <v>0.99999881807013125</v>
      </c>
      <c r="M918" s="7" t="str">
        <f t="shared" si="77"/>
        <v>C</v>
      </c>
      <c r="N918" s="7">
        <f t="shared" si="78"/>
        <v>0</v>
      </c>
      <c r="O918" s="7" t="str">
        <f t="shared" si="79"/>
        <v>Z</v>
      </c>
      <c r="P918" s="7" t="str">
        <f t="shared" si="80"/>
        <v>CZ</v>
      </c>
      <c r="S918" s="6" t="s">
        <v>277</v>
      </c>
      <c r="T918" s="7"/>
      <c r="U918" s="7" t="str">
        <v>BZ</v>
      </c>
      <c r="Y918" t="e">
        <v>#N/A</v>
      </c>
      <c r="Z918" s="104"/>
    </row>
    <row r="919" spans="1:26">
      <c r="A919" s="133" t="s">
        <v>1052</v>
      </c>
      <c r="B919" s="7"/>
      <c r="C919" s="7"/>
      <c r="D919" s="7"/>
      <c r="E919" s="7">
        <v>120000</v>
      </c>
      <c r="F919" s="7"/>
      <c r="G919" s="7"/>
      <c r="H919" s="7"/>
      <c r="I919" s="7"/>
      <c r="J919" s="7"/>
      <c r="K919" s="7">
        <v>120000</v>
      </c>
      <c r="L919" s="134">
        <f t="shared" si="81"/>
        <v>0.99999921703380079</v>
      </c>
      <c r="M919" s="7" t="str">
        <f t="shared" si="77"/>
        <v>C</v>
      </c>
      <c r="N919" s="7">
        <f t="shared" si="78"/>
        <v>0</v>
      </c>
      <c r="O919" s="7" t="str">
        <f t="shared" si="79"/>
        <v>Z</v>
      </c>
      <c r="P919" s="7" t="str">
        <f t="shared" si="80"/>
        <v>CZ</v>
      </c>
      <c r="S919" s="6" t="s">
        <v>335</v>
      </c>
      <c r="T919" s="7"/>
      <c r="U919" s="7" t="str">
        <v>BZ</v>
      </c>
      <c r="Y919" t="e">
        <v>#N/A</v>
      </c>
      <c r="Z919" s="104"/>
    </row>
    <row r="920" spans="1:26">
      <c r="A920" s="133" t="s">
        <v>1053</v>
      </c>
      <c r="B920" s="7">
        <v>100000</v>
      </c>
      <c r="C920" s="7"/>
      <c r="D920" s="7"/>
      <c r="E920" s="7"/>
      <c r="F920" s="7"/>
      <c r="G920" s="7"/>
      <c r="H920" s="7"/>
      <c r="I920" s="7"/>
      <c r="J920" s="7"/>
      <c r="K920" s="7">
        <v>100000</v>
      </c>
      <c r="L920" s="134">
        <f t="shared" si="81"/>
        <v>0.99999954950352532</v>
      </c>
      <c r="M920" s="7" t="str">
        <f t="shared" si="77"/>
        <v>C</v>
      </c>
      <c r="N920" s="7">
        <f t="shared" si="78"/>
        <v>0</v>
      </c>
      <c r="O920" s="7" t="str">
        <f t="shared" si="79"/>
        <v>Z</v>
      </c>
      <c r="P920" s="7" t="str">
        <f t="shared" si="80"/>
        <v>CZ</v>
      </c>
      <c r="S920" s="6" t="s">
        <v>114</v>
      </c>
      <c r="T920" s="7"/>
      <c r="U920" s="7" t="str">
        <v>AZ</v>
      </c>
      <c r="Y920" t="e">
        <v>#N/A</v>
      </c>
      <c r="Z920" s="104"/>
    </row>
    <row r="921" spans="1:26">
      <c r="A921" s="133" t="s">
        <v>463</v>
      </c>
      <c r="B921" s="7"/>
      <c r="C921" s="7"/>
      <c r="D921" s="7"/>
      <c r="E921" s="7"/>
      <c r="F921" s="7"/>
      <c r="G921" s="7"/>
      <c r="H921" s="7"/>
      <c r="I921" s="7">
        <v>50000</v>
      </c>
      <c r="J921" s="7"/>
      <c r="K921" s="7">
        <v>50000</v>
      </c>
      <c r="L921" s="134">
        <f t="shared" si="81"/>
        <v>0.99999971573838764</v>
      </c>
      <c r="M921" s="7" t="str">
        <f t="shared" si="77"/>
        <v>C</v>
      </c>
      <c r="N921" s="7">
        <f t="shared" si="78"/>
        <v>0</v>
      </c>
      <c r="O921" s="7" t="str">
        <f t="shared" si="79"/>
        <v>Z</v>
      </c>
      <c r="P921" s="7" t="str">
        <f t="shared" si="80"/>
        <v>CZ</v>
      </c>
      <c r="S921" s="6" t="s">
        <v>203</v>
      </c>
      <c r="T921" s="7"/>
      <c r="U921" s="7" t="str">
        <v>AY</v>
      </c>
      <c r="Y921" t="e">
        <v>#N/A</v>
      </c>
      <c r="Z921" s="104"/>
    </row>
    <row r="922" spans="1:26">
      <c r="A922" s="133" t="s">
        <v>562</v>
      </c>
      <c r="B922" s="7"/>
      <c r="C922" s="7"/>
      <c r="D922" s="7"/>
      <c r="E922" s="7"/>
      <c r="F922" s="7"/>
      <c r="G922" s="7"/>
      <c r="H922" s="7">
        <v>30000</v>
      </c>
      <c r="I922" s="7"/>
      <c r="J922" s="7"/>
      <c r="K922" s="7">
        <v>30000</v>
      </c>
      <c r="L922" s="134">
        <f t="shared" si="81"/>
        <v>0.99999981547930505</v>
      </c>
      <c r="M922" s="7" t="str">
        <f t="shared" si="77"/>
        <v>C</v>
      </c>
      <c r="N922" s="7">
        <f t="shared" si="78"/>
        <v>0</v>
      </c>
      <c r="O922" s="7" t="str">
        <f t="shared" si="79"/>
        <v>Z</v>
      </c>
      <c r="P922" s="7" t="str">
        <f t="shared" si="80"/>
        <v>CZ</v>
      </c>
      <c r="S922" s="6" t="s">
        <v>203</v>
      </c>
      <c r="T922" s="7"/>
      <c r="U922" s="7" t="str">
        <v>AY</v>
      </c>
      <c r="Y922" t="e">
        <v>#N/A</v>
      </c>
      <c r="Z922" s="104"/>
    </row>
    <row r="923" spans="1:26">
      <c r="A923" s="133" t="s">
        <v>808</v>
      </c>
      <c r="B923" s="7"/>
      <c r="C923" s="7"/>
      <c r="D923" s="7"/>
      <c r="E923" s="7"/>
      <c r="F923" s="7"/>
      <c r="G923" s="7"/>
      <c r="H923" s="7">
        <v>10000</v>
      </c>
      <c r="I923" s="7"/>
      <c r="J923" s="7"/>
      <c r="K923" s="7">
        <v>10000</v>
      </c>
      <c r="L923" s="134">
        <f t="shared" si="81"/>
        <v>0.99999984872627756</v>
      </c>
      <c r="M923" s="7" t="str">
        <f t="shared" si="77"/>
        <v>C</v>
      </c>
      <c r="N923" s="7">
        <f t="shared" si="78"/>
        <v>0</v>
      </c>
      <c r="O923" s="7" t="str">
        <f t="shared" si="79"/>
        <v>Z</v>
      </c>
      <c r="P923" s="7" t="str">
        <f t="shared" si="80"/>
        <v>CZ</v>
      </c>
      <c r="S923" s="6" t="s">
        <v>208</v>
      </c>
      <c r="T923" s="7"/>
      <c r="U923" s="7" t="str">
        <v>AZ</v>
      </c>
      <c r="Y923" t="e">
        <v>#N/A</v>
      </c>
      <c r="Z923" s="104"/>
    </row>
    <row r="924" spans="1:26">
      <c r="A924" s="133" t="s">
        <v>809</v>
      </c>
      <c r="B924" s="7"/>
      <c r="C924" s="7"/>
      <c r="D924" s="7"/>
      <c r="E924" s="7"/>
      <c r="F924" s="7"/>
      <c r="G924" s="7"/>
      <c r="H924" s="7">
        <v>10000</v>
      </c>
      <c r="I924" s="7"/>
      <c r="J924" s="7"/>
      <c r="K924" s="7">
        <v>10000</v>
      </c>
      <c r="L924" s="134">
        <f t="shared" si="81"/>
        <v>0.99999988197325007</v>
      </c>
      <c r="M924" s="7" t="str">
        <f t="shared" si="77"/>
        <v>C</v>
      </c>
      <c r="N924" s="7">
        <f t="shared" si="78"/>
        <v>0</v>
      </c>
      <c r="O924" s="7" t="str">
        <f t="shared" si="79"/>
        <v>Z</v>
      </c>
      <c r="P924" s="7" t="str">
        <f t="shared" si="80"/>
        <v>CZ</v>
      </c>
      <c r="S924" s="6" t="s">
        <v>274</v>
      </c>
      <c r="T924" s="7"/>
      <c r="U924" s="7" t="str">
        <v>AZ</v>
      </c>
      <c r="Y924" t="e">
        <v>#N/A</v>
      </c>
      <c r="Z924" s="104"/>
    </row>
    <row r="925" spans="1:26">
      <c r="A925" s="133" t="s">
        <v>814</v>
      </c>
      <c r="B925" s="7"/>
      <c r="C925" s="7"/>
      <c r="D925" s="7"/>
      <c r="E925" s="7"/>
      <c r="F925" s="7"/>
      <c r="G925" s="7"/>
      <c r="H925" s="7">
        <v>10000</v>
      </c>
      <c r="I925" s="7"/>
      <c r="J925" s="7"/>
      <c r="K925" s="7">
        <v>10000</v>
      </c>
      <c r="L925" s="134">
        <f t="shared" si="81"/>
        <v>0.99999991522022258</v>
      </c>
      <c r="M925" s="7" t="str">
        <f t="shared" si="77"/>
        <v>C</v>
      </c>
      <c r="N925" s="7">
        <f t="shared" si="78"/>
        <v>0</v>
      </c>
      <c r="O925" s="7" t="str">
        <f t="shared" si="79"/>
        <v>Z</v>
      </c>
      <c r="P925" s="7" t="str">
        <f t="shared" si="80"/>
        <v>CZ</v>
      </c>
      <c r="S925" s="6" t="s">
        <v>539</v>
      </c>
      <c r="T925" s="7"/>
      <c r="U925" s="7" t="str">
        <v>BY</v>
      </c>
      <c r="Y925" t="e">
        <v>#N/A</v>
      </c>
      <c r="Z925" s="104"/>
    </row>
    <row r="926" spans="1:26">
      <c r="A926" s="133" t="s">
        <v>816</v>
      </c>
      <c r="B926" s="7"/>
      <c r="C926" s="7"/>
      <c r="D926" s="7"/>
      <c r="E926" s="7"/>
      <c r="F926" s="7"/>
      <c r="G926" s="7"/>
      <c r="H926" s="7">
        <v>10000</v>
      </c>
      <c r="I926" s="7"/>
      <c r="J926" s="7"/>
      <c r="K926" s="7">
        <v>10000</v>
      </c>
      <c r="L926" s="134">
        <f t="shared" si="81"/>
        <v>0.99999994846719509</v>
      </c>
      <c r="M926" s="7" t="str">
        <f t="shared" si="77"/>
        <v>C</v>
      </c>
      <c r="N926" s="7">
        <f t="shared" si="78"/>
        <v>0</v>
      </c>
      <c r="O926" s="7" t="str">
        <f t="shared" si="79"/>
        <v>Z</v>
      </c>
      <c r="P926" s="7" t="str">
        <f t="shared" si="80"/>
        <v>CZ</v>
      </c>
      <c r="S926" s="6" t="s">
        <v>358</v>
      </c>
      <c r="T926" s="7"/>
      <c r="U926" s="7" t="str">
        <v>CY</v>
      </c>
      <c r="Y926" t="e">
        <v>#N/A</v>
      </c>
      <c r="Z926" s="104"/>
    </row>
    <row r="927" spans="1:26">
      <c r="A927" s="133" t="s">
        <v>806</v>
      </c>
      <c r="B927" s="7"/>
      <c r="C927" s="7"/>
      <c r="D927" s="7"/>
      <c r="E927" s="7"/>
      <c r="F927" s="7"/>
      <c r="G927" s="7"/>
      <c r="H927" s="7">
        <v>5000</v>
      </c>
      <c r="I927" s="7"/>
      <c r="J927" s="7"/>
      <c r="K927" s="7">
        <v>5000</v>
      </c>
      <c r="L927" s="134">
        <f t="shared" si="81"/>
        <v>0.99999996509068134</v>
      </c>
      <c r="M927" s="7" t="str">
        <f t="shared" si="77"/>
        <v>C</v>
      </c>
      <c r="N927" s="7">
        <f t="shared" si="78"/>
        <v>0</v>
      </c>
      <c r="O927" s="7" t="str">
        <f t="shared" si="79"/>
        <v>Z</v>
      </c>
      <c r="P927" s="7" t="str">
        <f t="shared" si="80"/>
        <v>CZ</v>
      </c>
      <c r="S927" s="6" t="s">
        <v>504</v>
      </c>
      <c r="T927" s="7"/>
      <c r="U927" s="7" t="str">
        <v>BZ</v>
      </c>
      <c r="Y927" t="e">
        <v>#N/A</v>
      </c>
      <c r="Z927" s="104"/>
    </row>
    <row r="928" spans="1:26">
      <c r="A928" s="133" t="s">
        <v>810</v>
      </c>
      <c r="B928" s="7"/>
      <c r="C928" s="7"/>
      <c r="D928" s="7"/>
      <c r="E928" s="7"/>
      <c r="F928" s="7"/>
      <c r="G928" s="7"/>
      <c r="H928" s="7">
        <v>5000</v>
      </c>
      <c r="I928" s="7"/>
      <c r="J928" s="7"/>
      <c r="K928" s="7">
        <v>5000</v>
      </c>
      <c r="L928" s="134">
        <f t="shared" si="81"/>
        <v>0.9999999817141676</v>
      </c>
      <c r="M928" s="7" t="str">
        <f t="shared" si="77"/>
        <v>C</v>
      </c>
      <c r="N928" s="7">
        <f t="shared" si="78"/>
        <v>0</v>
      </c>
      <c r="O928" s="7" t="str">
        <f t="shared" si="79"/>
        <v>Z</v>
      </c>
      <c r="P928" s="7" t="str">
        <f t="shared" si="80"/>
        <v>CZ</v>
      </c>
      <c r="S928" s="6" t="s">
        <v>208</v>
      </c>
      <c r="T928" s="7"/>
      <c r="U928" s="7" t="str">
        <v>AZ</v>
      </c>
      <c r="Y928" t="e">
        <v>#N/A</v>
      </c>
      <c r="Z928" s="104"/>
    </row>
    <row r="929" spans="1:26">
      <c r="A929" s="133" t="s">
        <v>812</v>
      </c>
      <c r="B929" s="7"/>
      <c r="C929" s="7"/>
      <c r="D929" s="7"/>
      <c r="E929" s="7"/>
      <c r="F929" s="7"/>
      <c r="G929" s="7"/>
      <c r="H929" s="7">
        <v>5000</v>
      </c>
      <c r="I929" s="7"/>
      <c r="J929" s="7"/>
      <c r="K929" s="7">
        <v>5000</v>
      </c>
      <c r="L929" s="134">
        <f t="shared" si="81"/>
        <v>0.99999999833765385</v>
      </c>
      <c r="M929" s="7" t="str">
        <f t="shared" si="77"/>
        <v>C</v>
      </c>
      <c r="N929" s="7">
        <f t="shared" si="78"/>
        <v>0</v>
      </c>
      <c r="O929" s="7" t="str">
        <f t="shared" si="79"/>
        <v>Z</v>
      </c>
      <c r="P929" s="7" t="str">
        <f t="shared" si="80"/>
        <v>CZ</v>
      </c>
      <c r="S929" s="6" t="s">
        <v>500</v>
      </c>
      <c r="T929" s="7"/>
      <c r="U929" s="7" t="str">
        <v>BZ</v>
      </c>
      <c r="Y929" t="e">
        <v>#N/A</v>
      </c>
      <c r="Z929" s="104"/>
    </row>
    <row r="930" spans="1:26">
      <c r="A930" s="133" t="s">
        <v>582</v>
      </c>
      <c r="B930" s="7"/>
      <c r="C930" s="7"/>
      <c r="D930" s="7"/>
      <c r="E930" s="7"/>
      <c r="F930" s="7"/>
      <c r="G930" s="7"/>
      <c r="H930" s="7">
        <v>500</v>
      </c>
      <c r="I930" s="7"/>
      <c r="J930" s="7"/>
      <c r="K930" s="7">
        <v>500</v>
      </c>
      <c r="L930" s="134">
        <f t="shared" si="81"/>
        <v>1.0000000000000024</v>
      </c>
      <c r="M930" s="7" t="str">
        <f t="shared" si="77"/>
        <v>C</v>
      </c>
      <c r="N930" s="7">
        <f t="shared" si="78"/>
        <v>0</v>
      </c>
      <c r="O930" s="7" t="str">
        <f t="shared" si="79"/>
        <v>Z</v>
      </c>
      <c r="P930" s="7" t="str">
        <f t="shared" si="80"/>
        <v>CZ</v>
      </c>
      <c r="S930" s="6" t="s">
        <v>705</v>
      </c>
      <c r="T930" s="7"/>
      <c r="U930" s="7" t="str">
        <v>CZ</v>
      </c>
      <c r="Y930" t="e">
        <v>#N/A</v>
      </c>
      <c r="Z930" s="104"/>
    </row>
    <row r="931" spans="1:26">
      <c r="S931" s="6" t="s">
        <v>773</v>
      </c>
      <c r="T931" s="7"/>
      <c r="U931" s="7" t="str">
        <v>CZ</v>
      </c>
      <c r="Y931" t="e">
        <v>#N/A</v>
      </c>
      <c r="Z931" s="104"/>
    </row>
    <row r="932" spans="1:26">
      <c r="A932" s="98" t="s">
        <v>14</v>
      </c>
      <c r="B932">
        <v>9742327295.8069191</v>
      </c>
      <c r="C932">
        <v>8902986252.743</v>
      </c>
      <c r="D932">
        <v>18527430821.990273</v>
      </c>
      <c r="E932">
        <v>31724856293.002907</v>
      </c>
      <c r="F932">
        <v>19708818260.280277</v>
      </c>
      <c r="G932">
        <v>33163981168.653748</v>
      </c>
      <c r="H932">
        <v>44929488111.132004</v>
      </c>
      <c r="I932">
        <v>49143990182.568001</v>
      </c>
      <c r="J932">
        <v>84935388441.210007</v>
      </c>
      <c r="K932">
        <v>300779266827.38715</v>
      </c>
      <c r="S932" s="6" t="s">
        <v>690</v>
      </c>
      <c r="T932" s="7"/>
      <c r="U932" s="7" t="str">
        <v>CZ</v>
      </c>
      <c r="Y932" t="e">
        <v>#N/A</v>
      </c>
      <c r="Z932" s="104"/>
    </row>
    <row r="933" spans="1:26">
      <c r="S933" s="6" t="s">
        <v>833</v>
      </c>
      <c r="T933" s="7"/>
      <c r="U933" s="7" t="str">
        <v>CZ</v>
      </c>
      <c r="Y933" t="e">
        <v>#N/A</v>
      </c>
      <c r="Z933" s="104"/>
    </row>
    <row r="934" spans="1:26">
      <c r="S934" s="6" t="s">
        <v>835</v>
      </c>
      <c r="T934" s="7"/>
      <c r="U934" s="7" t="str">
        <v>CZ</v>
      </c>
      <c r="Y934" t="e">
        <v>#N/A</v>
      </c>
      <c r="Z934" s="104"/>
    </row>
    <row r="935" spans="1:26">
      <c r="S935" s="6" t="s">
        <v>430</v>
      </c>
      <c r="T935" s="7"/>
      <c r="U935" s="7" t="str">
        <v>BZ</v>
      </c>
      <c r="Y935" t="e">
        <v>#N/A</v>
      </c>
      <c r="Z935" s="104"/>
    </row>
    <row r="936" spans="1:26">
      <c r="S936" s="6" t="s">
        <v>452</v>
      </c>
      <c r="T936" s="7"/>
      <c r="U936" s="7" t="str">
        <v>CX</v>
      </c>
      <c r="Y936" t="e">
        <v>#N/A</v>
      </c>
      <c r="Z936" s="104"/>
    </row>
    <row r="937" spans="1:26">
      <c r="S937" s="6" t="s">
        <v>506</v>
      </c>
      <c r="T937" s="7"/>
      <c r="U937" s="7" t="str">
        <v>BZ</v>
      </c>
      <c r="Y937" t="e">
        <v>#N/A</v>
      </c>
      <c r="Z937" s="104"/>
    </row>
    <row r="938" spans="1:26">
      <c r="S938" s="6" t="s">
        <v>437</v>
      </c>
      <c r="T938" s="7"/>
      <c r="U938" s="7" t="str">
        <v>BY</v>
      </c>
      <c r="Y938" t="e">
        <v>#N/A</v>
      </c>
      <c r="Z938" s="104"/>
    </row>
    <row r="939" spans="1:26">
      <c r="S939" s="6" t="s">
        <v>297</v>
      </c>
      <c r="T939" s="7"/>
      <c r="U939" s="7" t="str">
        <v>BZ</v>
      </c>
      <c r="Y939" t="e">
        <v>#N/A</v>
      </c>
      <c r="Z939" s="104"/>
    </row>
    <row r="940" spans="1:26">
      <c r="S940" s="6" t="s">
        <v>297</v>
      </c>
      <c r="T940" s="7"/>
      <c r="U940" s="7" t="str">
        <v>BZ</v>
      </c>
      <c r="Y940" t="e">
        <v>#N/A</v>
      </c>
      <c r="Z940" s="104"/>
    </row>
    <row r="941" spans="1:26">
      <c r="S941" s="6" t="s">
        <v>324</v>
      </c>
      <c r="T941" s="7"/>
      <c r="U941" s="7" t="str">
        <v>BZ</v>
      </c>
      <c r="Y941" t="e">
        <v>#N/A</v>
      </c>
      <c r="Z941" s="104"/>
    </row>
    <row r="942" spans="1:26">
      <c r="S942" s="6" t="s">
        <v>572</v>
      </c>
      <c r="T942" s="7"/>
      <c r="U942" s="7" t="str">
        <v>CY</v>
      </c>
      <c r="Y942" t="e">
        <v>#N/A</v>
      </c>
      <c r="Z942" s="104"/>
    </row>
    <row r="943" spans="1:26">
      <c r="S943" s="6" t="s">
        <v>481</v>
      </c>
      <c r="T943" s="7"/>
      <c r="U943" s="7" t="str">
        <v>CY</v>
      </c>
      <c r="Y943" t="e">
        <v>#N/A</v>
      </c>
      <c r="Z943" s="104"/>
    </row>
    <row r="944" spans="1:26">
      <c r="S944" s="6" t="s">
        <v>430</v>
      </c>
      <c r="T944" s="7"/>
      <c r="U944" s="7" t="str">
        <v>BZ</v>
      </c>
      <c r="Y944" t="e">
        <v>#N/A</v>
      </c>
      <c r="Z944" s="104"/>
    </row>
    <row r="945" spans="19:26">
      <c r="S945" s="6" t="s">
        <v>529</v>
      </c>
      <c r="T945" s="7"/>
      <c r="U945" s="7" t="str">
        <v>BZ</v>
      </c>
      <c r="Y945" t="e">
        <v>#N/A</v>
      </c>
      <c r="Z945" s="104"/>
    </row>
    <row r="946" spans="19:26">
      <c r="S946" s="6" t="s">
        <v>572</v>
      </c>
      <c r="T946" s="7"/>
      <c r="U946" s="7" t="str">
        <v>CY</v>
      </c>
      <c r="Y946" t="e">
        <v>#N/A</v>
      </c>
      <c r="Z946" s="104"/>
    </row>
    <row r="947" spans="19:26">
      <c r="S947" s="6" t="s">
        <v>335</v>
      </c>
      <c r="T947" s="7"/>
      <c r="U947" s="7" t="str">
        <v>BZ</v>
      </c>
      <c r="Y947" t="e">
        <v>#N/A</v>
      </c>
      <c r="Z947" s="104"/>
    </row>
    <row r="948" spans="19:26">
      <c r="S948" s="6" t="s">
        <v>690</v>
      </c>
      <c r="T948" s="7"/>
      <c r="U948" s="7" t="str">
        <v>CZ</v>
      </c>
      <c r="Y948" t="e">
        <v>#N/A</v>
      </c>
      <c r="Z948" s="104"/>
    </row>
    <row r="949" spans="19:26">
      <c r="S949" s="6" t="s">
        <v>324</v>
      </c>
      <c r="T949" s="7"/>
      <c r="U949" s="7" t="str">
        <v>BZ</v>
      </c>
      <c r="Y949" t="e">
        <v>#N/A</v>
      </c>
      <c r="Z949" s="104"/>
    </row>
    <row r="950" spans="19:26">
      <c r="S950" s="6" t="s">
        <v>480</v>
      </c>
      <c r="T950" s="7"/>
      <c r="U950" s="7" t="str">
        <v>BZ</v>
      </c>
      <c r="Y950" t="e">
        <v>#N/A</v>
      </c>
      <c r="Z950" s="104"/>
    </row>
    <row r="951" spans="19:26">
      <c r="S951" s="6" t="s">
        <v>529</v>
      </c>
      <c r="T951" s="7"/>
      <c r="U951" s="7" t="str">
        <v>BZ</v>
      </c>
      <c r="Y951" t="e">
        <v>#N/A</v>
      </c>
      <c r="Z951" s="104"/>
    </row>
    <row r="952" spans="19:26">
      <c r="S952" s="6" t="s">
        <v>529</v>
      </c>
      <c r="T952" s="7"/>
      <c r="U952" s="7" t="str">
        <v>BZ</v>
      </c>
      <c r="Y952" t="e">
        <v>#N/A</v>
      </c>
      <c r="Z952" s="104"/>
    </row>
    <row r="953" spans="19:26">
      <c r="S953" s="6" t="s">
        <v>303</v>
      </c>
      <c r="T953" s="7"/>
      <c r="U953" s="7" t="str">
        <v>BZ</v>
      </c>
      <c r="Y953" t="e">
        <v>#N/A</v>
      </c>
      <c r="Z953" s="104"/>
    </row>
    <row r="954" spans="19:26">
      <c r="S954" s="6" t="s">
        <v>318</v>
      </c>
      <c r="T954" s="7"/>
      <c r="U954" s="7" t="str">
        <v>BZ</v>
      </c>
      <c r="Y954" t="e">
        <v>#N/A</v>
      </c>
      <c r="Z954" s="104"/>
    </row>
    <row r="955" spans="19:26">
      <c r="S955" s="6" t="s">
        <v>572</v>
      </c>
      <c r="T955" s="7"/>
      <c r="U955" s="7" t="str">
        <v>CY</v>
      </c>
      <c r="Y955" t="e">
        <v>#N/A</v>
      </c>
      <c r="Z955" s="104"/>
    </row>
    <row r="956" spans="19:26">
      <c r="S956" s="6" t="s">
        <v>303</v>
      </c>
      <c r="T956" s="7"/>
      <c r="U956" s="7" t="str">
        <v>BZ</v>
      </c>
      <c r="Y956" t="e">
        <v>#N/A</v>
      </c>
      <c r="Z956" s="104"/>
    </row>
    <row r="957" spans="19:26">
      <c r="S957" s="6" t="s">
        <v>318</v>
      </c>
      <c r="T957" s="7"/>
      <c r="U957" s="7" t="str">
        <v>BZ</v>
      </c>
      <c r="Y957" t="e">
        <v>#N/A</v>
      </c>
      <c r="Z957" s="104"/>
    </row>
    <row r="958" spans="19:26">
      <c r="S958" s="6" t="s">
        <v>480</v>
      </c>
      <c r="T958" s="7"/>
      <c r="U958" s="7" t="str">
        <v>BZ</v>
      </c>
      <c r="Y958" t="e">
        <v>#N/A</v>
      </c>
      <c r="Z958" s="104"/>
    </row>
    <row r="959" spans="19:26">
      <c r="S959" s="6" t="s">
        <v>540</v>
      </c>
      <c r="T959" s="7"/>
      <c r="U959" s="7" t="str">
        <v>BZ</v>
      </c>
      <c r="Y959" t="e">
        <v>#N/A</v>
      </c>
      <c r="Z959" s="104"/>
    </row>
    <row r="960" spans="19:26">
      <c r="S960" s="6" t="s">
        <v>300</v>
      </c>
      <c r="T960" s="7"/>
      <c r="U960" s="7" t="str">
        <v>BZ</v>
      </c>
      <c r="Y960" t="e">
        <v>#N/A</v>
      </c>
      <c r="Z960" s="104"/>
    </row>
    <row r="961" spans="19:26">
      <c r="S961" s="6" t="s">
        <v>218</v>
      </c>
      <c r="T961" s="7"/>
      <c r="U961" s="7" t="str">
        <v>AY</v>
      </c>
      <c r="Y961" t="e">
        <v>#N/A</v>
      </c>
      <c r="Z961" s="104"/>
    </row>
    <row r="962" spans="19:26">
      <c r="S962" s="6" t="s">
        <v>230</v>
      </c>
      <c r="T962" s="7"/>
      <c r="U962" s="7" t="str">
        <v>BY</v>
      </c>
      <c r="Y962" t="e">
        <v>#N/A</v>
      </c>
      <c r="Z962" s="104"/>
    </row>
    <row r="963" spans="19:26">
      <c r="S963" s="6" t="s">
        <v>809</v>
      </c>
      <c r="T963" s="7"/>
      <c r="U963" s="7" t="str">
        <v>CZ</v>
      </c>
      <c r="Y963" t="e">
        <v>#N/A</v>
      </c>
      <c r="Z963" s="104"/>
    </row>
    <row r="964" spans="19:26">
      <c r="S964" s="6" t="s">
        <v>363</v>
      </c>
      <c r="T964" s="7"/>
      <c r="U964" s="7" t="str">
        <v>CY</v>
      </c>
      <c r="Y964" t="e">
        <v>#N/A</v>
      </c>
      <c r="Z964" s="104"/>
    </row>
    <row r="965" spans="19:26">
      <c r="S965" s="6" t="s">
        <v>808</v>
      </c>
      <c r="T965" s="7"/>
      <c r="U965" s="7" t="str">
        <v>CZ</v>
      </c>
      <c r="Y965" t="e">
        <v>#N/A</v>
      </c>
      <c r="Z965" s="104"/>
    </row>
    <row r="966" spans="19:26">
      <c r="S966" s="6" t="s">
        <v>806</v>
      </c>
      <c r="T966" s="7"/>
      <c r="U966" s="7" t="str">
        <v>CZ</v>
      </c>
      <c r="Y966" t="e">
        <v>#N/A</v>
      </c>
      <c r="Z966" s="104"/>
    </row>
    <row r="967" spans="19:26">
      <c r="S967" s="6" t="s">
        <v>281</v>
      </c>
      <c r="T967" s="7"/>
      <c r="U967" s="7" t="str">
        <v>CX</v>
      </c>
      <c r="Y967" t="e">
        <v>#N/A</v>
      </c>
      <c r="Z967" s="104"/>
    </row>
    <row r="968" spans="19:26">
      <c r="S968" s="6" t="s">
        <v>136</v>
      </c>
      <c r="T968" s="7"/>
      <c r="U968" s="7" t="str">
        <v>BY</v>
      </c>
      <c r="Y968" t="e">
        <v>#N/A</v>
      </c>
      <c r="Z968" s="104"/>
    </row>
    <row r="969" spans="19:26">
      <c r="S969" s="6" t="s">
        <v>73</v>
      </c>
      <c r="T969" s="7"/>
      <c r="U969" s="7" t="str">
        <v>BZ</v>
      </c>
      <c r="Y969" t="e">
        <v>#N/A</v>
      </c>
      <c r="Z969" s="104"/>
    </row>
    <row r="970" spans="19:26">
      <c r="S970" s="6" t="s">
        <v>240</v>
      </c>
      <c r="T970" s="7"/>
      <c r="U970" s="7" t="str">
        <v>BZ</v>
      </c>
      <c r="Y970" t="e">
        <v>#N/A</v>
      </c>
      <c r="Z970" s="104"/>
    </row>
    <row r="971" spans="19:26">
      <c r="S971" s="6" t="s">
        <v>204</v>
      </c>
      <c r="T971" s="7"/>
      <c r="U971" s="7" t="str">
        <v>BY</v>
      </c>
      <c r="Y971" t="e">
        <v>#N/A</v>
      </c>
      <c r="Z971" s="104"/>
    </row>
    <row r="972" spans="19:26">
      <c r="S972" s="6" t="s">
        <v>236</v>
      </c>
      <c r="T972" s="7"/>
      <c r="U972" s="7" t="str">
        <v>BY</v>
      </c>
      <c r="Y972" t="e">
        <v>#N/A</v>
      </c>
      <c r="Z972" s="104"/>
    </row>
    <row r="973" spans="19:26">
      <c r="S973" s="6" t="s">
        <v>305</v>
      </c>
      <c r="T973" s="7"/>
      <c r="U973" s="7" t="str">
        <v>CY</v>
      </c>
      <c r="Y973" t="e">
        <v>#N/A</v>
      </c>
      <c r="Z973" s="104"/>
    </row>
    <row r="974" spans="19:26">
      <c r="S974" s="6" t="s">
        <v>577</v>
      </c>
      <c r="T974" s="7"/>
      <c r="U974" s="7" t="str">
        <v>CZ</v>
      </c>
      <c r="Y974" t="e">
        <v>#N/A</v>
      </c>
      <c r="Z974" s="104"/>
    </row>
    <row r="975" spans="19:26">
      <c r="S975" s="6" t="s">
        <v>283</v>
      </c>
      <c r="T975" s="7"/>
      <c r="U975" s="7" t="str">
        <v>CZ</v>
      </c>
      <c r="Y975" t="e">
        <v>#N/A</v>
      </c>
      <c r="Z975" s="104"/>
    </row>
    <row r="976" spans="19:26">
      <c r="S976" s="6" t="s">
        <v>289</v>
      </c>
      <c r="T976" s="7"/>
      <c r="U976" s="7" t="str">
        <v>AZ</v>
      </c>
      <c r="Y976" t="e">
        <v>#N/A</v>
      </c>
      <c r="Z976" s="104"/>
    </row>
    <row r="977" spans="19:26">
      <c r="S977" s="6" t="s">
        <v>264</v>
      </c>
      <c r="T977" s="7"/>
      <c r="U977" s="7" t="str">
        <v>AY</v>
      </c>
      <c r="Y977" t="e">
        <v>#N/A</v>
      </c>
      <c r="Z977" s="104"/>
    </row>
    <row r="978" spans="19:26">
      <c r="S978" s="6" t="s">
        <v>539</v>
      </c>
      <c r="T978" s="7"/>
      <c r="U978" s="7" t="str">
        <v>BY</v>
      </c>
      <c r="Y978" t="e">
        <v>#N/A</v>
      </c>
      <c r="Z978" s="104"/>
    </row>
    <row r="979" spans="19:26">
      <c r="S979" s="6" t="s">
        <v>287</v>
      </c>
      <c r="T979" s="7"/>
      <c r="U979" s="7" t="str">
        <v>AZ</v>
      </c>
      <c r="Y979" t="e">
        <v>#N/A</v>
      </c>
      <c r="Z979" s="104"/>
    </row>
    <row r="980" spans="19:26">
      <c r="S980" s="6" t="s">
        <v>372</v>
      </c>
      <c r="T980" s="7"/>
      <c r="U980" s="7" t="str">
        <v>CZ</v>
      </c>
      <c r="Y980" t="e">
        <v>#N/A</v>
      </c>
      <c r="Z980" s="104"/>
    </row>
    <row r="981" spans="19:26">
      <c r="S981" s="6" t="s">
        <v>685</v>
      </c>
      <c r="T981" s="7"/>
      <c r="U981" s="7" t="str">
        <v>CZ</v>
      </c>
      <c r="Y981" t="e">
        <v>#N/A</v>
      </c>
      <c r="Z981" s="104"/>
    </row>
    <row r="982" spans="19:26">
      <c r="S982" s="6" t="s">
        <v>289</v>
      </c>
      <c r="T982" s="7"/>
      <c r="U982" s="7" t="str">
        <v>AZ</v>
      </c>
      <c r="Y982" t="e">
        <v>#N/A</v>
      </c>
      <c r="Z982" s="104"/>
    </row>
    <row r="983" spans="19:26">
      <c r="S983" s="6" t="s">
        <v>683</v>
      </c>
      <c r="T983" s="7"/>
      <c r="U983" s="7" t="str">
        <v>CZ</v>
      </c>
      <c r="Y983" t="e">
        <v>#N/A</v>
      </c>
      <c r="Z983" s="104"/>
    </row>
    <row r="984" spans="19:26">
      <c r="S984" s="6" t="s">
        <v>264</v>
      </c>
      <c r="T984" s="7"/>
      <c r="U984" s="7" t="str">
        <v>AY</v>
      </c>
      <c r="Y984" t="e">
        <v>#N/A</v>
      </c>
      <c r="Z984" s="104"/>
    </row>
    <row r="985" spans="19:26">
      <c r="S985" s="6" t="s">
        <v>568</v>
      </c>
      <c r="T985" s="7"/>
      <c r="U985" s="7" t="str">
        <v>CZ</v>
      </c>
      <c r="Y985" t="e">
        <v>#N/A</v>
      </c>
      <c r="Z985" s="104"/>
    </row>
    <row r="986" spans="19:26">
      <c r="S986" s="6" t="s">
        <v>678</v>
      </c>
      <c r="T986" s="7"/>
      <c r="U986" s="7" t="str">
        <v>CZ</v>
      </c>
      <c r="Y986" t="e">
        <v>#N/A</v>
      </c>
      <c r="Z986" s="104"/>
    </row>
    <row r="987" spans="19:26">
      <c r="S987" s="6" t="s">
        <v>287</v>
      </c>
      <c r="T987" s="7"/>
      <c r="U987" s="7" t="str">
        <v>AZ</v>
      </c>
      <c r="Y987" t="e">
        <v>#N/A</v>
      </c>
      <c r="Z987" s="104"/>
    </row>
    <row r="988" spans="19:26">
      <c r="S988" s="6" t="s">
        <v>289</v>
      </c>
      <c r="T988" s="7"/>
      <c r="U988" s="7" t="str">
        <v>AZ</v>
      </c>
      <c r="Y988" t="e">
        <v>#N/A</v>
      </c>
      <c r="Z988" s="104"/>
    </row>
    <row r="989" spans="19:26">
      <c r="S989" s="6" t="s">
        <v>347</v>
      </c>
      <c r="T989" s="7"/>
      <c r="U989" s="7" t="str">
        <v>BZ</v>
      </c>
      <c r="Y989" t="e">
        <v>#N/A</v>
      </c>
      <c r="Z989" s="104"/>
    </row>
    <row r="990" spans="19:26">
      <c r="S990" s="6" t="s">
        <v>289</v>
      </c>
      <c r="T990" s="7"/>
      <c r="U990" s="7" t="str">
        <v>AZ</v>
      </c>
      <c r="Y990" t="e">
        <v>#N/A</v>
      </c>
      <c r="Z990" s="104"/>
    </row>
    <row r="991" spans="19:26">
      <c r="S991" s="6" t="s">
        <v>203</v>
      </c>
      <c r="T991" s="7"/>
      <c r="U991" s="7" t="str">
        <v>AY</v>
      </c>
      <c r="Y991" t="e">
        <v>#N/A</v>
      </c>
      <c r="Z991" s="104"/>
    </row>
    <row r="992" spans="19:26">
      <c r="S992" s="6" t="s">
        <v>342</v>
      </c>
      <c r="T992" s="7"/>
      <c r="U992" s="7" t="str">
        <v>BX</v>
      </c>
      <c r="Y992" t="e">
        <v>#N/A</v>
      </c>
      <c r="Z992" s="104"/>
    </row>
    <row r="993" spans="19:26">
      <c r="S993" s="6" t="s">
        <v>287</v>
      </c>
      <c r="T993" s="7"/>
      <c r="U993" s="7" t="str">
        <v>AZ</v>
      </c>
      <c r="Y993" t="e">
        <v>#N/A</v>
      </c>
      <c r="Z993" s="104"/>
    </row>
    <row r="994" spans="19:26">
      <c r="S994" s="6" t="s">
        <v>739</v>
      </c>
      <c r="T994" s="7"/>
      <c r="U994" s="7" t="str">
        <v>CY</v>
      </c>
      <c r="Y994" t="e">
        <v>#N/A</v>
      </c>
      <c r="Z994" s="104"/>
    </row>
    <row r="995" spans="19:26">
      <c r="S995" s="6" t="s">
        <v>860</v>
      </c>
      <c r="T995" s="7"/>
      <c r="U995" s="7" t="str">
        <v>CZ</v>
      </c>
      <c r="Y995" t="e">
        <v>#N/A</v>
      </c>
      <c r="Z995" s="104"/>
    </row>
    <row r="996" spans="19:26">
      <c r="S996" s="6" t="s">
        <v>860</v>
      </c>
      <c r="T996" s="7"/>
      <c r="U996" s="7" t="str">
        <v>CZ</v>
      </c>
      <c r="Y996" t="e">
        <v>#N/A</v>
      </c>
      <c r="Z996" s="104"/>
    </row>
    <row r="997" spans="19:26">
      <c r="S997" s="6" t="s">
        <v>860</v>
      </c>
      <c r="T997" s="7"/>
      <c r="U997" s="7" t="str">
        <v>CZ</v>
      </c>
      <c r="Y997" t="e">
        <v>#N/A</v>
      </c>
      <c r="Z997" s="104"/>
    </row>
    <row r="998" spans="19:26">
      <c r="S998" s="6" t="s">
        <v>796</v>
      </c>
      <c r="T998" s="7"/>
      <c r="U998" s="7" t="str">
        <v>CZ</v>
      </c>
      <c r="Y998" t="e">
        <v>#N/A</v>
      </c>
      <c r="Z998" s="104"/>
    </row>
    <row r="999" spans="19:26">
      <c r="S999" s="6" t="s">
        <v>555</v>
      </c>
      <c r="T999" s="7"/>
      <c r="U999" s="7" t="str">
        <v>CX</v>
      </c>
      <c r="Y999" t="e">
        <v>#N/A</v>
      </c>
      <c r="Z999" s="104"/>
    </row>
    <row r="1000" spans="19:26">
      <c r="S1000" s="6" t="s">
        <v>690</v>
      </c>
      <c r="T1000" s="7"/>
      <c r="U1000" s="7" t="str">
        <v>CZ</v>
      </c>
      <c r="Y1000" t="e">
        <v>#N/A</v>
      </c>
      <c r="Z1000" s="104"/>
    </row>
    <row r="1001" spans="19:26">
      <c r="S1001" s="6" t="s">
        <v>739</v>
      </c>
      <c r="T1001" s="7"/>
      <c r="U1001" s="7" t="str">
        <v>CY</v>
      </c>
      <c r="Y1001" t="e">
        <v>#N/A</v>
      </c>
      <c r="Z1001" s="104"/>
    </row>
    <row r="1002" spans="19:26">
      <c r="S1002" s="6" t="s">
        <v>690</v>
      </c>
      <c r="T1002" s="7"/>
      <c r="U1002" s="7" t="str">
        <v>CZ</v>
      </c>
      <c r="Y1002" t="e">
        <v>#N/A</v>
      </c>
      <c r="Z1002" s="104"/>
    </row>
    <row r="1003" spans="19:26">
      <c r="S1003" s="6" t="s">
        <v>293</v>
      </c>
      <c r="T1003" s="7"/>
      <c r="U1003" s="7" t="str">
        <v>AY</v>
      </c>
      <c r="Y1003" t="e">
        <v>#N/A</v>
      </c>
      <c r="Z1003" s="104"/>
    </row>
    <row r="1004" spans="19:26">
      <c r="S1004" s="6" t="s">
        <v>860</v>
      </c>
      <c r="T1004" s="7"/>
      <c r="U1004" s="7" t="str">
        <v>CZ</v>
      </c>
      <c r="Y1004" t="e">
        <v>#N/A</v>
      </c>
      <c r="Z1004" s="104"/>
    </row>
    <row r="1005" spans="19:26">
      <c r="S1005" s="6" t="s">
        <v>373</v>
      </c>
      <c r="T1005" s="7"/>
      <c r="U1005" s="7" t="str">
        <v>BX</v>
      </c>
      <c r="Y1005" t="e">
        <v>#N/A</v>
      </c>
      <c r="Z1005" s="104"/>
    </row>
    <row r="1006" spans="19:26">
      <c r="S1006" s="6" t="s">
        <v>830</v>
      </c>
      <c r="T1006" s="7"/>
      <c r="U1006" s="7" t="str">
        <v>CY</v>
      </c>
      <c r="Y1006" t="e">
        <v>#N/A</v>
      </c>
      <c r="Z1006" s="104"/>
    </row>
    <row r="1007" spans="19:26">
      <c r="S1007" s="6" t="s">
        <v>860</v>
      </c>
      <c r="T1007" s="7"/>
      <c r="U1007" s="7" t="str">
        <v>CZ</v>
      </c>
      <c r="Y1007" t="e">
        <v>#N/A</v>
      </c>
      <c r="Z1007" s="104"/>
    </row>
    <row r="1008" spans="19:26">
      <c r="S1008" s="6" t="s">
        <v>789</v>
      </c>
      <c r="T1008" s="7"/>
      <c r="U1008" s="7" t="str">
        <v>CX</v>
      </c>
      <c r="Y1008" t="e">
        <v>#N/A</v>
      </c>
      <c r="Z1008" s="104"/>
    </row>
    <row r="1009" spans="19:26">
      <c r="S1009" s="6" t="s">
        <v>852</v>
      </c>
      <c r="T1009" s="7"/>
      <c r="U1009" s="7" t="str">
        <v>CX</v>
      </c>
      <c r="Y1009" t="e">
        <v>#N/A</v>
      </c>
      <c r="Z1009" s="104"/>
    </row>
    <row r="1010" spans="19:26">
      <c r="S1010" s="6" t="s">
        <v>852</v>
      </c>
      <c r="T1010" s="7"/>
      <c r="U1010" s="7" t="str">
        <v>CX</v>
      </c>
      <c r="Y1010" t="e">
        <v>#N/A</v>
      </c>
      <c r="Z1010" s="104"/>
    </row>
    <row r="1011" spans="19:26">
      <c r="S1011" s="6" t="s">
        <v>607</v>
      </c>
      <c r="T1011" s="7"/>
      <c r="U1011" s="7" t="str">
        <v>CZ</v>
      </c>
      <c r="Y1011" t="e">
        <v>#N/A</v>
      </c>
      <c r="Z1011" s="104"/>
    </row>
    <row r="1012" spans="19:26">
      <c r="S1012" s="6" t="s">
        <v>870</v>
      </c>
      <c r="T1012" s="7"/>
      <c r="U1012" s="7" t="str">
        <v>CY</v>
      </c>
      <c r="Y1012" t="e">
        <v>#N/A</v>
      </c>
      <c r="Z1012" s="104"/>
    </row>
    <row r="1013" spans="19:26">
      <c r="S1013" s="6" t="s">
        <v>870</v>
      </c>
      <c r="T1013" s="7"/>
      <c r="U1013" s="7" t="str">
        <v>CY</v>
      </c>
      <c r="Y1013" t="e">
        <v>#N/A</v>
      </c>
      <c r="Z1013" s="104"/>
    </row>
    <row r="1014" spans="19:26">
      <c r="S1014" s="6" t="s">
        <v>860</v>
      </c>
      <c r="T1014" s="7"/>
      <c r="U1014" s="7" t="str">
        <v>CZ</v>
      </c>
      <c r="Y1014" t="e">
        <v>#N/A</v>
      </c>
      <c r="Z1014" s="104"/>
    </row>
    <row r="1015" spans="19:26">
      <c r="S1015" s="6" t="s">
        <v>561</v>
      </c>
      <c r="T1015" s="7"/>
      <c r="U1015" s="7" t="str">
        <v>CX</v>
      </c>
      <c r="Y1015" t="e">
        <v>#N/A</v>
      </c>
      <c r="Z1015" s="104"/>
    </row>
    <row r="1016" spans="19:26">
      <c r="S1016" s="6" t="s">
        <v>349</v>
      </c>
      <c r="T1016" s="7"/>
      <c r="U1016" s="7" t="str">
        <v>BY</v>
      </c>
      <c r="Y1016" t="e">
        <v>#N/A</v>
      </c>
      <c r="Z1016" s="104"/>
    </row>
    <row r="1017" spans="19:26">
      <c r="S1017" s="6" t="s">
        <v>254</v>
      </c>
      <c r="T1017" s="7"/>
      <c r="U1017" s="7" t="str">
        <v>AZ</v>
      </c>
      <c r="Y1017" t="e">
        <v>#N/A</v>
      </c>
      <c r="Z1017" s="104"/>
    </row>
    <row r="1018" spans="19:26">
      <c r="S1018" s="6" t="s">
        <v>254</v>
      </c>
      <c r="T1018" s="7"/>
      <c r="U1018" s="7" t="str">
        <v>AZ</v>
      </c>
      <c r="Y1018" t="e">
        <v>#N/A</v>
      </c>
      <c r="Z1018" s="104"/>
    </row>
    <row r="1019" spans="19:26">
      <c r="S1019" s="6" t="s">
        <v>550</v>
      </c>
      <c r="T1019" s="7"/>
      <c r="U1019" s="7" t="str">
        <v>CZ</v>
      </c>
      <c r="Y1019" t="e">
        <v>#N/A</v>
      </c>
      <c r="Z1019" s="104"/>
    </row>
    <row r="1020" spans="19:26">
      <c r="S1020" s="6" t="s">
        <v>563</v>
      </c>
      <c r="T1020" s="7"/>
      <c r="U1020" s="7" t="str">
        <v>CX</v>
      </c>
      <c r="Y1020" t="e">
        <v>#N/A</v>
      </c>
      <c r="Z1020" s="104"/>
    </row>
    <row r="1021" spans="19:26">
      <c r="S1021" s="6" t="s">
        <v>540</v>
      </c>
      <c r="T1021" s="7"/>
      <c r="U1021" s="7" t="str">
        <v>BZ</v>
      </c>
      <c r="Y1021" t="e">
        <v>#N/A</v>
      </c>
      <c r="Z1021" s="104"/>
    </row>
    <row r="1022" spans="19:26">
      <c r="S1022" s="6" t="s">
        <v>414</v>
      </c>
      <c r="T1022" s="7"/>
      <c r="U1022" s="7" t="str">
        <v>BZ</v>
      </c>
      <c r="Y1022" t="e">
        <v>#N/A</v>
      </c>
      <c r="Z1022" s="104"/>
    </row>
    <row r="1023" spans="19:26">
      <c r="S1023" s="6" t="s">
        <v>266</v>
      </c>
      <c r="T1023" s="7"/>
      <c r="U1023" s="7" t="str">
        <v>AZ</v>
      </c>
      <c r="Y1023" t="e">
        <v>#N/A</v>
      </c>
      <c r="Z1023" s="104"/>
    </row>
    <row r="1024" spans="19:26">
      <c r="S1024" s="6" t="s">
        <v>782</v>
      </c>
      <c r="T1024" s="7"/>
      <c r="U1024" s="7" t="str">
        <v>CZ</v>
      </c>
      <c r="Y1024" t="e">
        <v>#N/A</v>
      </c>
      <c r="Z1024" s="104"/>
    </row>
    <row r="1025" spans="19:26">
      <c r="S1025" s="6" t="s">
        <v>526</v>
      </c>
      <c r="T1025" s="7"/>
      <c r="U1025" s="7" t="str">
        <v>CZ</v>
      </c>
      <c r="Y1025" t="e">
        <v>#N/A</v>
      </c>
      <c r="Z1025" s="104"/>
    </row>
    <row r="1026" spans="19:26">
      <c r="S1026" s="6" t="s">
        <v>351</v>
      </c>
      <c r="T1026" s="7"/>
      <c r="U1026" s="7" t="str">
        <v>BZ</v>
      </c>
      <c r="Y1026" t="e">
        <v>#N/A</v>
      </c>
      <c r="Z1026" s="104"/>
    </row>
    <row r="1027" spans="19:26">
      <c r="S1027" s="6" t="s">
        <v>390</v>
      </c>
      <c r="T1027" s="7"/>
      <c r="U1027" s="7" t="str">
        <v>BX</v>
      </c>
      <c r="Y1027" t="e">
        <v>#N/A</v>
      </c>
      <c r="Z1027" s="104"/>
    </row>
    <row r="1028" spans="19:26">
      <c r="S1028" s="6" t="s">
        <v>485</v>
      </c>
      <c r="T1028" s="7"/>
      <c r="U1028" s="7" t="str">
        <v>BX</v>
      </c>
      <c r="Y1028" t="e">
        <v>#N/A</v>
      </c>
      <c r="Z1028" s="104"/>
    </row>
    <row r="1029" spans="19:26">
      <c r="S1029" s="6" t="s">
        <v>576</v>
      </c>
      <c r="T1029" s="7"/>
      <c r="U1029" s="7" t="str">
        <v>CX</v>
      </c>
      <c r="Y1029" t="e">
        <v>#N/A</v>
      </c>
      <c r="Z1029" s="104"/>
    </row>
    <row r="1030" spans="19:26">
      <c r="S1030" s="6" t="s">
        <v>321</v>
      </c>
      <c r="T1030" s="7"/>
      <c r="U1030" s="7" t="str">
        <v>CX</v>
      </c>
      <c r="Y1030" t="e">
        <v>#N/A</v>
      </c>
      <c r="Z1030" s="104"/>
    </row>
    <row r="1031" spans="19:26">
      <c r="S1031" s="6" t="s">
        <v>665</v>
      </c>
      <c r="T1031" s="7"/>
      <c r="U1031" s="7" t="str">
        <v>CZ</v>
      </c>
      <c r="Y1031" t="e">
        <v>#N/A</v>
      </c>
      <c r="Z1031" s="104"/>
    </row>
    <row r="1032" spans="19:26">
      <c r="S1032" s="6" t="s">
        <v>374</v>
      </c>
      <c r="T1032" s="7"/>
      <c r="U1032" s="7" t="str">
        <v>BY</v>
      </c>
      <c r="Y1032" t="e">
        <v>#N/A</v>
      </c>
      <c r="Z1032" s="104"/>
    </row>
    <row r="1033" spans="19:26">
      <c r="S1033" s="6" t="s">
        <v>392</v>
      </c>
      <c r="T1033" s="7"/>
      <c r="U1033" s="7" t="str">
        <v>BX</v>
      </c>
      <c r="Y1033" t="e">
        <v>#N/A</v>
      </c>
      <c r="Z1033" s="104"/>
    </row>
    <row r="1034" spans="19:26">
      <c r="S1034" s="6" t="s">
        <v>254</v>
      </c>
      <c r="T1034" s="7"/>
      <c r="U1034" s="7" t="str">
        <v>AZ</v>
      </c>
      <c r="Y1034" t="e">
        <v>#N/A</v>
      </c>
      <c r="Z1034" s="104"/>
    </row>
    <row r="1035" spans="19:26">
      <c r="S1035" s="6" t="s">
        <v>254</v>
      </c>
      <c r="T1035" s="7"/>
      <c r="U1035" s="7" t="str">
        <v>AZ</v>
      </c>
      <c r="Y1035" t="e">
        <v>#N/A</v>
      </c>
      <c r="Z1035" s="104"/>
    </row>
    <row r="1036" spans="19:26">
      <c r="S1036" s="6" t="s">
        <v>371</v>
      </c>
      <c r="T1036" s="7"/>
      <c r="U1036" s="7" t="str">
        <v>BZ</v>
      </c>
      <c r="Y1036" t="e">
        <v>#N/A</v>
      </c>
      <c r="Z1036" s="104"/>
    </row>
    <row r="1037" spans="19:26">
      <c r="S1037" s="6" t="s">
        <v>146</v>
      </c>
      <c r="T1037" s="7"/>
      <c r="U1037" s="7" t="str">
        <v>AZ</v>
      </c>
      <c r="Y1037" t="e">
        <v>#N/A</v>
      </c>
      <c r="Z1037" s="104"/>
    </row>
    <row r="1038" spans="19:26">
      <c r="S1038" s="6" t="s">
        <v>485</v>
      </c>
      <c r="T1038" s="7"/>
      <c r="U1038" s="7" t="str">
        <v>BX</v>
      </c>
      <c r="Y1038" t="e">
        <v>#N/A</v>
      </c>
      <c r="Z1038" s="104"/>
    </row>
    <row r="1039" spans="19:26">
      <c r="S1039" s="6" t="s">
        <v>146</v>
      </c>
      <c r="T1039" s="7"/>
      <c r="U1039" s="7" t="str">
        <v>AZ</v>
      </c>
      <c r="Y1039" t="e">
        <v>#N/A</v>
      </c>
      <c r="Z1039" s="104"/>
    </row>
    <row r="1040" spans="19:26">
      <c r="S1040" s="6" t="s">
        <v>877</v>
      </c>
      <c r="T1040" s="7"/>
      <c r="U1040" s="7" t="str">
        <v>CZ</v>
      </c>
      <c r="Y1040" t="e">
        <v>#N/A</v>
      </c>
      <c r="Z1040" s="104"/>
    </row>
    <row r="1041" spans="19:26">
      <c r="S1041" s="6" t="s">
        <v>108</v>
      </c>
      <c r="T1041" s="7"/>
      <c r="U1041" s="7" t="str">
        <v>CY</v>
      </c>
      <c r="Y1041" t="e">
        <v>#N/A</v>
      </c>
      <c r="Z1041" s="104"/>
    </row>
    <row r="1042" spans="19:26">
      <c r="S1042" s="6" t="s">
        <v>97</v>
      </c>
      <c r="T1042" s="7"/>
      <c r="U1042" s="7" t="str">
        <v>AZ</v>
      </c>
      <c r="Y1042" t="e">
        <v>#N/A</v>
      </c>
      <c r="Z1042" s="104"/>
    </row>
    <row r="1043" spans="19:26">
      <c r="S1043" s="6" t="s">
        <v>581</v>
      </c>
      <c r="T1043" s="7"/>
      <c r="U1043" s="7" t="str">
        <v>CZ</v>
      </c>
      <c r="Y1043" t="e">
        <v>#N/A</v>
      </c>
      <c r="Z1043" s="104"/>
    </row>
    <row r="1044" spans="19:26">
      <c r="S1044" s="6" t="s">
        <v>402</v>
      </c>
      <c r="T1044" s="7"/>
      <c r="U1044" s="7" t="str">
        <v>BZ</v>
      </c>
      <c r="Y1044" t="e">
        <v>#N/A</v>
      </c>
      <c r="Z1044" s="104"/>
    </row>
    <row r="1045" spans="19:26">
      <c r="S1045" s="6" t="s">
        <v>451</v>
      </c>
      <c r="T1045" s="7"/>
      <c r="U1045" s="7" t="str">
        <v>CX</v>
      </c>
      <c r="Y1045" t="e">
        <v>#N/A</v>
      </c>
      <c r="Z1045" s="104"/>
    </row>
    <row r="1046" spans="19:26">
      <c r="S1046" s="6" t="s">
        <v>864</v>
      </c>
      <c r="T1046" s="7"/>
      <c r="U1046" s="7" t="str">
        <v>CX</v>
      </c>
      <c r="Y1046" t="e">
        <v>#N/A</v>
      </c>
      <c r="Z1046" s="104"/>
    </row>
    <row r="1047" spans="19:26">
      <c r="S1047" s="6" t="s">
        <v>195</v>
      </c>
      <c r="T1047" s="7"/>
      <c r="U1047" s="7" t="str">
        <v>AX</v>
      </c>
      <c r="Y1047" t="e">
        <v>#N/A</v>
      </c>
      <c r="Z1047" s="104"/>
    </row>
    <row r="1048" spans="19:26">
      <c r="S1048" s="6" t="s">
        <v>195</v>
      </c>
      <c r="T1048" s="7"/>
      <c r="U1048" s="7" t="str">
        <v>AX</v>
      </c>
      <c r="Y1048" t="e">
        <v>#N/A</v>
      </c>
      <c r="Z1048" s="104"/>
    </row>
    <row r="1049" spans="19:26">
      <c r="S1049" s="6" t="s">
        <v>650</v>
      </c>
      <c r="T1049" s="7"/>
      <c r="U1049" s="7" t="str">
        <v>CZ</v>
      </c>
      <c r="Y1049" t="e">
        <v>#N/A</v>
      </c>
      <c r="Z1049" s="104"/>
    </row>
    <row r="1050" spans="19:26">
      <c r="S1050" s="6" t="s">
        <v>249</v>
      </c>
      <c r="T1050" s="7"/>
      <c r="U1050" s="7" t="str">
        <v>AY</v>
      </c>
      <c r="Y1050" t="e">
        <v>#N/A</v>
      </c>
      <c r="Z1050" s="104"/>
    </row>
    <row r="1051" spans="19:26">
      <c r="S1051" s="6" t="s">
        <v>424</v>
      </c>
      <c r="T1051" s="7"/>
      <c r="U1051" s="7" t="str">
        <v>BZ</v>
      </c>
      <c r="Y1051" t="e">
        <v>#N/A</v>
      </c>
      <c r="Z1051" s="104"/>
    </row>
    <row r="1052" spans="19:26">
      <c r="S1052" s="6" t="s">
        <v>523</v>
      </c>
      <c r="T1052" s="7"/>
      <c r="U1052" s="7" t="str">
        <v>BZ</v>
      </c>
      <c r="Y1052" t="e">
        <v>#N/A</v>
      </c>
      <c r="Z1052" s="104"/>
    </row>
    <row r="1053" spans="19:26">
      <c r="S1053" s="6" t="s">
        <v>433</v>
      </c>
      <c r="T1053" s="7"/>
      <c r="U1053" s="7" t="str">
        <v>BY</v>
      </c>
      <c r="Y1053" t="e">
        <v>#N/A</v>
      </c>
      <c r="Z1053" s="104"/>
    </row>
    <row r="1054" spans="19:26">
      <c r="S1054" s="6" t="s">
        <v>431</v>
      </c>
      <c r="T1054" s="7"/>
      <c r="U1054" s="7" t="str">
        <v>CY</v>
      </c>
      <c r="Y1054" t="e">
        <v>#N/A</v>
      </c>
      <c r="Z1054" s="104"/>
    </row>
    <row r="1055" spans="19:26">
      <c r="S1055" s="6" t="s">
        <v>307</v>
      </c>
      <c r="T1055" s="7"/>
      <c r="U1055" s="7" t="str">
        <v>CY</v>
      </c>
      <c r="Y1055" t="e">
        <v>#N/A</v>
      </c>
      <c r="Z1055" s="104"/>
    </row>
    <row r="1056" spans="19:26">
      <c r="S1056" s="6" t="s">
        <v>615</v>
      </c>
      <c r="T1056" s="7"/>
      <c r="U1056" s="7" t="str">
        <v>CZ</v>
      </c>
      <c r="Y1056" t="e">
        <v>#N/A</v>
      </c>
      <c r="Z1056" s="104"/>
    </row>
    <row r="1057" spans="19:26">
      <c r="S1057" s="6" t="s">
        <v>840</v>
      </c>
      <c r="T1057" s="7"/>
      <c r="U1057" s="7" t="str">
        <v>CZ</v>
      </c>
      <c r="Y1057" t="e">
        <v>#N/A</v>
      </c>
      <c r="Z1057" s="104"/>
    </row>
    <row r="1058" spans="19:26">
      <c r="S1058" s="6" t="s">
        <v>880</v>
      </c>
      <c r="T1058" s="7"/>
      <c r="U1058" s="7" t="str">
        <v>CZ</v>
      </c>
      <c r="Y1058" t="e">
        <v>#N/A</v>
      </c>
      <c r="Z1058" s="104"/>
    </row>
    <row r="1059" spans="19:26">
      <c r="S1059" s="6" t="s">
        <v>195</v>
      </c>
      <c r="T1059" s="7"/>
      <c r="U1059" s="7" t="str">
        <v>AX</v>
      </c>
      <c r="Y1059" t="e">
        <v>#N/A</v>
      </c>
      <c r="Z1059" s="104"/>
    </row>
    <row r="1060" spans="19:26">
      <c r="S1060" s="6" t="s">
        <v>742</v>
      </c>
      <c r="T1060" s="7"/>
      <c r="U1060" s="7" t="str">
        <v>CZ</v>
      </c>
      <c r="Y1060" t="e">
        <v>#N/A</v>
      </c>
      <c r="Z1060" s="104"/>
    </row>
    <row r="1061" spans="19:26">
      <c r="S1061" s="6" t="s">
        <v>210</v>
      </c>
      <c r="T1061" s="7"/>
      <c r="U1061" s="7" t="str">
        <v>AY</v>
      </c>
      <c r="Y1061" t="e">
        <v>#N/A</v>
      </c>
      <c r="Z1061" s="104"/>
    </row>
    <row r="1062" spans="19:26">
      <c r="S1062" s="6" t="s">
        <v>218</v>
      </c>
      <c r="T1062" s="7"/>
      <c r="U1062" s="7" t="str">
        <v>AY</v>
      </c>
      <c r="Y1062" t="e">
        <v>#N/A</v>
      </c>
      <c r="Z1062" s="104"/>
    </row>
    <row r="1063" spans="19:26">
      <c r="S1063" s="6" t="s">
        <v>216</v>
      </c>
      <c r="T1063" s="7"/>
      <c r="U1063" s="7" t="str">
        <v>CY</v>
      </c>
      <c r="Y1063" t="e">
        <v>#N/A</v>
      </c>
      <c r="Z1063" s="104"/>
    </row>
    <row r="1064" spans="19:26">
      <c r="S1064" s="6" t="s">
        <v>629</v>
      </c>
      <c r="T1064" s="7"/>
      <c r="U1064" s="7" t="str">
        <v>CX</v>
      </c>
      <c r="Y1064" t="e">
        <v>#N/A</v>
      </c>
      <c r="Z1064" s="104"/>
    </row>
    <row r="1065" spans="19:26">
      <c r="S1065" s="6" t="s">
        <v>266</v>
      </c>
      <c r="T1065" s="7"/>
      <c r="U1065" s="7" t="str">
        <v>AZ</v>
      </c>
      <c r="Y1065" t="e">
        <v>#N/A</v>
      </c>
      <c r="Z1065" s="104"/>
    </row>
    <row r="1066" spans="19:26">
      <c r="S1066" s="6" t="s">
        <v>239</v>
      </c>
      <c r="T1066" s="7"/>
      <c r="U1066" s="7" t="str">
        <v>AZ</v>
      </c>
      <c r="Y1066" t="e">
        <v>#N/A</v>
      </c>
      <c r="Z1066" s="104"/>
    </row>
    <row r="1067" spans="19:26">
      <c r="S1067" s="6" t="s">
        <v>249</v>
      </c>
      <c r="T1067" s="7"/>
      <c r="U1067" s="7" t="str">
        <v>AY</v>
      </c>
      <c r="Y1067" t="e">
        <v>#N/A</v>
      </c>
      <c r="Z1067" s="104"/>
    </row>
    <row r="1068" spans="19:26">
      <c r="S1068" s="6" t="s">
        <v>441</v>
      </c>
      <c r="T1068" s="7"/>
      <c r="U1068" s="7" t="str">
        <v>BZ</v>
      </c>
      <c r="Y1068" t="e">
        <v>#N/A</v>
      </c>
      <c r="Z1068" s="104"/>
    </row>
    <row r="1069" spans="19:26">
      <c r="S1069" s="6" t="s">
        <v>628</v>
      </c>
      <c r="T1069" s="7"/>
      <c r="U1069" s="7" t="str">
        <v>CZ</v>
      </c>
      <c r="Y1069" t="e">
        <v>#N/A</v>
      </c>
      <c r="Z1069" s="104"/>
    </row>
    <row r="1070" spans="19:26">
      <c r="S1070" s="6" t="s">
        <v>254</v>
      </c>
      <c r="T1070" s="7"/>
      <c r="U1070" s="7" t="str">
        <v>AZ</v>
      </c>
      <c r="Y1070" t="e">
        <v>#N/A</v>
      </c>
      <c r="Z1070" s="104"/>
    </row>
    <row r="1071" spans="19:26">
      <c r="S1071" s="6" t="s">
        <v>240</v>
      </c>
      <c r="T1071" s="7"/>
      <c r="U1071" s="7" t="str">
        <v>BZ</v>
      </c>
      <c r="Y1071" t="e">
        <v>#N/A</v>
      </c>
      <c r="Z1071" s="104"/>
    </row>
    <row r="1072" spans="19:26">
      <c r="S1072" s="6" t="s">
        <v>210</v>
      </c>
      <c r="T1072" s="7"/>
      <c r="U1072" s="7" t="str">
        <v>AY</v>
      </c>
      <c r="Y1072" t="e">
        <v>#N/A</v>
      </c>
      <c r="Z1072" s="104"/>
    </row>
    <row r="1073" spans="19:26">
      <c r="S1073" s="6" t="s">
        <v>218</v>
      </c>
      <c r="T1073" s="7"/>
      <c r="U1073" s="7" t="str">
        <v>AY</v>
      </c>
      <c r="Y1073" t="e">
        <v>#N/A</v>
      </c>
      <c r="Z1073" s="104"/>
    </row>
    <row r="1074" spans="19:26">
      <c r="S1074" s="6" t="s">
        <v>266</v>
      </c>
      <c r="T1074" s="7"/>
      <c r="U1074" s="7" t="str">
        <v>AZ</v>
      </c>
      <c r="Y1074" t="e">
        <v>#N/A</v>
      </c>
      <c r="Z1074" s="104"/>
    </row>
    <row r="1075" spans="19:26">
      <c r="S1075" s="6" t="s">
        <v>239</v>
      </c>
      <c r="T1075" s="7"/>
      <c r="U1075" s="7" t="str">
        <v>AZ</v>
      </c>
      <c r="Y1075" t="e">
        <v>#N/A</v>
      </c>
      <c r="Z1075" s="104"/>
    </row>
    <row r="1076" spans="19:26">
      <c r="S1076" s="6" t="s">
        <v>313</v>
      </c>
      <c r="T1076" s="7"/>
      <c r="U1076" s="7" t="str">
        <v>BY</v>
      </c>
      <c r="Y1076" t="e">
        <v>#N/A</v>
      </c>
      <c r="Z1076" s="104"/>
    </row>
    <row r="1077" spans="19:26">
      <c r="S1077" s="6" t="s">
        <v>414</v>
      </c>
      <c r="T1077" s="7"/>
      <c r="U1077" s="7" t="str">
        <v>BZ</v>
      </c>
      <c r="Y1077" t="e">
        <v>#N/A</v>
      </c>
      <c r="Z1077" s="104"/>
    </row>
    <row r="1078" spans="19:26">
      <c r="S1078" s="6" t="s">
        <v>540</v>
      </c>
      <c r="T1078" s="7"/>
      <c r="U1078" s="7" t="str">
        <v>BZ</v>
      </c>
      <c r="Y1078" t="e">
        <v>#N/A</v>
      </c>
      <c r="Z1078" s="104"/>
    </row>
    <row r="1079" spans="19:26">
      <c r="S1079" s="6" t="s">
        <v>287</v>
      </c>
      <c r="T1079" s="7"/>
      <c r="U1079" s="7" t="str">
        <v>AZ</v>
      </c>
      <c r="Y1079" t="e">
        <v>#N/A</v>
      </c>
      <c r="Z1079" s="104"/>
    </row>
    <row r="1080" spans="19:26">
      <c r="S1080" s="6" t="s">
        <v>284</v>
      </c>
      <c r="T1080" s="7"/>
      <c r="U1080" s="7" t="str">
        <v>AY</v>
      </c>
      <c r="Y1080" t="e">
        <v>#N/A</v>
      </c>
      <c r="Z1080" s="104"/>
    </row>
    <row r="1081" spans="19:26">
      <c r="S1081" s="6" t="s">
        <v>284</v>
      </c>
      <c r="T1081" s="7"/>
      <c r="U1081" s="7" t="str">
        <v>AY</v>
      </c>
      <c r="Y1081" t="e">
        <v>#N/A</v>
      </c>
      <c r="Z1081" s="104"/>
    </row>
    <row r="1082" spans="19:26">
      <c r="S1082" s="6" t="s">
        <v>303</v>
      </c>
      <c r="T1082" s="7"/>
      <c r="U1082" s="7" t="str">
        <v>BZ</v>
      </c>
      <c r="Y1082" t="e">
        <v>#N/A</v>
      </c>
      <c r="Z1082" s="104"/>
    </row>
    <row r="1083" spans="19:26">
      <c r="S1083" s="6" t="s">
        <v>318</v>
      </c>
      <c r="T1083" s="7"/>
      <c r="U1083" s="7" t="str">
        <v>BZ</v>
      </c>
      <c r="Y1083" t="e">
        <v>#N/A</v>
      </c>
      <c r="Z1083" s="104"/>
    </row>
    <row r="1084" spans="19:26">
      <c r="S1084" s="6" t="s">
        <v>335</v>
      </c>
      <c r="T1084" s="7"/>
      <c r="U1084" s="7" t="str">
        <v>BZ</v>
      </c>
      <c r="Y1084" t="e">
        <v>#N/A</v>
      </c>
      <c r="Z1084" s="104"/>
    </row>
    <row r="1085" spans="19:26">
      <c r="S1085" s="6" t="s">
        <v>504</v>
      </c>
      <c r="T1085" s="7"/>
      <c r="U1085" s="7" t="str">
        <v>BZ</v>
      </c>
      <c r="Y1085" t="e">
        <v>#N/A</v>
      </c>
      <c r="Z1085" s="104"/>
    </row>
    <row r="1086" spans="19:26">
      <c r="S1086" s="6" t="s">
        <v>289</v>
      </c>
      <c r="T1086" s="7"/>
      <c r="U1086" s="7" t="str">
        <v>AZ</v>
      </c>
      <c r="Y1086" t="e">
        <v>#N/A</v>
      </c>
      <c r="Z1086" s="104"/>
    </row>
    <row r="1087" spans="19:26">
      <c r="S1087" s="6" t="s">
        <v>342</v>
      </c>
      <c r="T1087" s="7"/>
      <c r="U1087" s="7" t="str">
        <v>BX</v>
      </c>
      <c r="Y1087" t="e">
        <v>#N/A</v>
      </c>
      <c r="Z1087" s="104"/>
    </row>
    <row r="1088" spans="19:26">
      <c r="S1088" s="6" t="s">
        <v>203</v>
      </c>
      <c r="T1088" s="7"/>
      <c r="U1088" s="7" t="str">
        <v>AY</v>
      </c>
      <c r="Y1088" t="e">
        <v>#N/A</v>
      </c>
      <c r="Z1088" s="104"/>
    </row>
    <row r="1089" spans="19:26">
      <c r="S1089" s="6" t="s">
        <v>289</v>
      </c>
      <c r="T1089" s="7"/>
      <c r="U1089" s="7" t="str">
        <v>AZ</v>
      </c>
      <c r="Y1089" t="e">
        <v>#N/A</v>
      </c>
      <c r="Z1089" s="104"/>
    </row>
    <row r="1090" spans="19:26">
      <c r="S1090" s="6" t="s">
        <v>287</v>
      </c>
      <c r="T1090" s="7"/>
      <c r="U1090" s="7" t="str">
        <v>AZ</v>
      </c>
      <c r="Y1090" t="e">
        <v>#N/A</v>
      </c>
      <c r="Z1090" s="104"/>
    </row>
    <row r="1091" spans="19:26">
      <c r="S1091" s="6" t="s">
        <v>532</v>
      </c>
      <c r="T1091" s="7"/>
      <c r="U1091" s="7" t="str">
        <v>BZ</v>
      </c>
      <c r="Y1091" t="e">
        <v>#N/A</v>
      </c>
      <c r="Z1091" s="104"/>
    </row>
    <row r="1092" spans="19:26">
      <c r="S1092" s="6" t="s">
        <v>556</v>
      </c>
      <c r="T1092" s="7"/>
      <c r="U1092" s="7" t="str">
        <v>CZ</v>
      </c>
      <c r="Y1092" t="e">
        <v>#N/A</v>
      </c>
      <c r="Z1092" s="104"/>
    </row>
    <row r="1093" spans="19:26">
      <c r="S1093" s="6" t="s">
        <v>594</v>
      </c>
      <c r="T1093" s="7"/>
      <c r="U1093" s="7" t="str">
        <v>CY</v>
      </c>
      <c r="Y1093" t="e">
        <v>#N/A</v>
      </c>
      <c r="Z1093" s="104"/>
    </row>
    <row r="1094" spans="19:26">
      <c r="S1094" s="6" t="s">
        <v>914</v>
      </c>
      <c r="T1094" s="7"/>
      <c r="U1094" s="7" t="str">
        <v>CZ</v>
      </c>
      <c r="Y1094" t="e">
        <v>#N/A</v>
      </c>
      <c r="Z1094" s="104"/>
    </row>
    <row r="1095" spans="19:26">
      <c r="S1095" s="6" t="s">
        <v>913</v>
      </c>
      <c r="T1095" s="7"/>
      <c r="U1095" s="7" t="str">
        <v>CZ</v>
      </c>
      <c r="Y1095" t="e">
        <v>#N/A</v>
      </c>
      <c r="Z1095" s="104"/>
    </row>
    <row r="1096" spans="19:26">
      <c r="S1096" s="6" t="s">
        <v>829</v>
      </c>
      <c r="T1096" s="7"/>
      <c r="U1096" s="7" t="str">
        <v>CZ</v>
      </c>
      <c r="Y1096" t="e">
        <v>#N/A</v>
      </c>
      <c r="Z1096" s="104"/>
    </row>
    <row r="1097" spans="19:26">
      <c r="S1097" s="6" t="s">
        <v>839</v>
      </c>
      <c r="T1097" s="7"/>
      <c r="U1097" s="7" t="str">
        <v>CZ</v>
      </c>
      <c r="Y1097" t="e">
        <v>#N/A</v>
      </c>
      <c r="Z1097" s="104"/>
    </row>
    <row r="1098" spans="19:26">
      <c r="S1098" s="6" t="s">
        <v>842</v>
      </c>
      <c r="T1098" s="7"/>
      <c r="U1098" s="7" t="str">
        <v>CZ</v>
      </c>
      <c r="Y1098" t="e">
        <v>#N/A</v>
      </c>
      <c r="Z1098" s="104"/>
    </row>
    <row r="1099" spans="19:26">
      <c r="S1099" s="6" t="s">
        <v>742</v>
      </c>
      <c r="T1099" s="7"/>
      <c r="U1099" s="7" t="str">
        <v>CZ</v>
      </c>
      <c r="Y1099" t="e">
        <v>#N/A</v>
      </c>
      <c r="Z1099" s="104"/>
    </row>
    <row r="1100" spans="19:26">
      <c r="S1100" s="6" t="s">
        <v>856</v>
      </c>
      <c r="T1100" s="7"/>
      <c r="U1100" s="7" t="str">
        <v>CZ</v>
      </c>
      <c r="Y1100" t="e">
        <v>#N/A</v>
      </c>
      <c r="Z1100" s="104"/>
    </row>
    <row r="1101" spans="19:26">
      <c r="S1101" s="6" t="s">
        <v>813</v>
      </c>
      <c r="T1101" s="7"/>
      <c r="U1101" s="7" t="str">
        <v>CZ</v>
      </c>
      <c r="Y1101" t="e">
        <v>#N/A</v>
      </c>
      <c r="Z1101" s="104"/>
    </row>
    <row r="1102" spans="19:26">
      <c r="S1102" s="6" t="s">
        <v>690</v>
      </c>
      <c r="T1102" s="7"/>
      <c r="U1102" s="7" t="str">
        <v>CZ</v>
      </c>
      <c r="Y1102" t="e">
        <v>#N/A</v>
      </c>
      <c r="Z1102" s="104"/>
    </row>
    <row r="1103" spans="19:26">
      <c r="S1103" s="6" t="s">
        <v>690</v>
      </c>
      <c r="T1103" s="7"/>
      <c r="U1103" s="7" t="str">
        <v>CZ</v>
      </c>
      <c r="Y1103" t="e">
        <v>#N/A</v>
      </c>
      <c r="Z1103" s="104"/>
    </row>
    <row r="1104" spans="19:26">
      <c r="S1104" s="6" t="s">
        <v>739</v>
      </c>
      <c r="T1104" s="7"/>
      <c r="U1104" s="7" t="str">
        <v>CY</v>
      </c>
      <c r="Y1104" t="e">
        <v>#N/A</v>
      </c>
      <c r="Z1104" s="104"/>
    </row>
    <row r="1105" spans="19:26">
      <c r="S1105" s="6" t="s">
        <v>690</v>
      </c>
      <c r="T1105" s="7"/>
      <c r="U1105" s="7" t="str">
        <v>CZ</v>
      </c>
      <c r="Y1105" t="e">
        <v>#N/A</v>
      </c>
      <c r="Z1105" s="104"/>
    </row>
    <row r="1106" spans="19:26">
      <c r="S1106" s="6" t="s">
        <v>690</v>
      </c>
      <c r="T1106" s="7"/>
      <c r="U1106" s="7" t="str">
        <v>CZ</v>
      </c>
      <c r="Y1106" t="e">
        <v>#N/A</v>
      </c>
      <c r="Z1106" s="104"/>
    </row>
    <row r="1107" spans="19:26">
      <c r="S1107" s="6" t="s">
        <v>830</v>
      </c>
      <c r="T1107" s="7"/>
      <c r="U1107" s="7" t="str">
        <v>CY</v>
      </c>
      <c r="Y1107" t="e">
        <v>#N/A</v>
      </c>
      <c r="Z1107" s="104"/>
    </row>
    <row r="1108" spans="19:26">
      <c r="S1108" s="6" t="s">
        <v>500</v>
      </c>
      <c r="T1108" s="7"/>
      <c r="U1108" s="7" t="str">
        <v>BZ</v>
      </c>
      <c r="Y1108" t="e">
        <v>#N/A</v>
      </c>
      <c r="Z1108" s="104"/>
    </row>
    <row r="1109" spans="19:26">
      <c r="S1109" s="6" t="s">
        <v>830</v>
      </c>
      <c r="T1109" s="7"/>
      <c r="U1109" s="7" t="str">
        <v>CY</v>
      </c>
      <c r="Y1109" t="e">
        <v>#N/A</v>
      </c>
      <c r="Z1109" s="104"/>
    </row>
    <row r="1110" spans="19:26">
      <c r="S1110" s="6" t="s">
        <v>739</v>
      </c>
      <c r="T1110" s="7"/>
      <c r="U1110" s="7" t="str">
        <v>CY</v>
      </c>
      <c r="Y1110" t="e">
        <v>#N/A</v>
      </c>
      <c r="Z1110" s="104"/>
    </row>
    <row r="1111" spans="19:26">
      <c r="S1111" s="6" t="s">
        <v>690</v>
      </c>
      <c r="T1111" s="7"/>
      <c r="U1111" s="7" t="str">
        <v>CZ</v>
      </c>
      <c r="Y1111" t="e">
        <v>#N/A</v>
      </c>
      <c r="Z1111" s="104"/>
    </row>
    <row r="1112" spans="19:26">
      <c r="S1112" s="6" t="s">
        <v>696</v>
      </c>
      <c r="T1112" s="7"/>
      <c r="U1112" s="7" t="str">
        <v>CX</v>
      </c>
      <c r="Y1112" t="e">
        <v>#N/A</v>
      </c>
      <c r="Z1112" s="104"/>
    </row>
    <row r="1113" spans="19:26">
      <c r="S1113" s="6" t="s">
        <v>300</v>
      </c>
      <c r="T1113" s="7"/>
      <c r="U1113" s="7" t="str">
        <v>BZ</v>
      </c>
      <c r="Y1113" t="e">
        <v>#N/A</v>
      </c>
      <c r="Z1113" s="104"/>
    </row>
    <row r="1114" spans="19:26">
      <c r="S1114" s="6" t="s">
        <v>505</v>
      </c>
      <c r="T1114" s="7"/>
      <c r="U1114" s="7" t="str">
        <v>CZ</v>
      </c>
      <c r="Y1114" t="e">
        <v>#N/A</v>
      </c>
      <c r="Z1114" s="104"/>
    </row>
    <row r="1115" spans="19:26">
      <c r="S1115" s="6" t="s">
        <v>604</v>
      </c>
      <c r="T1115" s="7"/>
      <c r="U1115" s="7" t="str">
        <v>CZ</v>
      </c>
      <c r="Y1115" t="e">
        <v>#N/A</v>
      </c>
      <c r="Z1115" s="104"/>
    </row>
    <row r="1116" spans="19:26">
      <c r="S1116" s="6" t="s">
        <v>602</v>
      </c>
      <c r="T1116" s="7"/>
      <c r="U1116" s="7" t="str">
        <v>CZ</v>
      </c>
      <c r="Y1116" t="e">
        <v>#N/A</v>
      </c>
      <c r="Z1116" s="104"/>
    </row>
    <row r="1117" spans="19:26">
      <c r="S1117" s="6" t="s">
        <v>492</v>
      </c>
      <c r="T1117" s="7"/>
      <c r="U1117" s="7" t="str">
        <v>BY</v>
      </c>
      <c r="Y1117" t="e">
        <v>#N/A</v>
      </c>
      <c r="Z1117" s="104"/>
    </row>
    <row r="1118" spans="19:26">
      <c r="S1118" s="6" t="s">
        <v>239</v>
      </c>
      <c r="T1118" s="7"/>
      <c r="U1118" s="7" t="str">
        <v>AZ</v>
      </c>
      <c r="Y1118" t="e">
        <v>#N/A</v>
      </c>
      <c r="Z1118" s="104"/>
    </row>
    <row r="1119" spans="19:26">
      <c r="S1119" s="6" t="s">
        <v>278</v>
      </c>
      <c r="T1119" s="7"/>
      <c r="U1119" s="7" t="str">
        <v>AY</v>
      </c>
      <c r="Y1119" t="e">
        <v>#N/A</v>
      </c>
      <c r="Z1119" s="104"/>
    </row>
    <row r="1120" spans="19:26">
      <c r="S1120" s="6" t="s">
        <v>218</v>
      </c>
      <c r="T1120" s="7"/>
      <c r="U1120" s="7" t="str">
        <v>AY</v>
      </c>
      <c r="Y1120" t="e">
        <v>#N/A</v>
      </c>
      <c r="Z1120" s="104"/>
    </row>
    <row r="1121" spans="19:26">
      <c r="S1121" s="6" t="s">
        <v>210</v>
      </c>
      <c r="T1121" s="7"/>
      <c r="U1121" s="7" t="str">
        <v>AY</v>
      </c>
      <c r="Y1121" t="e">
        <v>#N/A</v>
      </c>
      <c r="Z1121" s="104"/>
    </row>
    <row r="1122" spans="19:26">
      <c r="S1122" s="6" t="s">
        <v>540</v>
      </c>
      <c r="T1122" s="7"/>
      <c r="U1122" s="7" t="str">
        <v>BZ</v>
      </c>
      <c r="Y1122" t="e">
        <v>#N/A</v>
      </c>
      <c r="Z1122" s="104"/>
    </row>
    <row r="1123" spans="19:26">
      <c r="S1123" s="6" t="s">
        <v>267</v>
      </c>
      <c r="T1123" s="7"/>
      <c r="U1123" s="7" t="str">
        <v>BZ</v>
      </c>
      <c r="Y1123" t="e">
        <v>#N/A</v>
      </c>
      <c r="Z1123" s="104"/>
    </row>
    <row r="1124" spans="19:26">
      <c r="S1124" s="6" t="s">
        <v>373</v>
      </c>
      <c r="T1124" s="7"/>
      <c r="U1124" s="7" t="str">
        <v>BX</v>
      </c>
      <c r="Y1124" t="e">
        <v>#N/A</v>
      </c>
      <c r="Z1124" s="104"/>
    </row>
    <row r="1125" spans="19:26">
      <c r="S1125" s="6" t="s">
        <v>249</v>
      </c>
      <c r="T1125" s="7"/>
      <c r="U1125" s="7" t="str">
        <v>AY</v>
      </c>
      <c r="Y1125" t="e">
        <v>#N/A</v>
      </c>
      <c r="Z1125" s="104"/>
    </row>
    <row r="1126" spans="19:26">
      <c r="S1126" s="6" t="s">
        <v>266</v>
      </c>
      <c r="T1126" s="7"/>
      <c r="U1126" s="7" t="str">
        <v>AZ</v>
      </c>
      <c r="Y1126" t="e">
        <v>#N/A</v>
      </c>
      <c r="Z1126" s="104"/>
    </row>
    <row r="1127" spans="19:26">
      <c r="S1127" s="6" t="s">
        <v>599</v>
      </c>
      <c r="T1127" s="7"/>
      <c r="U1127" s="7" t="str">
        <v>CZ</v>
      </c>
      <c r="Y1127" t="e">
        <v>#N/A</v>
      </c>
      <c r="Z1127" s="104"/>
    </row>
    <row r="1128" spans="19:26">
      <c r="S1128" s="6" t="s">
        <v>597</v>
      </c>
      <c r="T1128" s="7"/>
      <c r="U1128" s="7" t="str">
        <v>CZ</v>
      </c>
      <c r="Y1128" t="e">
        <v>#N/A</v>
      </c>
      <c r="Z1128" s="104"/>
    </row>
    <row r="1129" spans="19:26">
      <c r="S1129" s="6" t="s">
        <v>309</v>
      </c>
      <c r="T1129" s="7"/>
      <c r="U1129" s="7" t="str">
        <v>BY</v>
      </c>
      <c r="Y1129" t="e">
        <v>#N/A</v>
      </c>
      <c r="Z1129" s="104"/>
    </row>
    <row r="1130" spans="19:26">
      <c r="S1130" s="6" t="s">
        <v>309</v>
      </c>
      <c r="T1130" s="7"/>
      <c r="U1130" s="7" t="str">
        <v>BY</v>
      </c>
      <c r="Y1130" t="e">
        <v>#N/A</v>
      </c>
      <c r="Z1130" s="104"/>
    </row>
    <row r="1131" spans="19:26">
      <c r="S1131" s="6" t="s">
        <v>392</v>
      </c>
      <c r="T1131" s="7"/>
      <c r="U1131" s="7" t="str">
        <v>BX</v>
      </c>
      <c r="Y1131" t="e">
        <v>#N/A</v>
      </c>
      <c r="Z1131" s="104"/>
    </row>
    <row r="1132" spans="19:26">
      <c r="S1132" s="6" t="s">
        <v>830</v>
      </c>
      <c r="T1132" s="7"/>
      <c r="U1132" s="7" t="str">
        <v>CY</v>
      </c>
      <c r="Y1132" t="e">
        <v>#N/A</v>
      </c>
      <c r="Z1132" s="104"/>
    </row>
    <row r="1133" spans="19:26">
      <c r="S1133" s="6" t="s">
        <v>371</v>
      </c>
      <c r="T1133" s="7"/>
      <c r="U1133" s="7" t="str">
        <v>BZ</v>
      </c>
      <c r="Y1133" t="e">
        <v>#N/A</v>
      </c>
      <c r="Z1133" s="104"/>
    </row>
    <row r="1134" spans="19:26">
      <c r="S1134" s="6" t="s">
        <v>870</v>
      </c>
      <c r="T1134" s="7"/>
      <c r="U1134" s="7" t="str">
        <v>CY</v>
      </c>
      <c r="Y1134" t="e">
        <v>#N/A</v>
      </c>
      <c r="Z1134" s="104"/>
    </row>
    <row r="1135" spans="19:26">
      <c r="S1135" s="6" t="s">
        <v>390</v>
      </c>
      <c r="T1135" s="7"/>
      <c r="U1135" s="7" t="str">
        <v>BX</v>
      </c>
      <c r="Y1135" t="e">
        <v>#N/A</v>
      </c>
      <c r="Z1135" s="104"/>
    </row>
    <row r="1136" spans="19:26">
      <c r="S1136" s="6" t="s">
        <v>297</v>
      </c>
      <c r="T1136" s="7"/>
      <c r="U1136" s="7" t="str">
        <v>BZ</v>
      </c>
      <c r="Y1136" t="e">
        <v>#N/A</v>
      </c>
      <c r="Z1136" s="104"/>
    </row>
    <row r="1137" spans="19:26">
      <c r="S1137" s="6" t="s">
        <v>870</v>
      </c>
      <c r="T1137" s="7"/>
      <c r="U1137" s="7" t="str">
        <v>CY</v>
      </c>
      <c r="Y1137" t="e">
        <v>#N/A</v>
      </c>
      <c r="Z1137" s="104"/>
    </row>
    <row r="1138" spans="19:26">
      <c r="S1138" s="6" t="s">
        <v>348</v>
      </c>
      <c r="T1138" s="7"/>
      <c r="U1138" s="7" t="str">
        <v>BZ</v>
      </c>
      <c r="Y1138" t="e">
        <v>#N/A</v>
      </c>
      <c r="Z1138" s="104"/>
    </row>
    <row r="1139" spans="19:26">
      <c r="S1139" s="6" t="s">
        <v>351</v>
      </c>
      <c r="T1139" s="7"/>
      <c r="U1139" s="7" t="str">
        <v>BZ</v>
      </c>
      <c r="Y1139" t="e">
        <v>#N/A</v>
      </c>
      <c r="Z1139" s="104"/>
    </row>
    <row r="1140" spans="19:26">
      <c r="S1140" s="6" t="s">
        <v>330</v>
      </c>
      <c r="T1140" s="7"/>
      <c r="U1140" s="7" t="str">
        <v>CX</v>
      </c>
      <c r="Y1140" t="e">
        <v>#N/A</v>
      </c>
      <c r="Z1140" s="104"/>
    </row>
    <row r="1141" spans="19:26">
      <c r="S1141" s="6" t="s">
        <v>512</v>
      </c>
      <c r="T1141" s="7"/>
      <c r="U1141" s="7" t="str">
        <v>CY</v>
      </c>
      <c r="Y1141" t="e">
        <v>#N/A</v>
      </c>
      <c r="Z1141" s="104"/>
    </row>
    <row r="1142" spans="19:26">
      <c r="S1142" s="6" t="s">
        <v>210</v>
      </c>
      <c r="T1142" s="7"/>
      <c r="U1142" s="7" t="str">
        <v>AY</v>
      </c>
      <c r="Y1142" t="e">
        <v>#N/A</v>
      </c>
      <c r="Z1142" s="104"/>
    </row>
    <row r="1143" spans="19:26">
      <c r="S1143" s="6" t="s">
        <v>271</v>
      </c>
      <c r="T1143" s="7"/>
      <c r="U1143" s="7" t="str">
        <v>CX</v>
      </c>
      <c r="Y1143" t="e">
        <v>#N/A</v>
      </c>
      <c r="Z1143" s="104"/>
    </row>
    <row r="1144" spans="19:26">
      <c r="S1144" s="6" t="s">
        <v>266</v>
      </c>
      <c r="T1144" s="7"/>
      <c r="U1144" s="7" t="str">
        <v>AZ</v>
      </c>
      <c r="Y1144" t="e">
        <v>#N/A</v>
      </c>
      <c r="Z1144" s="104"/>
    </row>
    <row r="1145" spans="19:26">
      <c r="S1145" s="6" t="s">
        <v>354</v>
      </c>
      <c r="T1145" s="7"/>
      <c r="U1145" s="7" t="str">
        <v>CY</v>
      </c>
      <c r="Y1145" t="e">
        <v>#N/A</v>
      </c>
      <c r="Z1145" s="104"/>
    </row>
    <row r="1146" spans="19:26">
      <c r="S1146" s="6" t="s">
        <v>860</v>
      </c>
      <c r="T1146" s="7"/>
      <c r="U1146" s="7" t="str">
        <v>CZ</v>
      </c>
      <c r="Y1146" t="e">
        <v>#N/A</v>
      </c>
      <c r="Z1146" s="104"/>
    </row>
    <row r="1147" spans="19:26">
      <c r="S1147" s="6" t="s">
        <v>462</v>
      </c>
      <c r="T1147" s="7"/>
      <c r="U1147" s="7" t="str">
        <v>BX</v>
      </c>
      <c r="Y1147" t="e">
        <v>#N/A</v>
      </c>
      <c r="Z1147" s="104"/>
    </row>
    <row r="1148" spans="19:26">
      <c r="S1148" s="6" t="s">
        <v>852</v>
      </c>
      <c r="T1148" s="7"/>
      <c r="U1148" s="7" t="str">
        <v>CX</v>
      </c>
      <c r="Y1148" t="e">
        <v>#N/A</v>
      </c>
      <c r="Z1148" s="104"/>
    </row>
    <row r="1149" spans="19:26">
      <c r="S1149" s="6" t="s">
        <v>316</v>
      </c>
      <c r="T1149" s="7"/>
      <c r="U1149" s="7" t="str">
        <v>BZ</v>
      </c>
      <c r="Y1149" t="e">
        <v>#N/A</v>
      </c>
      <c r="Z1149" s="104"/>
    </row>
    <row r="1150" spans="19:26">
      <c r="S1150" s="6" t="s">
        <v>114</v>
      </c>
      <c r="T1150" s="7"/>
      <c r="U1150" s="7" t="str">
        <v>AZ</v>
      </c>
      <c r="Y1150" t="e">
        <v>#N/A</v>
      </c>
      <c r="Z1150" s="104"/>
    </row>
    <row r="1151" spans="19:26">
      <c r="S1151" s="6" t="s">
        <v>787</v>
      </c>
      <c r="T1151" s="7"/>
      <c r="U1151" s="7" t="str">
        <v>CZ</v>
      </c>
      <c r="Y1151" t="e">
        <v>#N/A</v>
      </c>
      <c r="Z1151" s="104"/>
    </row>
    <row r="1152" spans="19:26">
      <c r="S1152" s="6" t="s">
        <v>896</v>
      </c>
      <c r="T1152" s="7"/>
      <c r="U1152" s="7" t="str">
        <v>CZ</v>
      </c>
      <c r="Y1152" t="e">
        <v>#N/A</v>
      </c>
      <c r="Z1152" s="104"/>
    </row>
    <row r="1153" spans="19:26">
      <c r="S1153" s="6" t="s">
        <v>557</v>
      </c>
      <c r="T1153" s="7"/>
      <c r="U1153" s="7" t="str">
        <v>CZ</v>
      </c>
      <c r="Y1153" t="e">
        <v>#N/A</v>
      </c>
      <c r="Z1153" s="104"/>
    </row>
    <row r="1154" spans="19:26">
      <c r="S1154" s="6" t="s">
        <v>541</v>
      </c>
      <c r="T1154" s="7"/>
      <c r="U1154" s="7" t="str">
        <v>BZ</v>
      </c>
      <c r="Y1154" t="e">
        <v>#N/A</v>
      </c>
      <c r="Z1154" s="104"/>
    </row>
    <row r="1155" spans="19:26">
      <c r="S1155" s="6" t="s">
        <v>72</v>
      </c>
      <c r="T1155" s="7"/>
      <c r="U1155" s="7" t="str">
        <v>AZ</v>
      </c>
      <c r="Y1155" t="e">
        <v>#N/A</v>
      </c>
      <c r="Z1155" s="104"/>
    </row>
    <row r="1156" spans="19:26">
      <c r="S1156" s="6" t="s">
        <v>72</v>
      </c>
      <c r="T1156" s="7"/>
      <c r="U1156" s="7" t="str">
        <v>AZ</v>
      </c>
      <c r="Y1156" t="e">
        <v>#N/A</v>
      </c>
      <c r="Z1156" s="104"/>
    </row>
    <row r="1157" spans="19:26">
      <c r="S1157" s="6" t="s">
        <v>107</v>
      </c>
      <c r="T1157" s="7"/>
      <c r="U1157" s="7" t="str">
        <v>AX</v>
      </c>
      <c r="Y1157" t="e">
        <v>#N/A</v>
      </c>
      <c r="Z1157" s="104"/>
    </row>
    <row r="1158" spans="19:26">
      <c r="S1158" s="6" t="s">
        <v>210</v>
      </c>
      <c r="T1158" s="7"/>
      <c r="U1158" s="7" t="str">
        <v>AY</v>
      </c>
      <c r="Y1158" t="e">
        <v>#N/A</v>
      </c>
      <c r="Z1158" s="104"/>
    </row>
    <row r="1159" spans="19:26">
      <c r="S1159" s="6" t="s">
        <v>218</v>
      </c>
      <c r="T1159" s="7"/>
      <c r="U1159" s="7" t="str">
        <v>AY</v>
      </c>
      <c r="Y1159" t="e">
        <v>#N/A</v>
      </c>
      <c r="Z1159" s="104"/>
    </row>
    <row r="1160" spans="19:26">
      <c r="S1160" s="6" t="s">
        <v>300</v>
      </c>
      <c r="T1160" s="7"/>
      <c r="U1160" s="7" t="str">
        <v>BZ</v>
      </c>
      <c r="Y1160" t="e">
        <v>#N/A</v>
      </c>
      <c r="Z1160" s="104"/>
    </row>
    <row r="1161" spans="19:26">
      <c r="S1161" s="6" t="s">
        <v>239</v>
      </c>
      <c r="T1161" s="7"/>
      <c r="U1161" s="7" t="str">
        <v>AZ</v>
      </c>
      <c r="Y1161" t="e">
        <v>#N/A</v>
      </c>
      <c r="Z1161" s="104"/>
    </row>
    <row r="1162" spans="19:26">
      <c r="S1162" s="6" t="s">
        <v>440</v>
      </c>
      <c r="T1162" s="7"/>
      <c r="U1162" s="7" t="str">
        <v>CZ</v>
      </c>
      <c r="Y1162" t="e">
        <v>#N/A</v>
      </c>
      <c r="Z1162" s="104"/>
    </row>
    <row r="1163" spans="19:26">
      <c r="S1163" s="6" t="s">
        <v>343</v>
      </c>
      <c r="T1163" s="7"/>
      <c r="U1163" s="7" t="str">
        <v>CZ</v>
      </c>
      <c r="Y1163" t="e">
        <v>#N/A</v>
      </c>
      <c r="Z1163" s="104"/>
    </row>
    <row r="1164" spans="19:26">
      <c r="S1164" s="6" t="s">
        <v>336</v>
      </c>
      <c r="T1164" s="7"/>
      <c r="U1164" s="7" t="str">
        <v>CX</v>
      </c>
      <c r="Y1164" t="e">
        <v>#N/A</v>
      </c>
      <c r="Z1164" s="104"/>
    </row>
    <row r="1165" spans="19:26">
      <c r="S1165" s="6" t="s">
        <v>239</v>
      </c>
      <c r="T1165" s="7"/>
      <c r="U1165" s="7" t="str">
        <v>AZ</v>
      </c>
      <c r="Y1165" t="e">
        <v>#N/A</v>
      </c>
      <c r="Z1165" s="104"/>
    </row>
    <row r="1166" spans="19:26">
      <c r="S1166" s="6" t="s">
        <v>249</v>
      </c>
      <c r="T1166" s="7"/>
      <c r="U1166" s="7" t="str">
        <v>AY</v>
      </c>
      <c r="Y1166" t="e">
        <v>#N/A</v>
      </c>
      <c r="Z1166" s="104"/>
    </row>
    <row r="1167" spans="19:26">
      <c r="S1167" s="6" t="s">
        <v>278</v>
      </c>
      <c r="T1167" s="7"/>
      <c r="U1167" s="7" t="str">
        <v>AY</v>
      </c>
      <c r="Y1167" t="e">
        <v>#N/A</v>
      </c>
      <c r="Z1167" s="104"/>
    </row>
    <row r="1168" spans="19:26">
      <c r="S1168" s="6" t="s">
        <v>261</v>
      </c>
      <c r="T1168" s="7"/>
      <c r="U1168" s="7" t="str">
        <v>BZ</v>
      </c>
      <c r="Y1168" t="e">
        <v>#N/A</v>
      </c>
      <c r="Z1168" s="104"/>
    </row>
    <row r="1169" spans="19:26">
      <c r="S1169" s="6" t="s">
        <v>261</v>
      </c>
      <c r="T1169" s="7"/>
      <c r="U1169" s="7" t="str">
        <v>BZ</v>
      </c>
      <c r="Y1169" t="e">
        <v>#N/A</v>
      </c>
      <c r="Z1169" s="104"/>
    </row>
    <row r="1170" spans="19:26">
      <c r="S1170" s="6" t="s">
        <v>485</v>
      </c>
      <c r="T1170" s="7"/>
      <c r="U1170" s="7" t="str">
        <v>BX</v>
      </c>
      <c r="Y1170" t="e">
        <v>#N/A</v>
      </c>
      <c r="Z1170" s="104"/>
    </row>
    <row r="1171" spans="19:26">
      <c r="S1171" s="6" t="s">
        <v>392</v>
      </c>
      <c r="T1171" s="7"/>
      <c r="U1171" s="7" t="str">
        <v>BX</v>
      </c>
      <c r="Y1171" t="e">
        <v>#N/A</v>
      </c>
      <c r="Z1171" s="104"/>
    </row>
    <row r="1172" spans="19:26">
      <c r="S1172" s="6" t="s">
        <v>390</v>
      </c>
      <c r="T1172" s="7"/>
      <c r="U1172" s="7" t="str">
        <v>BX</v>
      </c>
      <c r="Y1172" t="e">
        <v>#N/A</v>
      </c>
      <c r="Z1172" s="104"/>
    </row>
    <row r="1173" spans="19:26">
      <c r="S1173" s="6" t="s">
        <v>284</v>
      </c>
      <c r="T1173" s="7"/>
      <c r="U1173" s="7" t="str">
        <v>AY</v>
      </c>
      <c r="Y1173" t="e">
        <v>#N/A</v>
      </c>
      <c r="Z1173" s="104"/>
    </row>
    <row r="1174" spans="19:26">
      <c r="S1174" s="6" t="s">
        <v>239</v>
      </c>
      <c r="T1174" s="7"/>
      <c r="U1174" s="7" t="str">
        <v>AZ</v>
      </c>
      <c r="Y1174" t="e">
        <v>#N/A</v>
      </c>
      <c r="Z1174" s="104"/>
    </row>
    <row r="1175" spans="19:26">
      <c r="S1175" s="6" t="s">
        <v>210</v>
      </c>
      <c r="T1175" s="7"/>
      <c r="U1175" s="7" t="str">
        <v>AY</v>
      </c>
      <c r="Y1175" t="e">
        <v>#N/A</v>
      </c>
      <c r="Z1175" s="104"/>
    </row>
    <row r="1176" spans="19:26">
      <c r="S1176" s="6" t="s">
        <v>313</v>
      </c>
      <c r="T1176" s="7"/>
      <c r="U1176" s="7" t="str">
        <v>BY</v>
      </c>
      <c r="Y1176" t="e">
        <v>#N/A</v>
      </c>
      <c r="Z1176" s="104"/>
    </row>
    <row r="1177" spans="19:26">
      <c r="S1177" s="6" t="s">
        <v>284</v>
      </c>
      <c r="T1177" s="7"/>
      <c r="U1177" s="7" t="str">
        <v>AY</v>
      </c>
      <c r="Y1177" t="e">
        <v>#N/A</v>
      </c>
      <c r="Z1177" s="104"/>
    </row>
    <row r="1178" spans="19:26">
      <c r="S1178" s="6" t="s">
        <v>274</v>
      </c>
      <c r="T1178" s="7"/>
      <c r="U1178" s="7" t="str">
        <v>AZ</v>
      </c>
      <c r="Y1178" t="e">
        <v>#N/A</v>
      </c>
      <c r="Z1178" s="104"/>
    </row>
    <row r="1179" spans="19:26">
      <c r="S1179" s="6" t="s">
        <v>274</v>
      </c>
      <c r="T1179" s="7"/>
      <c r="U1179" s="7" t="str">
        <v>AZ</v>
      </c>
      <c r="Y1179" t="e">
        <v>#N/A</v>
      </c>
      <c r="Z1179" s="104"/>
    </row>
    <row r="1180" spans="19:26">
      <c r="S1180" s="6" t="s">
        <v>773</v>
      </c>
      <c r="T1180" s="7"/>
      <c r="U1180" s="7" t="str">
        <v>CZ</v>
      </c>
      <c r="Y1180" t="e">
        <v>#N/A</v>
      </c>
      <c r="Z1180" s="104"/>
    </row>
    <row r="1181" spans="19:26">
      <c r="S1181" s="6" t="s">
        <v>690</v>
      </c>
      <c r="T1181" s="7"/>
      <c r="U1181" s="7" t="str">
        <v>CZ</v>
      </c>
      <c r="Y1181" t="e">
        <v>#N/A</v>
      </c>
      <c r="Z1181" s="104"/>
    </row>
    <row r="1182" spans="19:26">
      <c r="S1182" s="6" t="s">
        <v>833</v>
      </c>
      <c r="T1182" s="7"/>
      <c r="U1182" s="7" t="str">
        <v>CZ</v>
      </c>
      <c r="Y1182" t="e">
        <v>#N/A</v>
      </c>
      <c r="Z1182" s="104"/>
    </row>
    <row r="1183" spans="19:26">
      <c r="S1183" s="6" t="s">
        <v>500</v>
      </c>
      <c r="T1183" s="7"/>
      <c r="U1183" s="7" t="str">
        <v>BZ</v>
      </c>
      <c r="Y1183" t="e">
        <v>#N/A</v>
      </c>
      <c r="Z1183" s="104"/>
    </row>
    <row r="1184" spans="19:26">
      <c r="S1184" s="6" t="s">
        <v>833</v>
      </c>
      <c r="T1184" s="7"/>
      <c r="U1184" s="7" t="str">
        <v>CZ</v>
      </c>
      <c r="Y1184" t="e">
        <v>#N/A</v>
      </c>
      <c r="Z1184" s="104"/>
    </row>
    <row r="1185" spans="19:26">
      <c r="S1185" s="6" t="s">
        <v>690</v>
      </c>
      <c r="T1185" s="7"/>
      <c r="U1185" s="7" t="str">
        <v>CZ</v>
      </c>
      <c r="Y1185" t="e">
        <v>#N/A</v>
      </c>
      <c r="Z1185" s="104"/>
    </row>
    <row r="1186" spans="19:26">
      <c r="S1186" s="6" t="s">
        <v>690</v>
      </c>
      <c r="T1186" s="7"/>
      <c r="U1186" s="7" t="str">
        <v>CZ</v>
      </c>
      <c r="Y1186" t="e">
        <v>#N/A</v>
      </c>
      <c r="Z1186" s="104"/>
    </row>
    <row r="1187" spans="19:26">
      <c r="S1187" s="6" t="s">
        <v>773</v>
      </c>
      <c r="T1187" s="7"/>
      <c r="U1187" s="7" t="str">
        <v>CZ</v>
      </c>
      <c r="Y1187" t="e">
        <v>#N/A</v>
      </c>
      <c r="Z1187" s="104"/>
    </row>
    <row r="1188" spans="19:26">
      <c r="S1188" s="6" t="s">
        <v>690</v>
      </c>
      <c r="T1188" s="7"/>
      <c r="U1188" s="7" t="str">
        <v>CZ</v>
      </c>
      <c r="Y1188" t="e">
        <v>#N/A</v>
      </c>
      <c r="Z1188" s="104"/>
    </row>
    <row r="1189" spans="19:26">
      <c r="S1189" s="6" t="s">
        <v>739</v>
      </c>
      <c r="T1189" s="7"/>
      <c r="U1189" s="7" t="str">
        <v>CY</v>
      </c>
      <c r="Y1189" t="e">
        <v>#N/A</v>
      </c>
      <c r="Z1189" s="104"/>
    </row>
    <row r="1190" spans="19:26">
      <c r="S1190" s="6" t="s">
        <v>690</v>
      </c>
      <c r="T1190" s="7"/>
      <c r="U1190" s="7" t="str">
        <v>CZ</v>
      </c>
      <c r="Y1190" t="e">
        <v>#N/A</v>
      </c>
      <c r="Z1190" s="104"/>
    </row>
    <row r="1191" spans="19:26">
      <c r="S1191" s="6" t="s">
        <v>742</v>
      </c>
      <c r="T1191" s="7"/>
      <c r="U1191" s="7" t="str">
        <v>CZ</v>
      </c>
      <c r="Y1191" t="e">
        <v>#N/A</v>
      </c>
      <c r="Z1191" s="104"/>
    </row>
    <row r="1192" spans="19:26">
      <c r="S1192" s="6" t="s">
        <v>773</v>
      </c>
      <c r="T1192" s="7"/>
      <c r="U1192" s="7" t="str">
        <v>CZ</v>
      </c>
      <c r="Y1192" t="e">
        <v>#N/A</v>
      </c>
      <c r="Z1192" s="104"/>
    </row>
    <row r="1193" spans="19:26">
      <c r="S1193" s="6" t="s">
        <v>690</v>
      </c>
      <c r="T1193" s="7"/>
      <c r="U1193" s="7" t="str">
        <v>CZ</v>
      </c>
      <c r="Y1193" t="e">
        <v>#N/A</v>
      </c>
      <c r="Z1193" s="104"/>
    </row>
    <row r="1194" spans="19:26">
      <c r="S1194" s="6" t="s">
        <v>844</v>
      </c>
      <c r="T1194" s="7"/>
      <c r="U1194" s="7" t="str">
        <v>CZ</v>
      </c>
      <c r="Y1194" t="e">
        <v>#N/A</v>
      </c>
      <c r="Z1194" s="104"/>
    </row>
    <row r="1195" spans="19:26">
      <c r="S1195" s="6" t="s">
        <v>833</v>
      </c>
      <c r="T1195" s="7"/>
      <c r="U1195" s="7" t="str">
        <v>CZ</v>
      </c>
      <c r="Y1195" t="e">
        <v>#N/A</v>
      </c>
      <c r="Z1195" s="104"/>
    </row>
    <row r="1196" spans="19:26">
      <c r="S1196" s="6" t="s">
        <v>500</v>
      </c>
      <c r="T1196" s="7"/>
      <c r="U1196" s="7" t="str">
        <v>BZ</v>
      </c>
      <c r="Y1196" t="e">
        <v>#N/A</v>
      </c>
      <c r="Z1196" s="104"/>
    </row>
    <row r="1197" spans="19:26">
      <c r="S1197" s="6" t="s">
        <v>317</v>
      </c>
      <c r="T1197" s="7"/>
      <c r="U1197" s="7" t="str">
        <v>CX</v>
      </c>
      <c r="Y1197" t="e">
        <v>#N/A</v>
      </c>
      <c r="Z1197" s="104"/>
    </row>
    <row r="1198" spans="19:26">
      <c r="S1198" s="6" t="s">
        <v>517</v>
      </c>
      <c r="T1198" s="7"/>
      <c r="U1198" s="7" t="str">
        <v>CY</v>
      </c>
      <c r="Y1198" t="e">
        <v>#N/A</v>
      </c>
      <c r="Z1198" s="104"/>
    </row>
    <row r="1199" spans="19:26">
      <c r="S1199" s="6" t="s">
        <v>341</v>
      </c>
      <c r="T1199" s="7"/>
      <c r="U1199" s="7" t="str">
        <v>CZ</v>
      </c>
      <c r="Y1199" t="e">
        <v>#N/A</v>
      </c>
      <c r="Z1199" s="104"/>
    </row>
    <row r="1200" spans="19:26">
      <c r="S1200" s="6" t="s">
        <v>509</v>
      </c>
      <c r="T1200" s="7"/>
      <c r="U1200" s="7" t="str">
        <v>BX</v>
      </c>
      <c r="Y1200" t="e">
        <v>#N/A</v>
      </c>
      <c r="Z1200" s="104"/>
    </row>
    <row r="1201" spans="19:26">
      <c r="S1201" s="6" t="s">
        <v>553</v>
      </c>
      <c r="T1201" s="7"/>
      <c r="U1201" s="7" t="str">
        <v>CX</v>
      </c>
      <c r="Y1201" t="e">
        <v>#N/A</v>
      </c>
      <c r="Z1201" s="104"/>
    </row>
    <row r="1202" spans="19:26">
      <c r="S1202" s="6" t="s">
        <v>564</v>
      </c>
      <c r="T1202" s="7"/>
      <c r="U1202" s="7" t="str">
        <v>CZ</v>
      </c>
      <c r="Y1202" t="e">
        <v>#N/A</v>
      </c>
      <c r="Z1202" s="104"/>
    </row>
    <row r="1203" spans="19:26">
      <c r="S1203" s="6" t="s">
        <v>584</v>
      </c>
      <c r="T1203" s="7"/>
      <c r="U1203" s="7" t="str">
        <v>CZ</v>
      </c>
      <c r="Y1203" t="e">
        <v>#N/A</v>
      </c>
      <c r="Z1203" s="104"/>
    </row>
    <row r="1204" spans="19:26">
      <c r="S1204" s="6" t="s">
        <v>367</v>
      </c>
      <c r="T1204" s="7"/>
      <c r="U1204" s="7" t="str">
        <v>CZ</v>
      </c>
      <c r="Y1204" t="e">
        <v>#N/A</v>
      </c>
      <c r="Z1204" s="104"/>
    </row>
    <row r="1205" spans="19:26">
      <c r="S1205" s="6" t="s">
        <v>249</v>
      </c>
      <c r="T1205" s="7"/>
      <c r="U1205" s="7" t="str">
        <v>AY</v>
      </c>
      <c r="Y1205" t="e">
        <v>#N/A</v>
      </c>
      <c r="Z1205" s="104"/>
    </row>
    <row r="1206" spans="19:26">
      <c r="S1206" s="6" t="s">
        <v>239</v>
      </c>
      <c r="T1206" s="7"/>
      <c r="U1206" s="7" t="str">
        <v>AZ</v>
      </c>
      <c r="Y1206" t="e">
        <v>#N/A</v>
      </c>
      <c r="Z1206" s="104"/>
    </row>
    <row r="1207" spans="19:26">
      <c r="S1207" s="6" t="s">
        <v>278</v>
      </c>
      <c r="T1207" s="7"/>
      <c r="U1207" s="7" t="str">
        <v>AY</v>
      </c>
      <c r="Y1207" t="e">
        <v>#N/A</v>
      </c>
      <c r="Z1207" s="104"/>
    </row>
    <row r="1208" spans="19:26">
      <c r="S1208" s="6" t="s">
        <v>218</v>
      </c>
      <c r="T1208" s="7"/>
      <c r="U1208" s="7" t="str">
        <v>AY</v>
      </c>
      <c r="Y1208" t="e">
        <v>#N/A</v>
      </c>
      <c r="Z1208" s="104"/>
    </row>
    <row r="1209" spans="19:26">
      <c r="S1209" s="6" t="s">
        <v>267</v>
      </c>
      <c r="T1209" s="7"/>
      <c r="U1209" s="7" t="str">
        <v>BZ</v>
      </c>
      <c r="Y1209" t="e">
        <v>#N/A</v>
      </c>
      <c r="Z1209" s="104"/>
    </row>
    <row r="1210" spans="19:26">
      <c r="S1210" s="6" t="s">
        <v>240</v>
      </c>
      <c r="T1210" s="7"/>
      <c r="U1210" s="7" t="str">
        <v>BZ</v>
      </c>
      <c r="Y1210" t="e">
        <v>#N/A</v>
      </c>
      <c r="Z1210" s="104"/>
    </row>
    <row r="1211" spans="19:26">
      <c r="S1211" s="6" t="s">
        <v>204</v>
      </c>
      <c r="T1211" s="7"/>
      <c r="U1211" s="7" t="str">
        <v>BY</v>
      </c>
      <c r="Y1211" t="e">
        <v>#N/A</v>
      </c>
      <c r="Z1211" s="104"/>
    </row>
    <row r="1212" spans="19:26">
      <c r="S1212" s="6" t="s">
        <v>888</v>
      </c>
      <c r="T1212" s="7"/>
      <c r="U1212" s="7" t="str">
        <v>CZ</v>
      </c>
      <c r="Y1212" t="e">
        <v>#N/A</v>
      </c>
      <c r="Z1212" s="104"/>
    </row>
    <row r="1213" spans="19:26">
      <c r="S1213" s="6" t="s">
        <v>307</v>
      </c>
      <c r="T1213" s="7"/>
      <c r="U1213" s="7" t="str">
        <v>CY</v>
      </c>
      <c r="Y1213" t="e">
        <v>#N/A</v>
      </c>
      <c r="Z1213" s="104"/>
    </row>
    <row r="1214" spans="19:26">
      <c r="S1214" s="6" t="s">
        <v>539</v>
      </c>
      <c r="T1214" s="7"/>
      <c r="U1214" s="7" t="str">
        <v>BY</v>
      </c>
      <c r="Y1214" t="e">
        <v>#N/A</v>
      </c>
      <c r="Z1214" s="104"/>
    </row>
    <row r="1215" spans="19:26">
      <c r="S1215" s="6" t="s">
        <v>429</v>
      </c>
      <c r="T1215" s="7"/>
      <c r="U1215" s="7" t="str">
        <v>BZ</v>
      </c>
      <c r="Y1215" t="e">
        <v>#N/A</v>
      </c>
      <c r="Z1215" s="104"/>
    </row>
    <row r="1216" spans="19:26">
      <c r="S1216" s="6" t="s">
        <v>376</v>
      </c>
      <c r="T1216" s="7"/>
      <c r="U1216" s="7" t="str">
        <v>CZ</v>
      </c>
      <c r="Y1216" t="e">
        <v>#N/A</v>
      </c>
      <c r="Z1216" s="104"/>
    </row>
    <row r="1217" spans="19:26">
      <c r="S1217" s="6" t="s">
        <v>271</v>
      </c>
      <c r="T1217" s="7"/>
      <c r="U1217" s="7" t="str">
        <v>CX</v>
      </c>
      <c r="Y1217" t="e">
        <v>#N/A</v>
      </c>
      <c r="Z1217" s="104"/>
    </row>
    <row r="1218" spans="19:26">
      <c r="S1218" s="6" t="s">
        <v>375</v>
      </c>
      <c r="T1218" s="7"/>
      <c r="U1218" s="7" t="str">
        <v>CY</v>
      </c>
      <c r="Y1218" t="e">
        <v>#N/A</v>
      </c>
      <c r="Z1218" s="104"/>
    </row>
    <row r="1219" spans="19:26">
      <c r="S1219" s="6" t="s">
        <v>515</v>
      </c>
      <c r="T1219" s="7"/>
      <c r="U1219" s="7" t="str">
        <v>BY</v>
      </c>
      <c r="Y1219" t="e">
        <v>#N/A</v>
      </c>
      <c r="Z1219" s="104"/>
    </row>
    <row r="1220" spans="19:26">
      <c r="S1220" s="6" t="s">
        <v>862</v>
      </c>
      <c r="T1220" s="7"/>
      <c r="U1220" s="7" t="str">
        <v>CZ</v>
      </c>
      <c r="Y1220" t="e">
        <v>#N/A</v>
      </c>
      <c r="Z1220" s="104"/>
    </row>
    <row r="1221" spans="19:26">
      <c r="S1221" s="6" t="s">
        <v>739</v>
      </c>
      <c r="T1221" s="7"/>
      <c r="U1221" s="7" t="str">
        <v>CY</v>
      </c>
      <c r="Y1221" t="e">
        <v>#N/A</v>
      </c>
      <c r="Z1221" s="104"/>
    </row>
    <row r="1222" spans="19:26">
      <c r="S1222" s="6" t="s">
        <v>893</v>
      </c>
      <c r="T1222" s="7"/>
      <c r="U1222" s="7" t="str">
        <v>CZ</v>
      </c>
      <c r="Y1222" t="e">
        <v>#N/A</v>
      </c>
      <c r="Z1222" s="104"/>
    </row>
    <row r="1223" spans="19:26">
      <c r="S1223" s="6" t="s">
        <v>892</v>
      </c>
      <c r="T1223" s="7"/>
      <c r="U1223" s="7" t="str">
        <v>CZ</v>
      </c>
      <c r="Y1223" t="e">
        <v>#N/A</v>
      </c>
      <c r="Z1223" s="104"/>
    </row>
    <row r="1224" spans="19:26">
      <c r="S1224" s="6" t="s">
        <v>792</v>
      </c>
      <c r="T1224" s="7"/>
      <c r="U1224" s="7" t="str">
        <v>CZ</v>
      </c>
      <c r="Y1224" t="e">
        <v>#N/A</v>
      </c>
      <c r="Z1224" s="104"/>
    </row>
    <row r="1225" spans="19:26">
      <c r="S1225" s="6" t="s">
        <v>121</v>
      </c>
      <c r="T1225" s="7"/>
      <c r="U1225" s="7" t="str">
        <v>AZ</v>
      </c>
      <c r="Y1225" t="e">
        <v>#N/A</v>
      </c>
      <c r="Z1225" s="104"/>
    </row>
    <row r="1226" spans="19:26">
      <c r="S1226" s="6" t="s">
        <v>121</v>
      </c>
      <c r="T1226" s="7"/>
      <c r="U1226" s="7" t="str">
        <v>AZ</v>
      </c>
      <c r="Y1226" t="e">
        <v>#N/A</v>
      </c>
      <c r="Z1226" s="104"/>
    </row>
    <row r="1227" spans="19:26">
      <c r="S1227" s="6" t="s">
        <v>121</v>
      </c>
      <c r="T1227" s="7"/>
      <c r="U1227" s="7" t="str">
        <v>AZ</v>
      </c>
      <c r="Y1227" t="e">
        <v>#N/A</v>
      </c>
      <c r="Z1227" s="104"/>
    </row>
    <row r="1228" spans="19:26">
      <c r="S1228" s="6" t="s">
        <v>152</v>
      </c>
      <c r="T1228" s="7"/>
      <c r="U1228" s="7" t="str">
        <v>AY</v>
      </c>
      <c r="Y1228" t="e">
        <v>#N/A</v>
      </c>
      <c r="Z1228" s="104"/>
    </row>
    <row r="1229" spans="19:26">
      <c r="S1229" s="6" t="s">
        <v>326</v>
      </c>
      <c r="T1229" s="7"/>
      <c r="U1229" s="7" t="str">
        <v>CY</v>
      </c>
      <c r="Y1229" t="e">
        <v>#N/A</v>
      </c>
      <c r="Z1229" s="104"/>
    </row>
    <row r="1230" spans="19:26">
      <c r="S1230" s="6" t="s">
        <v>564</v>
      </c>
      <c r="T1230" s="7"/>
      <c r="U1230" s="7" t="str">
        <v>CZ</v>
      </c>
      <c r="Y1230" t="e">
        <v>#N/A</v>
      </c>
      <c r="Z1230" s="104"/>
    </row>
    <row r="1231" spans="19:26">
      <c r="S1231" s="6" t="s">
        <v>297</v>
      </c>
      <c r="T1231" s="7"/>
      <c r="U1231" s="7" t="str">
        <v>BZ</v>
      </c>
      <c r="Y1231" t="e">
        <v>#N/A</v>
      </c>
      <c r="Z1231" s="104"/>
    </row>
    <row r="1232" spans="19:26">
      <c r="S1232" s="6" t="s">
        <v>324</v>
      </c>
      <c r="T1232" s="7"/>
      <c r="U1232" s="7" t="str">
        <v>BZ</v>
      </c>
      <c r="Y1232" t="e">
        <v>#N/A</v>
      </c>
      <c r="Z1232" s="104"/>
    </row>
    <row r="1233" spans="19:26">
      <c r="S1233" s="6" t="s">
        <v>544</v>
      </c>
      <c r="T1233" s="7"/>
      <c r="U1233" s="7" t="str">
        <v>CZ</v>
      </c>
      <c r="Y1233" t="e">
        <v>#N/A</v>
      </c>
      <c r="Z1233" s="104"/>
    </row>
    <row r="1234" spans="19:26">
      <c r="S1234" s="6" t="s">
        <v>553</v>
      </c>
      <c r="T1234" s="7"/>
      <c r="U1234" s="7" t="str">
        <v>CX</v>
      </c>
      <c r="Y1234" t="e">
        <v>#N/A</v>
      </c>
      <c r="Z1234" s="104"/>
    </row>
    <row r="1235" spans="19:26">
      <c r="S1235" s="6" t="s">
        <v>539</v>
      </c>
      <c r="T1235" s="7"/>
      <c r="U1235" s="7" t="str">
        <v>BY</v>
      </c>
      <c r="Y1235" t="e">
        <v>#N/A</v>
      </c>
      <c r="Z1235" s="104"/>
    </row>
    <row r="1236" spans="19:26">
      <c r="S1236" s="6" t="s">
        <v>485</v>
      </c>
      <c r="T1236" s="7"/>
      <c r="U1236" s="7" t="str">
        <v>BX</v>
      </c>
      <c r="Y1236" t="e">
        <v>#N/A</v>
      </c>
      <c r="Z1236" s="104"/>
    </row>
    <row r="1237" spans="19:26">
      <c r="S1237" s="6" t="s">
        <v>565</v>
      </c>
      <c r="T1237" s="7"/>
      <c r="U1237" s="7" t="str">
        <v>CY</v>
      </c>
      <c r="Y1237" t="e">
        <v>#N/A</v>
      </c>
      <c r="Z1237" s="104"/>
    </row>
    <row r="1238" spans="19:26">
      <c r="S1238" s="6" t="s">
        <v>565</v>
      </c>
      <c r="T1238" s="7"/>
      <c r="U1238" s="7" t="str">
        <v>CY</v>
      </c>
      <c r="Y1238" t="e">
        <v>#N/A</v>
      </c>
      <c r="Z1238" s="104"/>
    </row>
    <row r="1239" spans="19:26">
      <c r="S1239" s="6" t="s">
        <v>330</v>
      </c>
      <c r="T1239" s="7"/>
      <c r="U1239" s="7" t="str">
        <v>CX</v>
      </c>
      <c r="Y1239" t="e">
        <v>#N/A</v>
      </c>
      <c r="Z1239" s="104"/>
    </row>
    <row r="1240" spans="19:26">
      <c r="S1240" s="6" t="s">
        <v>564</v>
      </c>
      <c r="T1240" s="7"/>
      <c r="U1240" s="7" t="str">
        <v>CZ</v>
      </c>
      <c r="Y1240" t="e">
        <v>#N/A</v>
      </c>
      <c r="Z1240" s="104"/>
    </row>
    <row r="1241" spans="19:26">
      <c r="S1241" s="6" t="s">
        <v>471</v>
      </c>
      <c r="T1241" s="7"/>
      <c r="U1241" s="7" t="str">
        <v>CZ</v>
      </c>
      <c r="Y1241" t="e">
        <v>#N/A</v>
      </c>
      <c r="Z1241" s="104"/>
    </row>
    <row r="1242" spans="19:26">
      <c r="S1242" s="6" t="s">
        <v>313</v>
      </c>
      <c r="T1242" s="7"/>
      <c r="U1242" s="7" t="str">
        <v>BY</v>
      </c>
      <c r="Y1242" t="e">
        <v>#N/A</v>
      </c>
      <c r="Z1242" s="104"/>
    </row>
    <row r="1243" spans="19:26">
      <c r="S1243" s="6" t="s">
        <v>210</v>
      </c>
      <c r="T1243" s="7"/>
      <c r="U1243" s="7" t="str">
        <v>AY</v>
      </c>
      <c r="Y1243" t="e">
        <v>#N/A</v>
      </c>
      <c r="Z1243" s="104"/>
    </row>
    <row r="1244" spans="19:26">
      <c r="S1244" s="6" t="s">
        <v>407</v>
      </c>
      <c r="T1244" s="7"/>
      <c r="U1244" s="7" t="str">
        <v>CY</v>
      </c>
      <c r="Y1244" t="e">
        <v>#N/A</v>
      </c>
      <c r="Z1244" s="104"/>
    </row>
    <row r="1245" spans="19:26">
      <c r="S1245" s="6" t="s">
        <v>192</v>
      </c>
      <c r="T1245" s="7"/>
      <c r="U1245" s="7" t="str">
        <v>CY</v>
      </c>
      <c r="Y1245" t="e">
        <v>#N/A</v>
      </c>
      <c r="Z1245" s="104"/>
    </row>
    <row r="1246" spans="19:26">
      <c r="S1246" s="6" t="s">
        <v>589</v>
      </c>
      <c r="T1246" s="7"/>
      <c r="U1246" s="7" t="str">
        <v>CZ</v>
      </c>
      <c r="Y1246" t="e">
        <v>#N/A</v>
      </c>
      <c r="Z1246" s="104"/>
    </row>
    <row r="1247" spans="19:26">
      <c r="S1247" s="6" t="s">
        <v>438</v>
      </c>
      <c r="T1247" s="7"/>
      <c r="U1247" s="7" t="str">
        <v>CY</v>
      </c>
      <c r="Y1247" t="e">
        <v>#N/A</v>
      </c>
      <c r="Z1247" s="104"/>
    </row>
    <row r="1248" spans="19:26">
      <c r="S1248" s="6" t="s">
        <v>514</v>
      </c>
      <c r="T1248" s="7"/>
      <c r="U1248" s="7" t="str">
        <v>CZ</v>
      </c>
      <c r="Y1248" t="e">
        <v>#N/A</v>
      </c>
      <c r="Z1248" s="104"/>
    </row>
    <row r="1249" spans="19:26">
      <c r="S1249" s="6" t="s">
        <v>243</v>
      </c>
      <c r="T1249" s="7"/>
      <c r="U1249" s="7" t="str">
        <v>AZ</v>
      </c>
      <c r="Y1249" t="e">
        <v>#N/A</v>
      </c>
      <c r="Z1249" s="104"/>
    </row>
    <row r="1250" spans="19:26">
      <c r="S1250" s="6" t="s">
        <v>282</v>
      </c>
      <c r="T1250" s="7"/>
      <c r="U1250" s="7" t="str">
        <v>AX</v>
      </c>
      <c r="Y1250" t="e">
        <v>#N/A</v>
      </c>
      <c r="Z1250" s="104"/>
    </row>
    <row r="1251" spans="19:26">
      <c r="S1251" s="6" t="s">
        <v>91</v>
      </c>
      <c r="T1251" s="7"/>
      <c r="U1251" s="7" t="str">
        <v>AX</v>
      </c>
      <c r="Y1251" t="e">
        <v>#N/A</v>
      </c>
      <c r="Z1251" s="104"/>
    </row>
    <row r="1252" spans="19:26">
      <c r="S1252" s="6" t="s">
        <v>425</v>
      </c>
      <c r="T1252" s="7"/>
      <c r="U1252" s="7" t="str">
        <v>CZ</v>
      </c>
      <c r="Y1252" t="e">
        <v>#N/A</v>
      </c>
      <c r="Z1252" s="104"/>
    </row>
    <row r="1253" spans="19:26">
      <c r="S1253" s="6" t="s">
        <v>183</v>
      </c>
      <c r="T1253" s="7"/>
      <c r="U1253" s="7" t="str">
        <v>AZ</v>
      </c>
      <c r="Y1253" t="e">
        <v>#N/A</v>
      </c>
      <c r="Z1253" s="104"/>
    </row>
    <row r="1254" spans="19:26">
      <c r="S1254" s="6" t="s">
        <v>717</v>
      </c>
      <c r="T1254" s="7"/>
      <c r="U1254" s="7" t="str">
        <v>CY</v>
      </c>
      <c r="Y1254" t="e">
        <v>#N/A</v>
      </c>
      <c r="Z1254" s="104"/>
    </row>
    <row r="1255" spans="19:26">
      <c r="S1255" s="6" t="s">
        <v>867</v>
      </c>
      <c r="T1255" s="7"/>
      <c r="U1255" s="7" t="str">
        <v>CZ</v>
      </c>
      <c r="Y1255" t="e">
        <v>#N/A</v>
      </c>
      <c r="Z1255" s="104"/>
    </row>
    <row r="1256" spans="19:26" ht="28.9">
      <c r="S1256" s="6" t="s">
        <v>817</v>
      </c>
      <c r="T1256" s="7"/>
      <c r="U1256" s="7" t="str">
        <v>CZ</v>
      </c>
      <c r="Y1256" t="e">
        <v>#N/A</v>
      </c>
      <c r="Z1256" s="104"/>
    </row>
    <row r="1257" spans="19:26">
      <c r="S1257" s="6" t="s">
        <v>166</v>
      </c>
      <c r="T1257" s="7"/>
      <c r="U1257" s="7" t="str">
        <v>AZ</v>
      </c>
      <c r="Y1257" t="e">
        <v>#N/A</v>
      </c>
      <c r="Z1257" s="104"/>
    </row>
  </sheetData>
  <mergeCells count="9">
    <mergeCell ref="BD1:BM1"/>
    <mergeCell ref="A1:Z1"/>
    <mergeCell ref="AB1:BA1"/>
    <mergeCell ref="AU3:AU4"/>
    <mergeCell ref="AV3:AV4"/>
    <mergeCell ref="AW3:AW4"/>
    <mergeCell ref="AX3:AX4"/>
    <mergeCell ref="AY3:AY4"/>
    <mergeCell ref="BA3:BA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81589-5F24-4094-B72F-40C307A542F8}">
  <sheetPr codeName="Sheet36"/>
  <dimension ref="B1:BK27"/>
  <sheetViews>
    <sheetView topLeftCell="BE7" zoomScale="85" zoomScaleNormal="85" workbookViewId="0">
      <selection activeCell="BC7" sqref="BC7"/>
    </sheetView>
  </sheetViews>
  <sheetFormatPr defaultRowHeight="14.45"/>
  <cols>
    <col min="2" max="2" width="10.85546875" bestFit="1" customWidth="1"/>
    <col min="50" max="50" width="16" bestFit="1" customWidth="1"/>
    <col min="51" max="51" width="17" bestFit="1" customWidth="1"/>
    <col min="52" max="52" width="18.85546875" bestFit="1" customWidth="1"/>
    <col min="53" max="53" width="17.140625" bestFit="1" customWidth="1"/>
    <col min="54" max="54" width="12.140625" bestFit="1" customWidth="1"/>
    <col min="55" max="55" width="12" bestFit="1" customWidth="1"/>
    <col min="56" max="56" width="16" bestFit="1" customWidth="1"/>
    <col min="57" max="57" width="12.140625" bestFit="1" customWidth="1"/>
    <col min="61" max="61" width="12.5703125" bestFit="1" customWidth="1"/>
  </cols>
  <sheetData>
    <row r="1" spans="2:63">
      <c r="B1" s="151" t="s">
        <v>0</v>
      </c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04"/>
      <c r="O1" s="151" t="s">
        <v>1</v>
      </c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04"/>
      <c r="AA1" s="8"/>
      <c r="AB1" s="169" t="s">
        <v>2</v>
      </c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  <c r="AN1" s="169"/>
      <c r="AO1" s="169"/>
      <c r="AP1" s="169"/>
      <c r="AQ1" s="169"/>
      <c r="AR1" s="169"/>
      <c r="AS1" s="169"/>
      <c r="AU1" s="104"/>
      <c r="AW1" s="151" t="s">
        <v>1054</v>
      </c>
      <c r="AX1" s="151"/>
      <c r="AY1" s="151"/>
      <c r="AZ1" s="151"/>
      <c r="BA1" s="151"/>
      <c r="BB1" s="151"/>
      <c r="BC1" s="151"/>
      <c r="BD1" s="151"/>
      <c r="BE1" s="151"/>
      <c r="BF1" s="151"/>
      <c r="BG1" s="104"/>
      <c r="BH1" s="149"/>
      <c r="BI1" s="149"/>
    </row>
    <row r="2" spans="2:63" ht="15" thickBot="1">
      <c r="M2" s="104"/>
      <c r="Z2" s="104"/>
      <c r="AA2" s="8"/>
      <c r="AB2" s="8"/>
      <c r="AC2" s="8"/>
      <c r="AD2" s="8"/>
      <c r="AE2" s="8"/>
      <c r="AF2" s="8"/>
      <c r="AG2" s="8"/>
      <c r="AH2" s="8"/>
      <c r="AI2" s="8"/>
      <c r="AJ2" s="8"/>
      <c r="AU2" s="104"/>
      <c r="BG2" s="104"/>
    </row>
    <row r="3" spans="2:63" ht="23.45" thickBot="1">
      <c r="B3" s="100" t="s">
        <v>1055</v>
      </c>
      <c r="J3" t="s">
        <v>1056</v>
      </c>
      <c r="K3" t="s">
        <v>1057</v>
      </c>
      <c r="L3" t="s">
        <v>1058</v>
      </c>
      <c r="M3" s="104"/>
      <c r="Z3" s="104"/>
      <c r="AA3" s="8"/>
      <c r="AB3" s="130" t="s">
        <v>1059</v>
      </c>
      <c r="AC3" s="8"/>
      <c r="AD3" s="8"/>
      <c r="AE3" s="8"/>
      <c r="AF3" s="8"/>
      <c r="AG3" s="8"/>
      <c r="AH3" s="8"/>
      <c r="AI3" s="8"/>
      <c r="AJ3" s="8"/>
      <c r="AU3" s="104"/>
      <c r="BG3" s="104"/>
    </row>
    <row r="4" spans="2:63">
      <c r="C4" s="155" t="s">
        <v>1060</v>
      </c>
      <c r="D4" s="101" t="s">
        <v>78</v>
      </c>
      <c r="E4" s="101">
        <f ca="1">SUMIF(_xlfn.ANCHORARRAY('Data round 3'!$U$4),J4,'Data round 3'!$T$4:$T$726)</f>
        <v>6</v>
      </c>
      <c r="F4" s="101">
        <f ca="1">SUMIF(_xlfn.ANCHORARRAY('Data round 3'!$U$4),K4,'Data round 3'!$T$4:$T$726)</f>
        <v>123</v>
      </c>
      <c r="G4" s="101">
        <f ca="1">SUMIF(_xlfn.ANCHORARRAY('Data round 3'!$U$4),L4,'Data round 3'!$T$4:$T$726)</f>
        <v>146</v>
      </c>
      <c r="I4" t="s">
        <v>78</v>
      </c>
      <c r="J4" t="s">
        <v>1061</v>
      </c>
      <c r="K4" t="s">
        <v>1062</v>
      </c>
      <c r="L4" t="s">
        <v>1063</v>
      </c>
      <c r="M4" s="104"/>
      <c r="Z4" s="104"/>
      <c r="AA4" s="8"/>
      <c r="AB4" s="8"/>
      <c r="AC4" s="8"/>
      <c r="AD4" s="8"/>
      <c r="AE4" s="8"/>
      <c r="AF4" s="8"/>
      <c r="AG4" s="8"/>
      <c r="AH4" s="8"/>
      <c r="AI4" s="8"/>
      <c r="AJ4" s="8"/>
      <c r="AU4" s="104"/>
      <c r="AW4" s="8"/>
      <c r="AX4" s="142"/>
      <c r="AY4" s="142"/>
      <c r="AZ4" s="142"/>
      <c r="BA4" s="142"/>
      <c r="BB4" s="142"/>
      <c r="BC4" s="142"/>
      <c r="BD4" s="142"/>
      <c r="BE4" s="142"/>
      <c r="BF4" s="142"/>
      <c r="BG4" s="104"/>
    </row>
    <row r="5" spans="2:63" ht="15" thickBot="1">
      <c r="C5" s="156"/>
      <c r="D5" s="101" t="s">
        <v>1064</v>
      </c>
      <c r="E5" s="101">
        <f ca="1">SUMIF(_xlfn.ANCHORARRAY('Data round 3'!$U$4),J5,'Data round 3'!$T$4:$T$726)</f>
        <v>54</v>
      </c>
      <c r="F5" s="101">
        <f ca="1">SUMIF(_xlfn.ANCHORARRAY('Data round 3'!$U$4),K5,'Data round 3'!$T$4:$T$726)</f>
        <v>104</v>
      </c>
      <c r="G5" s="101">
        <f ca="1">SUMIF(_xlfn.ANCHORARRAY('Data round 3'!$U$4),L5,'Data round 3'!$T$4:$T$726)</f>
        <v>315</v>
      </c>
      <c r="I5" t="s">
        <v>1064</v>
      </c>
      <c r="J5" t="s">
        <v>1065</v>
      </c>
      <c r="K5" t="s">
        <v>1066</v>
      </c>
      <c r="L5" t="s">
        <v>1067</v>
      </c>
      <c r="M5" s="104"/>
      <c r="Z5" s="104"/>
      <c r="AA5" s="8"/>
      <c r="AB5" s="8"/>
      <c r="AC5" s="8"/>
      <c r="AD5" s="8"/>
      <c r="AE5" s="8"/>
      <c r="AF5" s="8"/>
      <c r="AG5" s="8"/>
      <c r="AH5" s="8"/>
      <c r="AI5" s="8"/>
      <c r="AJ5" s="8"/>
      <c r="AU5" s="104"/>
      <c r="AW5" s="8"/>
      <c r="AX5" s="8"/>
      <c r="AY5" s="167" t="s">
        <v>1068</v>
      </c>
      <c r="AZ5" s="167"/>
      <c r="BA5" s="167"/>
      <c r="BB5" s="167"/>
      <c r="BC5" s="167"/>
      <c r="BD5" s="167"/>
      <c r="BE5" s="167"/>
      <c r="BF5" s="8"/>
      <c r="BG5" s="104"/>
    </row>
    <row r="6" spans="2:63" ht="15" thickBot="1">
      <c r="C6" s="156"/>
      <c r="D6" s="101" t="s">
        <v>1069</v>
      </c>
      <c r="E6" s="101">
        <f ca="1">SUMIF(_xlfn.ANCHORARRAY('Data round 3'!$U$4),J6,'Data round 3'!$T$4:$T$726)</f>
        <v>87</v>
      </c>
      <c r="F6" s="101">
        <f ca="1">SUMIF(_xlfn.ANCHORARRAY('Data round 3'!$U$4),K6,'Data round 3'!$T$4:$T$726)</f>
        <v>95</v>
      </c>
      <c r="G6" s="101">
        <f ca="1">SUMIF(_xlfn.ANCHORARRAY('Data round 3'!$U$4),L6,'Data round 3'!$T$4:$T$726)</f>
        <v>324</v>
      </c>
      <c r="I6" t="s">
        <v>1069</v>
      </c>
      <c r="J6" t="s">
        <v>1070</v>
      </c>
      <c r="K6" t="s">
        <v>1071</v>
      </c>
      <c r="L6" t="s">
        <v>1072</v>
      </c>
      <c r="M6" s="104"/>
      <c r="Z6" s="104"/>
      <c r="AA6" s="8"/>
      <c r="AB6" s="8"/>
      <c r="AC6" s="8"/>
      <c r="AD6" s="8"/>
      <c r="AE6" s="8"/>
      <c r="AF6" s="8"/>
      <c r="AG6" s="8"/>
      <c r="AH6" s="8"/>
      <c r="AI6" s="8"/>
      <c r="AJ6" s="8"/>
      <c r="AU6" s="104"/>
      <c r="AW6" s="8"/>
      <c r="AY6" s="143" t="s">
        <v>1073</v>
      </c>
      <c r="AZ6" s="143" t="s">
        <v>1074</v>
      </c>
      <c r="BA6" s="143" t="s">
        <v>1075</v>
      </c>
      <c r="BB6" s="143" t="s">
        <v>1076</v>
      </c>
      <c r="BC6" s="143" t="s">
        <v>1077</v>
      </c>
      <c r="BD6" s="143" t="s">
        <v>1078</v>
      </c>
      <c r="BE6" s="143" t="s">
        <v>1079</v>
      </c>
      <c r="BF6" s="7" t="s">
        <v>134</v>
      </c>
      <c r="BG6" s="104"/>
      <c r="BI6" s="92" t="s">
        <v>1080</v>
      </c>
      <c r="BJ6" s="93" t="s">
        <v>1081</v>
      </c>
      <c r="BK6" s="93" t="s">
        <v>47</v>
      </c>
    </row>
    <row r="7" spans="2:63" ht="29.45" thickBot="1">
      <c r="C7" s="157"/>
      <c r="D7" s="101"/>
      <c r="E7" s="101" t="s">
        <v>1056</v>
      </c>
      <c r="F7" s="101" t="s">
        <v>1057</v>
      </c>
      <c r="G7" s="101" t="s">
        <v>1058</v>
      </c>
      <c r="M7" s="104"/>
      <c r="Z7" s="104"/>
      <c r="AA7" s="8"/>
      <c r="AB7" s="8"/>
      <c r="AC7" s="8"/>
      <c r="AD7" s="8"/>
      <c r="AE7" s="8"/>
      <c r="AF7" s="8"/>
      <c r="AG7" s="8"/>
      <c r="AH7" s="8"/>
      <c r="AI7" s="8"/>
      <c r="AJ7" s="8"/>
      <c r="AU7" s="104"/>
      <c r="AW7" s="168" t="s">
        <v>1082</v>
      </c>
      <c r="AX7" s="145" t="s">
        <v>1073</v>
      </c>
      <c r="AY7" s="148">
        <v>0.09</v>
      </c>
      <c r="AZ7" s="83">
        <v>0.91</v>
      </c>
      <c r="BA7" s="83"/>
      <c r="BB7" s="83"/>
      <c r="BC7" s="83"/>
      <c r="BD7" s="83"/>
      <c r="BE7" s="83"/>
      <c r="BF7" s="144">
        <v>1255</v>
      </c>
      <c r="BG7" s="104"/>
      <c r="BI7" s="91" t="s">
        <v>1073</v>
      </c>
      <c r="BJ7" s="90">
        <v>1328</v>
      </c>
      <c r="BK7" s="90">
        <v>151</v>
      </c>
    </row>
    <row r="8" spans="2:63" ht="19.149999999999999" thickTop="1" thickBot="1">
      <c r="C8" s="158" t="s">
        <v>1083</v>
      </c>
      <c r="D8" s="159"/>
      <c r="E8" s="159"/>
      <c r="F8" s="159"/>
      <c r="G8" s="160"/>
      <c r="M8" s="104"/>
      <c r="Z8" s="104"/>
      <c r="AA8" s="8"/>
      <c r="AB8" s="8"/>
      <c r="AC8" s="8"/>
      <c r="AD8" s="8"/>
      <c r="AE8" s="8"/>
      <c r="AF8" s="8"/>
      <c r="AG8" s="8"/>
      <c r="AH8" s="8"/>
      <c r="AI8" s="8"/>
      <c r="AJ8" s="8"/>
      <c r="AU8" s="104"/>
      <c r="AW8" s="168"/>
      <c r="AX8" s="143" t="s">
        <v>1074</v>
      </c>
      <c r="AY8" s="83"/>
      <c r="AZ8" s="82">
        <v>1</v>
      </c>
      <c r="BA8" s="83"/>
      <c r="BB8" s="83"/>
      <c r="BC8" s="83"/>
      <c r="BD8" s="83"/>
      <c r="BE8" s="83"/>
      <c r="BF8" s="144">
        <v>527</v>
      </c>
      <c r="BG8" s="104"/>
      <c r="BI8" s="91" t="s">
        <v>1074</v>
      </c>
      <c r="BJ8" s="90">
        <v>555</v>
      </c>
      <c r="BK8" s="90">
        <v>1742</v>
      </c>
    </row>
    <row r="9" spans="2:63" ht="15.6" thickTop="1" thickBot="1">
      <c r="B9" s="102" t="s">
        <v>1084</v>
      </c>
      <c r="D9" s="103"/>
      <c r="E9" s="103"/>
      <c r="F9" s="103"/>
      <c r="G9" s="103"/>
      <c r="M9" s="104"/>
      <c r="Z9" s="104"/>
      <c r="AA9" s="8"/>
      <c r="AB9" s="8"/>
      <c r="AC9" s="8"/>
      <c r="AD9" s="8"/>
      <c r="AE9" s="8"/>
      <c r="AF9" s="8"/>
      <c r="AG9" s="8"/>
      <c r="AH9" s="8"/>
      <c r="AI9" s="8"/>
      <c r="AJ9" s="8"/>
      <c r="AU9" s="104"/>
      <c r="AW9" s="168"/>
      <c r="AX9" s="146" t="s">
        <v>1075</v>
      </c>
      <c r="AY9" s="83"/>
      <c r="AZ9" s="83">
        <v>0.01</v>
      </c>
      <c r="BA9" s="82">
        <v>0.53</v>
      </c>
      <c r="BB9" s="83"/>
      <c r="BC9" s="83"/>
      <c r="BD9" s="83">
        <v>0.46</v>
      </c>
      <c r="BE9" s="83"/>
      <c r="BF9" s="144">
        <v>87</v>
      </c>
      <c r="BG9" s="104"/>
      <c r="BI9" s="91" t="s">
        <v>1075</v>
      </c>
      <c r="BJ9" s="90">
        <v>796</v>
      </c>
      <c r="BK9" s="90">
        <v>264</v>
      </c>
    </row>
    <row r="10" spans="2:63" ht="15.6" thickTop="1" thickBot="1">
      <c r="C10" s="161" t="s">
        <v>1060</v>
      </c>
      <c r="D10" s="101" t="s">
        <v>78</v>
      </c>
      <c r="E10" s="101">
        <f ca="1">SUMIF(_xlfn.ANCHORARRAY('Data round 3'!$Y$4),J4,'Data round 3'!$X$4:$X$198)</f>
        <v>14</v>
      </c>
      <c r="F10" s="101">
        <f ca="1">SUMIF(_xlfn.ANCHORARRAY('Data round 3'!$Y$4),K4,'Data round 3'!$X$4:$X$198)</f>
        <v>36</v>
      </c>
      <c r="G10" s="101">
        <f ca="1">SUMIF(_xlfn.ANCHORARRAY('Data round 3'!$Y$4),L4,'Data round 3'!$X$4:$X$198)</f>
        <v>56</v>
      </c>
      <c r="M10" s="104"/>
      <c r="Z10" s="104"/>
      <c r="AA10" s="8"/>
      <c r="AB10" s="8"/>
      <c r="AC10" s="8"/>
      <c r="AD10" s="8"/>
      <c r="AE10" s="8"/>
      <c r="AF10" s="8"/>
      <c r="AG10" s="8"/>
      <c r="AH10" s="8"/>
      <c r="AI10" s="8"/>
      <c r="AJ10" s="8"/>
      <c r="AU10" s="104"/>
      <c r="AW10" s="168"/>
      <c r="AX10" s="143" t="s">
        <v>1076</v>
      </c>
      <c r="AY10" s="83">
        <v>0</v>
      </c>
      <c r="AZ10" s="83">
        <v>0.01</v>
      </c>
      <c r="BA10" s="83">
        <v>0</v>
      </c>
      <c r="BB10" s="82">
        <v>0.99</v>
      </c>
      <c r="BC10" s="83"/>
      <c r="BD10" s="83"/>
      <c r="BE10" s="83"/>
      <c r="BF10" s="144">
        <v>348</v>
      </c>
      <c r="BG10" s="104"/>
    </row>
    <row r="11" spans="2:63" ht="15.6" thickTop="1" thickBot="1">
      <c r="C11" s="162"/>
      <c r="D11" s="101" t="s">
        <v>1064</v>
      </c>
      <c r="E11" s="101">
        <f ca="1">SUMIF(_xlfn.ANCHORARRAY('Data round 3'!$Y$4),J5,'Data round 3'!$X$4:$X$198)</f>
        <v>2</v>
      </c>
      <c r="F11" s="101">
        <f ca="1">SUMIF(_xlfn.ANCHORARRAY('Data round 3'!$Y$4),K5,'Data round 3'!$X$4:$X$198)</f>
        <v>38</v>
      </c>
      <c r="G11" s="101">
        <f ca="1">SUMIF(_xlfn.ANCHORARRAY('Data round 3'!$Y$4),L5,'Data round 3'!$X$4:$X$198)</f>
        <v>38</v>
      </c>
      <c r="M11" s="104"/>
      <c r="Z11" s="104"/>
      <c r="AA11" s="8"/>
      <c r="AB11" s="8"/>
      <c r="AC11" s="8"/>
      <c r="AD11" s="8"/>
      <c r="AE11" s="8"/>
      <c r="AF11" s="8"/>
      <c r="AG11" s="8"/>
      <c r="AH11" s="8"/>
      <c r="AI11" s="8"/>
      <c r="AJ11" s="8"/>
      <c r="AU11" s="104"/>
      <c r="AW11" s="168"/>
      <c r="AX11" s="147" t="s">
        <v>1077</v>
      </c>
      <c r="AY11" s="83"/>
      <c r="AZ11" s="83"/>
      <c r="BA11" s="83">
        <v>0.51</v>
      </c>
      <c r="BB11" s="83"/>
      <c r="BC11" s="82"/>
      <c r="BD11" s="83">
        <v>0.49</v>
      </c>
      <c r="BE11" s="83"/>
      <c r="BF11" s="144">
        <v>225</v>
      </c>
      <c r="BG11" s="104"/>
    </row>
    <row r="12" spans="2:63" ht="15.6" thickTop="1" thickBot="1">
      <c r="C12" s="162"/>
      <c r="D12" s="101" t="s">
        <v>1069</v>
      </c>
      <c r="E12" s="101">
        <f ca="1">SUMIF(_xlfn.ANCHORARRAY('Data round 3'!$Y$4),J6,'Data round 3'!$X$4:$X$198)</f>
        <v>16</v>
      </c>
      <c r="F12" s="101">
        <f ca="1">SUMIF(_xlfn.ANCHORARRAY('Data round 3'!$Y$4),K6,'Data round 3'!$X$4:$X$198)</f>
        <v>28</v>
      </c>
      <c r="G12" s="101">
        <f ca="1">SUMIF(_xlfn.ANCHORARRAY('Data round 3'!$Y$4),L6,'Data round 3'!$X$4:$X$198)</f>
        <v>66</v>
      </c>
      <c r="M12" s="104"/>
      <c r="Z12" s="104"/>
      <c r="AA12" s="8"/>
      <c r="AB12" s="8"/>
      <c r="AC12" s="8"/>
      <c r="AD12" s="8"/>
      <c r="AE12" s="8"/>
      <c r="AF12" s="8"/>
      <c r="AG12" s="8"/>
      <c r="AH12" s="8"/>
      <c r="AI12" s="8"/>
      <c r="AJ12" s="8"/>
      <c r="AU12" s="104"/>
      <c r="AW12" s="168"/>
      <c r="AX12" s="146" t="s">
        <v>1078</v>
      </c>
      <c r="AY12" s="83"/>
      <c r="AZ12" s="83">
        <v>0.03</v>
      </c>
      <c r="BA12" s="83">
        <v>0.4</v>
      </c>
      <c r="BB12" s="83"/>
      <c r="BC12" s="83"/>
      <c r="BD12" s="82">
        <v>0.56999999999999995</v>
      </c>
      <c r="BE12" s="83"/>
      <c r="BF12" s="144">
        <v>281</v>
      </c>
      <c r="BG12" s="104"/>
    </row>
    <row r="13" spans="2:63" ht="15.6" thickTop="1" thickBot="1">
      <c r="C13" s="163"/>
      <c r="D13" s="101"/>
      <c r="E13" s="101" t="s">
        <v>1056</v>
      </c>
      <c r="F13" s="101" t="s">
        <v>1057</v>
      </c>
      <c r="G13" s="101" t="s">
        <v>1058</v>
      </c>
      <c r="M13" s="104"/>
      <c r="Z13" s="104"/>
      <c r="AA13" s="8"/>
      <c r="AB13" s="8"/>
      <c r="AC13" s="8"/>
      <c r="AD13" s="8"/>
      <c r="AE13" s="8"/>
      <c r="AF13" s="8"/>
      <c r="AG13" s="8"/>
      <c r="AH13" s="8"/>
      <c r="AI13" s="8"/>
      <c r="AJ13" s="8"/>
      <c r="AU13" s="104"/>
      <c r="AW13" s="168"/>
      <c r="AX13" s="145" t="s">
        <v>1079</v>
      </c>
      <c r="AY13" s="83"/>
      <c r="AZ13" s="83">
        <v>0.95</v>
      </c>
      <c r="BA13" s="83"/>
      <c r="BB13" s="83"/>
      <c r="BC13" s="83"/>
      <c r="BD13" s="83"/>
      <c r="BE13" s="82">
        <v>0.05</v>
      </c>
      <c r="BF13" s="81">
        <v>131</v>
      </c>
      <c r="BG13" s="104"/>
    </row>
    <row r="14" spans="2:63" ht="18.600000000000001" thickTop="1">
      <c r="C14" s="164" t="s">
        <v>1083</v>
      </c>
      <c r="D14" s="165"/>
      <c r="E14" s="165"/>
      <c r="F14" s="165"/>
      <c r="G14" s="166"/>
      <c r="M14" s="104"/>
      <c r="Z14" s="104"/>
      <c r="AA14" s="8"/>
      <c r="AB14" s="8"/>
      <c r="AC14" s="8"/>
      <c r="AD14" s="8"/>
      <c r="AE14" s="8"/>
      <c r="AF14" s="8"/>
      <c r="AG14" s="8"/>
      <c r="AH14" s="8"/>
      <c r="AI14" s="8"/>
      <c r="AJ14" s="8"/>
      <c r="AU14" s="104"/>
      <c r="AW14" s="8"/>
      <c r="AX14" s="8"/>
      <c r="AY14" s="8"/>
      <c r="AZ14" s="94"/>
      <c r="BA14" s="94"/>
      <c r="BB14" s="94"/>
      <c r="BC14" s="94"/>
      <c r="BD14" s="94"/>
      <c r="BE14" s="94"/>
      <c r="BF14" s="94"/>
      <c r="BG14" s="104"/>
    </row>
    <row r="15" spans="2:63">
      <c r="M15" s="104"/>
      <c r="Z15" s="104"/>
      <c r="AA15" s="8"/>
      <c r="AB15" s="8"/>
      <c r="AC15" s="8"/>
      <c r="AD15" s="8"/>
      <c r="AE15" s="8"/>
      <c r="AF15" s="8"/>
      <c r="AG15" s="8"/>
      <c r="AH15" s="8"/>
      <c r="AI15" s="8"/>
      <c r="AJ15" s="8"/>
      <c r="AU15" s="104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104"/>
    </row>
    <row r="16" spans="2:63">
      <c r="M16" s="104"/>
      <c r="Z16" s="104"/>
      <c r="AA16" s="8"/>
      <c r="AB16" s="8"/>
      <c r="AC16" s="8"/>
      <c r="AD16" s="8"/>
      <c r="AE16" s="8"/>
      <c r="AF16" s="8"/>
      <c r="AG16" s="8"/>
      <c r="AH16" s="8"/>
      <c r="AI16" s="8"/>
      <c r="AJ16" s="8"/>
      <c r="AU16" s="104"/>
      <c r="BG16" s="104"/>
    </row>
    <row r="17" spans="13:59">
      <c r="M17" s="104"/>
      <c r="Z17" s="104"/>
      <c r="AA17" s="8"/>
      <c r="AB17" s="8"/>
      <c r="AC17" s="8"/>
      <c r="AD17" s="8"/>
      <c r="AE17" s="8"/>
      <c r="AF17" s="8"/>
      <c r="AG17" s="8"/>
      <c r="AH17" s="8"/>
      <c r="AI17" s="8"/>
      <c r="AJ17" s="8"/>
      <c r="AU17" s="104"/>
      <c r="BG17" s="104"/>
    </row>
    <row r="18" spans="13:59">
      <c r="M18" s="104"/>
      <c r="Z18" s="104"/>
      <c r="AA18" s="8"/>
      <c r="AB18" s="8"/>
      <c r="AC18" s="8"/>
      <c r="AD18" s="8"/>
      <c r="AE18" s="8"/>
      <c r="AF18" s="8"/>
      <c r="AG18" s="8"/>
      <c r="AH18" s="8"/>
      <c r="AI18" s="8"/>
      <c r="AJ18" s="8"/>
      <c r="AU18" s="104"/>
      <c r="AY18" s="84" t="s">
        <v>1085</v>
      </c>
      <c r="AZ18" s="84" t="s">
        <v>1086</v>
      </c>
      <c r="BA18" s="84" t="s">
        <v>1087</v>
      </c>
      <c r="BG18" s="104"/>
    </row>
    <row r="19" spans="13:59">
      <c r="M19" s="104"/>
      <c r="Z19" s="104"/>
      <c r="AA19" s="8"/>
      <c r="AB19" s="8"/>
      <c r="AC19" s="8"/>
      <c r="AD19" s="8"/>
      <c r="AE19" s="8"/>
      <c r="AF19" s="8"/>
      <c r="AG19" s="8"/>
      <c r="AH19" s="8"/>
      <c r="AI19" s="8"/>
      <c r="AJ19" s="8"/>
      <c r="AU19" s="104"/>
      <c r="AY19" s="85" t="s">
        <v>1073</v>
      </c>
      <c r="AZ19" s="83">
        <v>9.0836653386454178E-2</v>
      </c>
      <c r="BA19" s="83">
        <v>0.90916334661354581</v>
      </c>
      <c r="BG19" s="104"/>
    </row>
    <row r="20" spans="13:59">
      <c r="M20" s="104"/>
      <c r="Z20" s="104"/>
      <c r="AA20" s="8"/>
      <c r="AB20" s="8"/>
      <c r="AC20" s="8"/>
      <c r="AD20" s="8"/>
      <c r="AE20" s="8"/>
      <c r="AF20" s="8"/>
      <c r="AG20" s="8"/>
      <c r="AH20" s="8"/>
      <c r="AI20" s="8"/>
      <c r="AJ20" s="8"/>
      <c r="AU20" s="104"/>
      <c r="AY20" s="85" t="s">
        <v>1074</v>
      </c>
      <c r="AZ20" s="83">
        <v>1</v>
      </c>
      <c r="BA20" s="83">
        <v>0</v>
      </c>
      <c r="BG20" s="104"/>
    </row>
    <row r="21" spans="13:59">
      <c r="M21" s="104"/>
      <c r="Z21" s="104"/>
      <c r="AA21" s="8"/>
      <c r="AB21" s="8"/>
      <c r="AC21" s="8"/>
      <c r="AD21" s="8"/>
      <c r="AE21" s="8"/>
      <c r="AF21" s="8"/>
      <c r="AG21" s="8"/>
      <c r="AH21" s="8"/>
      <c r="AI21" s="8"/>
      <c r="AJ21" s="8"/>
      <c r="AU21" s="104"/>
      <c r="AY21" s="85" t="s">
        <v>1075</v>
      </c>
      <c r="AZ21" s="83">
        <v>0.52873563218390807</v>
      </c>
      <c r="BA21" s="83">
        <v>0.47126436781609193</v>
      </c>
      <c r="BG21" s="104"/>
    </row>
    <row r="22" spans="13:59">
      <c r="M22" s="104"/>
      <c r="Z22" s="104"/>
      <c r="AU22" s="104"/>
      <c r="BG22" s="104"/>
    </row>
    <row r="23" spans="13:59">
      <c r="M23" s="104"/>
      <c r="Z23" s="104"/>
      <c r="AU23" s="104"/>
      <c r="BG23" s="104"/>
    </row>
    <row r="24" spans="13:59">
      <c r="M24" s="104"/>
      <c r="Z24" s="104"/>
      <c r="AU24" s="104"/>
      <c r="BG24" s="104"/>
    </row>
    <row r="25" spans="13:59">
      <c r="BG25" s="104"/>
    </row>
    <row r="26" spans="13:59">
      <c r="BG26" s="104"/>
    </row>
    <row r="27" spans="13:59">
      <c r="BG27" s="104"/>
    </row>
  </sheetData>
  <mergeCells count="10">
    <mergeCell ref="AY5:BE5"/>
    <mergeCell ref="AW7:AW13"/>
    <mergeCell ref="AW1:BF1"/>
    <mergeCell ref="AB1:AS1"/>
    <mergeCell ref="O1:Y1"/>
    <mergeCell ref="C4:C7"/>
    <mergeCell ref="C8:G8"/>
    <mergeCell ref="C10:C13"/>
    <mergeCell ref="C14:G14"/>
    <mergeCell ref="B1:L1"/>
  </mergeCells>
  <conditionalFormatting sqref="E4:G6">
    <cfRule type="colorScale" priority="9">
      <colorScale>
        <cfvo type="min"/>
        <cfvo type="max"/>
        <color theme="9" tint="0.79998168889431442"/>
        <color theme="9" tint="-0.249977111117893"/>
      </colorScale>
    </cfRule>
    <cfRule type="colorScale" priority="11">
      <colorScale>
        <cfvo type="min"/>
        <cfvo type="max"/>
        <color rgb="FFFCFCFF"/>
        <color rgb="FF63BE7B"/>
      </colorScale>
    </cfRule>
    <cfRule type="colorScale" priority="12">
      <colorScale>
        <cfvo type="min"/>
        <cfvo type="max"/>
        <color theme="8" tint="0.79998168889431442"/>
        <color theme="8" tint="-0.249977111117893"/>
      </colorScale>
    </cfRule>
    <cfRule type="colorScale" priority="13">
      <colorScale>
        <cfvo type="min"/>
        <cfvo type="max"/>
        <color theme="9" tint="0.79998168889431442"/>
        <color theme="9" tint="-0.249977111117893"/>
      </colorScale>
    </cfRule>
    <cfRule type="colorScale" priority="14">
      <colorScale>
        <cfvo type="min"/>
        <cfvo type="max"/>
        <color rgb="FFFCFCFF"/>
        <color rgb="FF63BE7B"/>
      </colorScale>
    </cfRule>
  </conditionalFormatting>
  <conditionalFormatting sqref="E10:G12">
    <cfRule type="colorScale" priority="7">
      <colorScale>
        <cfvo type="min"/>
        <cfvo type="max"/>
        <color theme="7" tint="0.59999389629810485"/>
        <color theme="7" tint="-0.249977111117893"/>
      </colorScale>
    </cfRule>
    <cfRule type="colorScale" priority="8">
      <colorScale>
        <cfvo type="min"/>
        <cfvo type="max"/>
        <color theme="9" tint="0.79998168889431442"/>
        <color theme="9" tint="-0.249977111117893"/>
      </colorScale>
    </cfRule>
    <cfRule type="colorScale" priority="10">
      <colorScale>
        <cfvo type="min"/>
        <cfvo type="max"/>
        <color rgb="FFFCFCFF"/>
        <color rgb="FF63BE7B"/>
      </colorScale>
    </cfRule>
    <cfRule type="colorScale" priority="15">
      <colorScale>
        <cfvo type="min"/>
        <cfvo type="max"/>
        <color theme="5" tint="0.79998168889431442"/>
        <color theme="5" tint="-0.249977111117893"/>
      </colorScale>
    </cfRule>
  </conditionalFormatting>
  <conditionalFormatting sqref="AY7:BE13">
    <cfRule type="dataBar" priority="5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{20304C69-DFCE-454D-A6FD-187046FB02BD}</x14:id>
        </ext>
      </extLst>
    </cfRule>
  </conditionalFormatting>
  <conditionalFormatting sqref="AZ19:AZ21">
    <cfRule type="dataBar" priority="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{0C656B7E-2895-40F8-898F-368D4722DFCE}</x14:id>
        </ext>
      </extLst>
    </cfRule>
  </conditionalFormatting>
  <conditionalFormatting sqref="BA19:BA21">
    <cfRule type="dataBar" priority="4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{AD43335D-BF64-477B-8579-20CB1C468775}</x14:id>
        </ext>
      </extLst>
    </cfRule>
  </conditionalFormatting>
  <conditionalFormatting sqref="BJ7:BK9">
    <cfRule type="colorScale" priority="3">
      <colorScale>
        <cfvo type="min"/>
        <cfvo type="max"/>
        <color theme="7" tint="0.79998168889431442"/>
        <color theme="7" tint="0.39997558519241921"/>
      </colorScale>
    </cfRule>
  </conditionalFormatting>
  <conditionalFormatting sqref="BJ7:BJ9">
    <cfRule type="colorScale" priority="2">
      <colorScale>
        <cfvo type="min"/>
        <cfvo type="max"/>
        <color theme="7" tint="0.79998168889431442"/>
        <color theme="7" tint="0.39997558519241921"/>
      </colorScale>
    </cfRule>
  </conditionalFormatting>
  <conditionalFormatting sqref="BK7:BK9">
    <cfRule type="colorScale" priority="1">
      <colorScale>
        <cfvo type="min"/>
        <cfvo type="max"/>
        <color theme="7" tint="0.79998168889431442"/>
        <color theme="7" tint="0.39997558519241921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0304C69-DFCE-454D-A6FD-187046FB02BD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AY7:BE13</xm:sqref>
        </x14:conditionalFormatting>
        <x14:conditionalFormatting xmlns:xm="http://schemas.microsoft.com/office/excel/2006/main">
          <x14:cfRule type="dataBar" id="{0C656B7E-2895-40F8-898F-368D4722DFCE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AZ19:AZ21</xm:sqref>
        </x14:conditionalFormatting>
        <x14:conditionalFormatting xmlns:xm="http://schemas.microsoft.com/office/excel/2006/main">
          <x14:cfRule type="dataBar" id="{AD43335D-BF64-477B-8579-20CB1C468775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BA19:BA21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EF1EF-5AE5-446E-87F4-56AF195FA18B}">
  <sheetPr codeName="Sheet34">
    <tabColor rgb="FFFFFF00"/>
  </sheetPr>
  <dimension ref="A1:U19"/>
  <sheetViews>
    <sheetView workbookViewId="0">
      <selection activeCell="C16" sqref="C16:F16"/>
    </sheetView>
  </sheetViews>
  <sheetFormatPr defaultRowHeight="14.45"/>
  <cols>
    <col min="1" max="1" width="3.5703125" customWidth="1"/>
    <col min="2" max="2" width="10.5703125" customWidth="1"/>
    <col min="21" max="21" width="3.5703125" customWidth="1"/>
  </cols>
  <sheetData>
    <row r="1" spans="1:21" ht="18">
      <c r="A1" s="61"/>
      <c r="B1" s="62" t="s">
        <v>1088</v>
      </c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</row>
    <row r="2" spans="1:21" ht="17.45">
      <c r="A2" s="61"/>
      <c r="B2" s="173" t="s">
        <v>1089</v>
      </c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61"/>
    </row>
    <row r="3" spans="1:21" ht="189" customHeight="1">
      <c r="A3" s="61"/>
      <c r="B3" s="174" t="s">
        <v>1090</v>
      </c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61"/>
    </row>
    <row r="4" spans="1:21" ht="17.45">
      <c r="A4" s="61"/>
      <c r="B4" s="173" t="s">
        <v>1091</v>
      </c>
      <c r="C4" s="173"/>
      <c r="D4" s="173"/>
      <c r="E4" s="173"/>
      <c r="F4" s="173"/>
      <c r="G4" s="173"/>
      <c r="H4" s="173"/>
      <c r="I4" s="173"/>
      <c r="J4" s="173"/>
      <c r="K4" s="173"/>
      <c r="L4" s="173"/>
      <c r="M4" s="173"/>
      <c r="N4" s="173"/>
      <c r="O4" s="173"/>
      <c r="P4" s="173"/>
      <c r="Q4" s="173"/>
      <c r="R4" s="173"/>
      <c r="S4" s="173"/>
      <c r="T4" s="173"/>
      <c r="U4" s="61"/>
    </row>
    <row r="5" spans="1:21" ht="48" customHeight="1">
      <c r="A5" s="61"/>
      <c r="B5" s="174" t="s">
        <v>1092</v>
      </c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61"/>
    </row>
    <row r="6" spans="1:21" ht="18">
      <c r="A6" s="61"/>
      <c r="B6" s="62" t="s">
        <v>1093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</row>
    <row r="7" spans="1:21">
      <c r="A7" s="61"/>
      <c r="B7" s="64" t="s">
        <v>1094</v>
      </c>
      <c r="U7" s="61"/>
    </row>
    <row r="8" spans="1:21">
      <c r="A8" s="61"/>
      <c r="B8" s="64" t="s">
        <v>1095</v>
      </c>
      <c r="U8" s="61"/>
    </row>
    <row r="9" spans="1:21">
      <c r="A9" s="61"/>
      <c r="B9" s="64" t="s">
        <v>1096</v>
      </c>
      <c r="U9" s="61"/>
    </row>
    <row r="10" spans="1:21">
      <c r="A10" s="61"/>
      <c r="B10" s="64" t="s">
        <v>1097</v>
      </c>
      <c r="U10" s="61"/>
    </row>
    <row r="11" spans="1:21">
      <c r="A11" s="61"/>
      <c r="B11" s="64" t="s">
        <v>1098</v>
      </c>
      <c r="U11" s="61"/>
    </row>
    <row r="12" spans="1:21">
      <c r="A12" s="61"/>
      <c r="B12" s="64" t="s">
        <v>1099</v>
      </c>
      <c r="U12" s="61"/>
    </row>
    <row r="13" spans="1:21">
      <c r="A13" s="61"/>
      <c r="U13" s="61"/>
    </row>
    <row r="14" spans="1:21" ht="18">
      <c r="A14" s="61"/>
      <c r="B14" s="62" t="s">
        <v>1100</v>
      </c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</row>
    <row r="15" spans="1:21">
      <c r="A15" s="61"/>
      <c r="B15" s="63" t="s">
        <v>1101</v>
      </c>
      <c r="C15" s="176" t="s">
        <v>1102</v>
      </c>
      <c r="D15" s="177"/>
      <c r="E15" s="177"/>
      <c r="F15" s="178"/>
      <c r="U15" s="61"/>
    </row>
    <row r="16" spans="1:21" ht="62.25" customHeight="1">
      <c r="A16" s="61"/>
      <c r="B16" s="97">
        <v>44328</v>
      </c>
      <c r="C16" s="179" t="s">
        <v>1103</v>
      </c>
      <c r="D16" s="180"/>
      <c r="E16" s="180"/>
      <c r="F16" s="181"/>
      <c r="U16" s="61"/>
    </row>
    <row r="17" spans="1:21">
      <c r="A17" s="61"/>
      <c r="B17" s="7"/>
      <c r="C17" s="170"/>
      <c r="D17" s="171"/>
      <c r="E17" s="171"/>
      <c r="F17" s="172"/>
      <c r="U17" s="61"/>
    </row>
    <row r="18" spans="1:21">
      <c r="A18" s="61"/>
      <c r="U18" s="61"/>
    </row>
    <row r="19" spans="1:21">
      <c r="A19" s="61"/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</row>
  </sheetData>
  <mergeCells count="7">
    <mergeCell ref="C17:F17"/>
    <mergeCell ref="B2:T2"/>
    <mergeCell ref="B3:T3"/>
    <mergeCell ref="B4:T4"/>
    <mergeCell ref="B5:T5"/>
    <mergeCell ref="C15:F15"/>
    <mergeCell ref="C16:F16"/>
  </mergeCells>
  <hyperlinks>
    <hyperlink ref="B7" location="Data!A1" display="Data và tính toán" xr:uid="{4D173097-9353-40C8-94EA-5BD7F3A3FDE6}"/>
    <hyperlink ref="B8" location="'Phòng mua hàng'!A1" display="Dashboard Phòng mua hàng" xr:uid="{73C6ECA5-1DF3-499D-9281-1427039D8B4A}"/>
    <hyperlink ref="B9" location="'Nhân viên mua hàng'!A1" display="Dashboard Nhân viên mua hàng" xr:uid="{AD7F06A3-1750-4A9F-AEDA-1F320D06CBB8}"/>
    <hyperlink ref="B10" location="NV_1!A1" display="Dashboard Nhân viên 1" xr:uid="{C6CD6422-E937-499B-9E65-184644FE7275}"/>
    <hyperlink ref="B11" location="NV_2!A1" display="Dashboard Nhân viên 2" xr:uid="{FD25A658-FD52-4000-AE6F-C8A4113037DC}"/>
    <hyperlink ref="B12" location="NV_3!A1" display="Dashboard Nhân viên 3" xr:uid="{949C3245-9C88-48D0-8CB1-17C10DCF04F8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303F6-0DDA-40B6-BD5F-43A0071B8A76}">
  <sheetPr codeName="Sheet1">
    <tabColor rgb="FF8FC26C"/>
  </sheetPr>
  <dimension ref="A1:CJ5202"/>
  <sheetViews>
    <sheetView topLeftCell="AD1" zoomScale="80" zoomScaleNormal="80" workbookViewId="0">
      <selection activeCell="BI146" sqref="AD146:BI148"/>
    </sheetView>
  </sheetViews>
  <sheetFormatPr defaultRowHeight="14.45"/>
  <cols>
    <col min="1" max="1" width="15.42578125" style="1" bestFit="1" customWidth="1"/>
    <col min="2" max="2" width="12" style="2" bestFit="1" customWidth="1"/>
    <col min="3" max="3" width="6.140625" style="1" bestFit="1" customWidth="1"/>
    <col min="4" max="4" width="5.42578125" style="1" bestFit="1" customWidth="1"/>
    <col min="5" max="5" width="10.5703125" style="1" customWidth="1"/>
    <col min="6" max="6" width="15.42578125" style="1" bestFit="1" customWidth="1"/>
    <col min="7" max="7" width="8.7109375" bestFit="1" customWidth="1"/>
    <col min="8" max="8" width="6.140625" bestFit="1" customWidth="1"/>
    <col min="9" max="9" width="5.42578125" bestFit="1" customWidth="1"/>
    <col min="10" max="10" width="12.7109375" style="1" bestFit="1" customWidth="1"/>
    <col min="11" max="11" width="15.42578125" style="1" bestFit="1" customWidth="1"/>
    <col min="12" max="12" width="15.42578125" bestFit="1" customWidth="1"/>
    <col min="13" max="13" width="6.140625" bestFit="1" customWidth="1"/>
    <col min="14" max="14" width="5.42578125" bestFit="1" customWidth="1"/>
    <col min="15" max="15" width="10.5703125" customWidth="1"/>
    <col min="16" max="16" width="12.5703125" style="1" bestFit="1" customWidth="1"/>
    <col min="17" max="17" width="16.5703125" style="4" bestFit="1" customWidth="1"/>
    <col min="18" max="18" width="6.140625" bestFit="1" customWidth="1"/>
    <col min="19" max="19" width="5.42578125" style="1" bestFit="1" customWidth="1"/>
    <col min="20" max="20" width="10.5703125" customWidth="1"/>
    <col min="21" max="21" width="15.42578125" style="1" bestFit="1" customWidth="1"/>
    <col min="22" max="22" width="19.140625" style="2" bestFit="1" customWidth="1"/>
    <col min="23" max="23" width="6" bestFit="1" customWidth="1"/>
    <col min="24" max="24" width="5.140625" bestFit="1" customWidth="1"/>
    <col min="25" max="25" width="10.5703125" customWidth="1"/>
    <col min="26" max="26" width="15.42578125" style="1" bestFit="1" customWidth="1"/>
    <col min="27" max="27" width="9.5703125" bestFit="1" customWidth="1"/>
    <col min="28" max="28" width="6.140625" bestFit="1" customWidth="1"/>
    <col min="29" max="29" width="5.42578125" bestFit="1" customWidth="1"/>
    <col min="30" max="30" width="10.5703125" customWidth="1"/>
    <col min="31" max="31" width="15.42578125" style="1" bestFit="1" customWidth="1"/>
    <col min="32" max="32" width="12.28515625" bestFit="1" customWidth="1"/>
    <col min="33" max="33" width="6.140625" bestFit="1" customWidth="1"/>
    <col min="34" max="34" width="5.42578125" bestFit="1" customWidth="1"/>
    <col min="35" max="35" width="10.5703125" customWidth="1"/>
    <col min="36" max="36" width="15.42578125" style="1" bestFit="1" customWidth="1"/>
    <col min="37" max="37" width="11" style="2" bestFit="1" customWidth="1"/>
    <col min="38" max="38" width="10.5703125" customWidth="1"/>
    <col min="39" max="39" width="12.5703125" style="1" bestFit="1" customWidth="1"/>
    <col min="40" max="40" width="17.5703125" style="2" bestFit="1" customWidth="1"/>
    <col min="41" max="41" width="6.140625" style="60" bestFit="1" customWidth="1"/>
    <col min="42" max="42" width="5.42578125" style="60" bestFit="1" customWidth="1"/>
    <col min="43" max="43" width="9.140625" style="4"/>
    <col min="44" max="44" width="8.7109375" style="5"/>
    <col min="46" max="46" width="12.42578125" customWidth="1"/>
    <col min="47" max="47" width="32" customWidth="1"/>
    <col min="54" max="54" width="8.7109375" style="8"/>
    <col min="56" max="56" width="15.42578125" bestFit="1" customWidth="1"/>
    <col min="57" max="57" width="9.5703125" bestFit="1" customWidth="1"/>
    <col min="58" max="58" width="9.85546875" bestFit="1" customWidth="1"/>
    <col min="60" max="61" width="14.140625" customWidth="1"/>
    <col min="62" max="62" width="8.5703125" style="5"/>
    <col min="63" max="63" width="22.28515625" bestFit="1" customWidth="1"/>
    <col min="64" max="64" width="31.5703125" customWidth="1"/>
    <col min="65" max="65" width="15.28515625" bestFit="1" customWidth="1"/>
    <col min="66" max="66" width="0.140625" hidden="1" customWidth="1"/>
    <col min="67" max="67" width="35.7109375" bestFit="1" customWidth="1"/>
    <col min="68" max="68" width="22.85546875" bestFit="1" customWidth="1"/>
    <col min="69" max="69" width="31.42578125" customWidth="1"/>
    <col min="70" max="70" width="28.5703125" customWidth="1"/>
    <col min="71" max="71" width="20.28515625" customWidth="1"/>
    <col min="72" max="72" width="13.42578125" bestFit="1" customWidth="1"/>
    <col min="73" max="73" width="16.42578125" bestFit="1" customWidth="1"/>
    <col min="74" max="74" width="12.5703125" bestFit="1" customWidth="1"/>
    <col min="75" max="75" width="12.28515625" customWidth="1"/>
    <col min="76" max="76" width="13.28515625" customWidth="1"/>
    <col min="77" max="77" width="26.140625" bestFit="1" customWidth="1"/>
    <col min="78" max="78" width="40.140625" bestFit="1" customWidth="1"/>
    <col min="79" max="79" width="24.28515625" bestFit="1" customWidth="1"/>
    <col min="80" max="80" width="13.140625" bestFit="1" customWidth="1"/>
    <col min="81" max="81" width="8.85546875" style="5"/>
    <col min="83" max="83" width="15.42578125" style="1" bestFit="1" customWidth="1"/>
    <col min="84" max="84" width="12.5703125" style="1" bestFit="1" customWidth="1"/>
    <col min="85" max="85" width="8.7109375" style="2" bestFit="1" customWidth="1"/>
    <col min="86" max="86" width="6.140625" bestFit="1" customWidth="1"/>
    <col min="87" max="87" width="5.42578125" style="1" bestFit="1" customWidth="1"/>
    <col min="88" max="88" width="16.5703125" bestFit="1" customWidth="1"/>
  </cols>
  <sheetData>
    <row r="1" spans="1:88">
      <c r="A1" s="182" t="s">
        <v>1081</v>
      </c>
      <c r="B1" s="182"/>
      <c r="C1" s="182"/>
      <c r="D1" s="182"/>
      <c r="F1" s="182" t="s">
        <v>47</v>
      </c>
      <c r="G1" s="182"/>
      <c r="H1" s="182"/>
      <c r="I1" s="182"/>
      <c r="K1" s="182" t="s">
        <v>1104</v>
      </c>
      <c r="L1" s="182"/>
      <c r="M1" s="182"/>
      <c r="N1" s="182"/>
      <c r="P1" s="182" t="s">
        <v>1105</v>
      </c>
      <c r="Q1" s="182"/>
      <c r="R1" s="182"/>
      <c r="S1" s="182"/>
      <c r="U1" s="182" t="s">
        <v>1106</v>
      </c>
      <c r="V1" s="182"/>
      <c r="W1" s="182"/>
      <c r="X1" s="182"/>
      <c r="Z1" s="182" t="s">
        <v>1107</v>
      </c>
      <c r="AA1" s="182"/>
      <c r="AB1" s="182"/>
      <c r="AC1" s="182"/>
      <c r="AE1" s="182" t="s">
        <v>1108</v>
      </c>
      <c r="AF1" s="182"/>
      <c r="AG1" s="182"/>
      <c r="AH1" s="182"/>
      <c r="AJ1" s="182" t="s">
        <v>1109</v>
      </c>
      <c r="AK1" s="182"/>
      <c r="AM1" s="182" t="s">
        <v>1110</v>
      </c>
      <c r="AN1" s="182"/>
      <c r="AO1" s="182"/>
      <c r="AP1" s="182"/>
      <c r="AS1" s="40"/>
      <c r="AT1" s="41" t="s">
        <v>1111</v>
      </c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K1" s="40"/>
      <c r="BL1" s="41" t="s">
        <v>1112</v>
      </c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E1" s="182" t="s">
        <v>1113</v>
      </c>
      <c r="CF1" s="182"/>
      <c r="CG1" s="182"/>
      <c r="CH1" s="182"/>
      <c r="CI1" s="182"/>
      <c r="CJ1" s="182"/>
    </row>
    <row r="2" spans="1:88" ht="14.25" customHeight="1">
      <c r="A2"/>
      <c r="B2"/>
      <c r="C2"/>
      <c r="D2"/>
      <c r="E2"/>
      <c r="J2"/>
      <c r="K2"/>
      <c r="Q2"/>
      <c r="S2"/>
      <c r="U2"/>
      <c r="V2"/>
      <c r="Z2"/>
      <c r="AE2"/>
      <c r="AJ2"/>
      <c r="AK2"/>
      <c r="AM2"/>
      <c r="AN2"/>
      <c r="AQ2"/>
      <c r="AU2" s="7"/>
      <c r="AV2" s="7">
        <v>1</v>
      </c>
      <c r="AW2" s="7">
        <v>2</v>
      </c>
      <c r="AX2" s="7">
        <v>3</v>
      </c>
      <c r="AY2" s="7">
        <v>4</v>
      </c>
      <c r="AZ2" s="7">
        <v>5</v>
      </c>
      <c r="BA2" s="7">
        <v>6</v>
      </c>
      <c r="BB2" s="9">
        <v>7</v>
      </c>
      <c r="BC2" s="7">
        <v>8</v>
      </c>
      <c r="BD2" s="7">
        <v>9</v>
      </c>
      <c r="BE2" s="7">
        <v>10</v>
      </c>
      <c r="BF2" s="7">
        <v>11</v>
      </c>
      <c r="BG2" s="7">
        <v>12</v>
      </c>
      <c r="CE2"/>
      <c r="CF2"/>
      <c r="CG2"/>
      <c r="CI2"/>
    </row>
    <row r="3" spans="1:88">
      <c r="A3" s="1" t="s">
        <v>1080</v>
      </c>
      <c r="B3" t="s">
        <v>1114</v>
      </c>
      <c r="C3" t="s">
        <v>1115</v>
      </c>
      <c r="D3" t="s">
        <v>1116</v>
      </c>
      <c r="E3"/>
      <c r="F3" s="1" t="s">
        <v>1080</v>
      </c>
      <c r="G3" s="3" t="s">
        <v>1117</v>
      </c>
      <c r="H3" t="s">
        <v>1115</v>
      </c>
      <c r="I3" t="s">
        <v>1116</v>
      </c>
      <c r="K3" t="s">
        <v>1080</v>
      </c>
      <c r="L3" t="s">
        <v>21</v>
      </c>
      <c r="M3" t="s">
        <v>1115</v>
      </c>
      <c r="N3" t="s">
        <v>1116</v>
      </c>
      <c r="P3" t="s">
        <v>1080</v>
      </c>
      <c r="Q3" s="2" t="s">
        <v>22</v>
      </c>
      <c r="R3" t="s">
        <v>1115</v>
      </c>
      <c r="S3" s="1" t="s">
        <v>1116</v>
      </c>
      <c r="U3" t="s">
        <v>1080</v>
      </c>
      <c r="V3" s="2" t="s">
        <v>1118</v>
      </c>
      <c r="W3" t="s">
        <v>1115</v>
      </c>
      <c r="X3" t="s">
        <v>1116</v>
      </c>
      <c r="Z3" t="s">
        <v>1080</v>
      </c>
      <c r="AA3" s="2" t="s">
        <v>1119</v>
      </c>
      <c r="AB3" s="2" t="s">
        <v>1115</v>
      </c>
      <c r="AC3" s="2" t="s">
        <v>1116</v>
      </c>
      <c r="AD3" s="2"/>
      <c r="AE3" t="s">
        <v>1080</v>
      </c>
      <c r="AF3" t="s">
        <v>1120</v>
      </c>
      <c r="AG3" s="2" t="s">
        <v>1115</v>
      </c>
      <c r="AH3" s="2" t="s">
        <v>1116</v>
      </c>
      <c r="AJ3" t="s">
        <v>1080</v>
      </c>
      <c r="AK3" s="2" t="s">
        <v>1121</v>
      </c>
      <c r="AL3" s="2"/>
      <c r="AM3" t="s">
        <v>1080</v>
      </c>
      <c r="AN3" s="2" t="s">
        <v>1122</v>
      </c>
      <c r="AO3" s="60" t="s">
        <v>1115</v>
      </c>
      <c r="AP3" s="60" t="s">
        <v>1116</v>
      </c>
      <c r="AU3" s="7" t="s">
        <v>38</v>
      </c>
      <c r="AV3" s="7" t="s">
        <v>5</v>
      </c>
      <c r="AW3" s="7" t="s">
        <v>6</v>
      </c>
      <c r="AX3" s="7" t="s">
        <v>7</v>
      </c>
      <c r="AY3" s="7" t="s">
        <v>8</v>
      </c>
      <c r="AZ3" s="7" t="s">
        <v>9</v>
      </c>
      <c r="BA3" s="7" t="s">
        <v>10</v>
      </c>
      <c r="BB3" s="9" t="s">
        <v>11</v>
      </c>
      <c r="BC3" s="7" t="s">
        <v>12</v>
      </c>
      <c r="BD3" s="7" t="s">
        <v>13</v>
      </c>
      <c r="BE3" s="7" t="s">
        <v>1123</v>
      </c>
      <c r="BF3" s="7" t="s">
        <v>1124</v>
      </c>
      <c r="BG3" s="7" t="s">
        <v>1125</v>
      </c>
      <c r="BH3" s="9" t="s">
        <v>134</v>
      </c>
      <c r="BL3" s="44" t="s">
        <v>1081</v>
      </c>
      <c r="BM3" s="42"/>
      <c r="BN3" s="42"/>
      <c r="BO3" s="43"/>
      <c r="BP3" s="43"/>
      <c r="BQ3" s="43"/>
      <c r="BR3" s="43"/>
      <c r="BS3" s="43"/>
      <c r="BT3" s="43"/>
      <c r="BU3" s="43"/>
      <c r="BV3" s="43"/>
      <c r="BW3" s="43"/>
      <c r="BX3" s="42"/>
      <c r="BY3" s="42"/>
      <c r="BZ3" s="42"/>
      <c r="CE3" s="1" t="s">
        <v>1080</v>
      </c>
      <c r="CF3" s="1" t="s">
        <v>1126</v>
      </c>
      <c r="CG3" s="2" t="s">
        <v>1117</v>
      </c>
      <c r="CH3" t="s">
        <v>1115</v>
      </c>
      <c r="CI3" s="1" t="s">
        <v>1116</v>
      </c>
      <c r="CJ3" s="1"/>
    </row>
    <row r="4" spans="1:88">
      <c r="A4" s="1" t="s">
        <v>1077</v>
      </c>
      <c r="B4">
        <v>79</v>
      </c>
      <c r="C4">
        <v>1</v>
      </c>
      <c r="D4">
        <v>2021</v>
      </c>
      <c r="E4"/>
      <c r="F4" s="1" t="s">
        <v>1077</v>
      </c>
      <c r="G4">
        <v>4</v>
      </c>
      <c r="H4">
        <v>3</v>
      </c>
      <c r="I4">
        <v>2021</v>
      </c>
      <c r="K4" s="1" t="s">
        <v>1077</v>
      </c>
      <c r="L4">
        <v>1</v>
      </c>
      <c r="M4">
        <v>1</v>
      </c>
      <c r="N4">
        <v>2021</v>
      </c>
      <c r="P4" s="1" t="s">
        <v>1077</v>
      </c>
      <c r="Q4" s="2">
        <v>4</v>
      </c>
      <c r="R4">
        <v>3</v>
      </c>
      <c r="S4" s="1">
        <v>2021</v>
      </c>
      <c r="U4" s="1" t="s">
        <v>1077</v>
      </c>
      <c r="V4" s="2">
        <v>38</v>
      </c>
      <c r="W4">
        <v>3</v>
      </c>
      <c r="X4">
        <v>2021</v>
      </c>
      <c r="Z4" s="1" t="s">
        <v>1077</v>
      </c>
      <c r="AA4">
        <v>1</v>
      </c>
      <c r="AB4">
        <v>5</v>
      </c>
      <c r="AC4">
        <v>2021</v>
      </c>
      <c r="AD4" s="2"/>
      <c r="AE4" s="1" t="s">
        <v>1076</v>
      </c>
      <c r="AF4">
        <v>9</v>
      </c>
      <c r="AG4">
        <v>5</v>
      </c>
      <c r="AH4">
        <v>2021</v>
      </c>
      <c r="AJ4" s="1" t="s">
        <v>1073</v>
      </c>
      <c r="AK4" s="2">
        <v>2583</v>
      </c>
      <c r="AL4" s="2"/>
      <c r="AM4" s="1" t="s">
        <v>1077</v>
      </c>
      <c r="AN4" s="2">
        <v>4</v>
      </c>
      <c r="AO4" s="60">
        <v>3</v>
      </c>
      <c r="AP4" s="60">
        <v>2021</v>
      </c>
      <c r="AQ4" s="20"/>
      <c r="AU4" s="7" t="s">
        <v>1127</v>
      </c>
      <c r="AV4" s="7">
        <f ca="1">SUMIF(PR_total_M,AV$2,PR_total_line)</f>
        <v>363</v>
      </c>
      <c r="AW4" s="7">
        <f t="shared" ref="AW4:BG4" ca="1" si="0">SUMIF(PR_total_M,AW$2,PR_total_line)</f>
        <v>190</v>
      </c>
      <c r="AX4" s="7">
        <f t="shared" ca="1" si="0"/>
        <v>252</v>
      </c>
      <c r="AY4" s="7">
        <f t="shared" ca="1" si="0"/>
        <v>447</v>
      </c>
      <c r="AZ4" s="7">
        <f t="shared" ca="1" si="0"/>
        <v>465</v>
      </c>
      <c r="BA4" s="7">
        <f t="shared" ca="1" si="0"/>
        <v>562</v>
      </c>
      <c r="BB4" s="7">
        <f t="shared" ca="1" si="0"/>
        <v>574</v>
      </c>
      <c r="BC4" s="7">
        <f t="shared" ca="1" si="0"/>
        <v>748</v>
      </c>
      <c r="BD4" s="7">
        <f t="shared" ca="1" si="0"/>
        <v>325</v>
      </c>
      <c r="BE4" s="7">
        <f t="shared" ca="1" si="0"/>
        <v>0</v>
      </c>
      <c r="BF4" s="7">
        <f t="shared" ca="1" si="0"/>
        <v>0</v>
      </c>
      <c r="BG4" s="7">
        <f t="shared" ca="1" si="0"/>
        <v>0</v>
      </c>
      <c r="BH4" s="9">
        <f ca="1">SUM(AV4:BG4)</f>
        <v>3926</v>
      </c>
      <c r="BL4" s="21" t="s">
        <v>1080</v>
      </c>
      <c r="BM4" s="7" t="s">
        <v>1128</v>
      </c>
      <c r="BN4" s="7"/>
      <c r="BO4" s="13">
        <v>44197</v>
      </c>
      <c r="BP4" s="13">
        <v>44228</v>
      </c>
      <c r="BQ4" s="13">
        <v>44256</v>
      </c>
      <c r="BR4" s="13">
        <v>44287</v>
      </c>
      <c r="BS4" s="13">
        <v>44317</v>
      </c>
      <c r="BT4" s="13">
        <v>44348</v>
      </c>
      <c r="BU4" s="13">
        <v>44378</v>
      </c>
      <c r="BV4" s="13">
        <v>44409</v>
      </c>
      <c r="BW4" s="13">
        <v>44440</v>
      </c>
      <c r="BX4" s="13">
        <v>44470</v>
      </c>
      <c r="BY4" s="13">
        <v>44501</v>
      </c>
      <c r="BZ4" s="13">
        <v>44531</v>
      </c>
      <c r="CE4" s="1" t="s">
        <v>1077</v>
      </c>
      <c r="CF4" s="1" t="s">
        <v>1129</v>
      </c>
      <c r="CG4" s="2">
        <v>81</v>
      </c>
      <c r="CH4">
        <v>1</v>
      </c>
      <c r="CI4" s="1">
        <v>2021</v>
      </c>
    </row>
    <row r="5" spans="1:88">
      <c r="A5" s="1" t="s">
        <v>1075</v>
      </c>
      <c r="B5">
        <v>30</v>
      </c>
      <c r="C5">
        <v>1</v>
      </c>
      <c r="D5">
        <v>2021</v>
      </c>
      <c r="E5"/>
      <c r="F5" s="1" t="s">
        <v>1077</v>
      </c>
      <c r="G5">
        <v>3</v>
      </c>
      <c r="H5">
        <v>4</v>
      </c>
      <c r="I5">
        <v>2021</v>
      </c>
      <c r="K5" s="1" t="s">
        <v>1076</v>
      </c>
      <c r="L5">
        <v>1</v>
      </c>
      <c r="M5">
        <v>1</v>
      </c>
      <c r="N5">
        <v>2021</v>
      </c>
      <c r="P5" s="1" t="s">
        <v>1077</v>
      </c>
      <c r="Q5" s="2">
        <v>3</v>
      </c>
      <c r="R5">
        <v>4</v>
      </c>
      <c r="S5" s="1">
        <v>2021</v>
      </c>
      <c r="U5" s="1" t="s">
        <v>1077</v>
      </c>
      <c r="V5" s="2">
        <v>16.333333333333332</v>
      </c>
      <c r="W5">
        <v>4</v>
      </c>
      <c r="X5">
        <v>2021</v>
      </c>
      <c r="Z5" s="1" t="s">
        <v>1076</v>
      </c>
      <c r="AA5">
        <v>17</v>
      </c>
      <c r="AB5">
        <v>5</v>
      </c>
      <c r="AC5">
        <v>2021</v>
      </c>
      <c r="AD5" s="2"/>
      <c r="AE5" s="1" t="s">
        <v>1073</v>
      </c>
      <c r="AF5">
        <v>24</v>
      </c>
      <c r="AG5">
        <v>6</v>
      </c>
      <c r="AH5">
        <v>2021</v>
      </c>
      <c r="AJ5" s="1" t="s">
        <v>1074</v>
      </c>
      <c r="AK5" s="2">
        <v>1061</v>
      </c>
      <c r="AL5" s="2"/>
      <c r="AM5" s="1" t="s">
        <v>1077</v>
      </c>
      <c r="AN5" s="2">
        <v>3</v>
      </c>
      <c r="AO5" s="60">
        <v>4</v>
      </c>
      <c r="AP5" s="60">
        <v>2021</v>
      </c>
      <c r="AQ5" s="20"/>
      <c r="AU5" s="7" t="s">
        <v>1130</v>
      </c>
      <c r="AV5" s="7">
        <f t="shared" ref="AV5:BG5" ca="1" si="1">SUMIF(PO_total_M,AV$2,PO_total_line)</f>
        <v>349</v>
      </c>
      <c r="AW5" s="7">
        <f t="shared" ca="1" si="1"/>
        <v>181</v>
      </c>
      <c r="AX5" s="7">
        <f t="shared" ca="1" si="1"/>
        <v>273</v>
      </c>
      <c r="AY5" s="7">
        <f t="shared" ca="1" si="1"/>
        <v>476</v>
      </c>
      <c r="AZ5" s="7">
        <f t="shared" ca="1" si="1"/>
        <v>408</v>
      </c>
      <c r="BA5" s="7">
        <f t="shared" ca="1" si="1"/>
        <v>427</v>
      </c>
      <c r="BB5" s="7">
        <f t="shared" ca="1" si="1"/>
        <v>262</v>
      </c>
      <c r="BC5" s="7">
        <f t="shared" ca="1" si="1"/>
        <v>343</v>
      </c>
      <c r="BD5" s="7">
        <f t="shared" ca="1" si="1"/>
        <v>107</v>
      </c>
      <c r="BE5" s="7">
        <f t="shared" ca="1" si="1"/>
        <v>0</v>
      </c>
      <c r="BF5" s="7">
        <f t="shared" ca="1" si="1"/>
        <v>0</v>
      </c>
      <c r="BG5" s="7">
        <f t="shared" ca="1" si="1"/>
        <v>0</v>
      </c>
      <c r="BH5" s="9">
        <f ca="1">SUM(AV5:BG5)</f>
        <v>2826</v>
      </c>
      <c r="BI5" s="75"/>
      <c r="BL5" s="21" t="str">
        <f t="shared" ref="BL5:BL11" si="2">AJ4</f>
        <v>DO TRUC LAM</v>
      </c>
      <c r="BM5" s="7">
        <f ca="1">SUM(BO5:BZ5)</f>
        <v>1328</v>
      </c>
      <c r="BN5" s="7"/>
      <c r="BO5" s="7">
        <f t="shared" ref="BO5:BZ11" ca="1" si="3">SUMIFS(PR_total_line,PR_total_pro,$BL5,PR_total_M,MONTH(BO$4),PR_total_Y,YEAR(BO$4))</f>
        <v>44</v>
      </c>
      <c r="BP5" s="7">
        <f t="shared" ca="1" si="3"/>
        <v>37</v>
      </c>
      <c r="BQ5" s="7">
        <f t="shared" ca="1" si="3"/>
        <v>68</v>
      </c>
      <c r="BR5" s="7">
        <f t="shared" ca="1" si="3"/>
        <v>193</v>
      </c>
      <c r="BS5" s="7">
        <f t="shared" ca="1" si="3"/>
        <v>172</v>
      </c>
      <c r="BT5" s="7">
        <f t="shared" ca="1" si="3"/>
        <v>273</v>
      </c>
      <c r="BU5" s="7">
        <f t="shared" ca="1" si="3"/>
        <v>189</v>
      </c>
      <c r="BV5" s="7">
        <f t="shared" ca="1" si="3"/>
        <v>228</v>
      </c>
      <c r="BW5" s="7">
        <f t="shared" ca="1" si="3"/>
        <v>124</v>
      </c>
      <c r="BX5" s="7">
        <f t="shared" ca="1" si="3"/>
        <v>0</v>
      </c>
      <c r="BY5" s="7">
        <f t="shared" ca="1" si="3"/>
        <v>0</v>
      </c>
      <c r="BZ5" s="7">
        <f t="shared" ca="1" si="3"/>
        <v>0</v>
      </c>
      <c r="CE5" s="1" t="s">
        <v>1077</v>
      </c>
      <c r="CF5" s="1" t="s">
        <v>1129</v>
      </c>
      <c r="CG5" s="2">
        <v>7</v>
      </c>
      <c r="CH5">
        <v>2</v>
      </c>
      <c r="CI5" s="1">
        <v>2021</v>
      </c>
    </row>
    <row r="6" spans="1:88">
      <c r="A6" s="1" t="s">
        <v>1074</v>
      </c>
      <c r="B6">
        <v>67</v>
      </c>
      <c r="C6">
        <v>1</v>
      </c>
      <c r="D6">
        <v>2021</v>
      </c>
      <c r="E6"/>
      <c r="F6" s="1" t="s">
        <v>1077</v>
      </c>
      <c r="G6">
        <v>2</v>
      </c>
      <c r="H6">
        <v>5</v>
      </c>
      <c r="I6">
        <v>2021</v>
      </c>
      <c r="K6" s="1" t="s">
        <v>1073</v>
      </c>
      <c r="L6">
        <v>1</v>
      </c>
      <c r="M6">
        <v>1</v>
      </c>
      <c r="N6">
        <v>2021</v>
      </c>
      <c r="P6" s="1" t="s">
        <v>1077</v>
      </c>
      <c r="Q6" s="2">
        <v>2</v>
      </c>
      <c r="R6">
        <v>5</v>
      </c>
      <c r="S6" s="1">
        <v>2021</v>
      </c>
      <c r="U6" s="1" t="s">
        <v>1077</v>
      </c>
      <c r="V6" s="2">
        <v>23.5</v>
      </c>
      <c r="W6">
        <v>5</v>
      </c>
      <c r="X6">
        <v>2021</v>
      </c>
      <c r="Z6" s="1" t="s">
        <v>1073</v>
      </c>
      <c r="AA6">
        <v>24</v>
      </c>
      <c r="AB6">
        <v>6</v>
      </c>
      <c r="AC6">
        <v>2021</v>
      </c>
      <c r="AD6" s="2"/>
      <c r="AE6" s="1" t="s">
        <v>1078</v>
      </c>
      <c r="AF6">
        <v>1</v>
      </c>
      <c r="AG6">
        <v>6</v>
      </c>
      <c r="AH6">
        <v>2021</v>
      </c>
      <c r="AJ6" s="1" t="s">
        <v>1075</v>
      </c>
      <c r="AK6" s="2">
        <v>882</v>
      </c>
      <c r="AL6" s="2"/>
      <c r="AM6" s="1" t="s">
        <v>1077</v>
      </c>
      <c r="AN6" s="2">
        <v>2</v>
      </c>
      <c r="AO6" s="60">
        <v>5</v>
      </c>
      <c r="AP6" s="60">
        <v>2021</v>
      </c>
      <c r="AQ6" s="20"/>
      <c r="AU6" s="7" t="s">
        <v>1131</v>
      </c>
      <c r="AV6" s="7">
        <f t="shared" ref="AV6:BG6" ca="1" si="4">SUMIF(PR_pend_M,AV$2,PR_pend_line)</f>
        <v>3</v>
      </c>
      <c r="AW6" s="7">
        <f t="shared" ca="1" si="4"/>
        <v>3</v>
      </c>
      <c r="AX6" s="7">
        <f t="shared" ca="1" si="4"/>
        <v>4</v>
      </c>
      <c r="AY6" s="7">
        <f t="shared" ca="1" si="4"/>
        <v>7</v>
      </c>
      <c r="AZ6" s="7">
        <f t="shared" ca="1" si="4"/>
        <v>65</v>
      </c>
      <c r="BA6" s="7">
        <f t="shared" ca="1" si="4"/>
        <v>187</v>
      </c>
      <c r="BB6" s="7">
        <f t="shared" ca="1" si="4"/>
        <v>325</v>
      </c>
      <c r="BC6" s="7">
        <f t="shared" ca="1" si="4"/>
        <v>417</v>
      </c>
      <c r="BD6" s="7">
        <f t="shared" ca="1" si="4"/>
        <v>243</v>
      </c>
      <c r="BE6" s="7">
        <f t="shared" ca="1" si="4"/>
        <v>0</v>
      </c>
      <c r="BF6" s="7">
        <f t="shared" ca="1" si="4"/>
        <v>0</v>
      </c>
      <c r="BG6" s="7">
        <f t="shared" ca="1" si="4"/>
        <v>0</v>
      </c>
      <c r="BH6" s="9">
        <f t="shared" ref="BH6:BH7" ca="1" si="5">SUM(AV6:BG6)</f>
        <v>1254</v>
      </c>
      <c r="BI6" s="77"/>
      <c r="BK6" s="74"/>
      <c r="BL6" s="21" t="str">
        <f t="shared" si="2"/>
        <v>DO MAI HA</v>
      </c>
      <c r="BM6" s="7">
        <f t="shared" ref="BM6:BM11" ca="1" si="6">SUM(BO6:BZ6)</f>
        <v>555</v>
      </c>
      <c r="BN6" s="7"/>
      <c r="BO6" s="7">
        <f t="shared" ca="1" si="3"/>
        <v>67</v>
      </c>
      <c r="BP6" s="7">
        <f t="shared" ca="1" si="3"/>
        <v>59</v>
      </c>
      <c r="BQ6" s="7">
        <f t="shared" ca="1" si="3"/>
        <v>34</v>
      </c>
      <c r="BR6" s="7">
        <f t="shared" ca="1" si="3"/>
        <v>32</v>
      </c>
      <c r="BS6" s="7">
        <f t="shared" ca="1" si="3"/>
        <v>76</v>
      </c>
      <c r="BT6" s="7">
        <f t="shared" ca="1" si="3"/>
        <v>66</v>
      </c>
      <c r="BU6" s="7">
        <f t="shared" ca="1" si="3"/>
        <v>50</v>
      </c>
      <c r="BV6" s="7">
        <f t="shared" ca="1" si="3"/>
        <v>132</v>
      </c>
      <c r="BW6" s="7">
        <f t="shared" ca="1" si="3"/>
        <v>39</v>
      </c>
      <c r="BX6" s="7">
        <f t="shared" ca="1" si="3"/>
        <v>0</v>
      </c>
      <c r="BY6" s="7">
        <f t="shared" ca="1" si="3"/>
        <v>0</v>
      </c>
      <c r="BZ6" s="7">
        <f t="shared" ca="1" si="3"/>
        <v>0</v>
      </c>
      <c r="CE6" s="1" t="s">
        <v>1077</v>
      </c>
      <c r="CF6" s="1" t="s">
        <v>1129</v>
      </c>
      <c r="CG6" s="2">
        <v>21</v>
      </c>
      <c r="CH6">
        <v>3</v>
      </c>
      <c r="CI6" s="1">
        <v>2021</v>
      </c>
    </row>
    <row r="7" spans="1:88">
      <c r="A7" s="1" t="s">
        <v>1076</v>
      </c>
      <c r="B7">
        <v>42</v>
      </c>
      <c r="C7">
        <v>1</v>
      </c>
      <c r="D7">
        <v>2021</v>
      </c>
      <c r="E7"/>
      <c r="F7" s="1" t="s">
        <v>1075</v>
      </c>
      <c r="G7">
        <v>174</v>
      </c>
      <c r="H7">
        <v>1</v>
      </c>
      <c r="I7">
        <v>2021</v>
      </c>
      <c r="K7" s="1" t="s">
        <v>1076</v>
      </c>
      <c r="L7">
        <v>1</v>
      </c>
      <c r="M7">
        <v>2</v>
      </c>
      <c r="N7">
        <v>2021</v>
      </c>
      <c r="P7" s="1" t="s">
        <v>1075</v>
      </c>
      <c r="Q7" s="2">
        <v>1</v>
      </c>
      <c r="R7">
        <v>5</v>
      </c>
      <c r="S7" s="1">
        <v>2021</v>
      </c>
      <c r="U7" s="1" t="s">
        <v>1075</v>
      </c>
      <c r="V7" s="2">
        <v>0.71597633136094674</v>
      </c>
      <c r="W7">
        <v>1</v>
      </c>
      <c r="X7">
        <v>2021</v>
      </c>
      <c r="Z7" s="1" t="s">
        <v>1078</v>
      </c>
      <c r="AA7">
        <v>1</v>
      </c>
      <c r="AB7">
        <v>6</v>
      </c>
      <c r="AC7">
        <v>2021</v>
      </c>
      <c r="AD7" s="2"/>
      <c r="AE7" s="1" t="s">
        <v>1074</v>
      </c>
      <c r="AF7">
        <v>5</v>
      </c>
      <c r="AG7">
        <v>7</v>
      </c>
      <c r="AH7">
        <v>2021</v>
      </c>
      <c r="AJ7" s="1" t="s">
        <v>1076</v>
      </c>
      <c r="AK7" s="2">
        <v>652</v>
      </c>
      <c r="AL7" s="2"/>
      <c r="AM7" s="1" t="s">
        <v>1075</v>
      </c>
      <c r="AN7" s="2">
        <v>174</v>
      </c>
      <c r="AO7" s="60">
        <v>1</v>
      </c>
      <c r="AP7" s="60">
        <v>2021</v>
      </c>
      <c r="AQ7" s="20"/>
      <c r="AU7" s="7" t="s">
        <v>1132</v>
      </c>
      <c r="AV7" s="65">
        <f t="shared" ref="AV7:BG7" ca="1" si="7">SUMIF(PO_pend_M,AV$2,PO_pend_line)</f>
        <v>2</v>
      </c>
      <c r="AW7" s="65">
        <f t="shared" ca="1" si="7"/>
        <v>5</v>
      </c>
      <c r="AX7" s="65">
        <f t="shared" ca="1" si="7"/>
        <v>23</v>
      </c>
      <c r="AY7" s="65">
        <f t="shared" ca="1" si="7"/>
        <v>23</v>
      </c>
      <c r="AZ7" s="65">
        <f t="shared" ca="1" si="7"/>
        <v>44</v>
      </c>
      <c r="BA7" s="65">
        <f t="shared" ca="1" si="7"/>
        <v>27</v>
      </c>
      <c r="BB7" s="65">
        <f t="shared" ca="1" si="7"/>
        <v>55</v>
      </c>
      <c r="BC7" s="65">
        <f t="shared" ca="1" si="7"/>
        <v>127</v>
      </c>
      <c r="BD7" s="65">
        <f t="shared" ca="1" si="7"/>
        <v>98</v>
      </c>
      <c r="BE7" s="65">
        <f t="shared" ca="1" si="7"/>
        <v>0</v>
      </c>
      <c r="BF7" s="65">
        <f t="shared" ca="1" si="7"/>
        <v>0</v>
      </c>
      <c r="BG7" s="65">
        <f t="shared" ca="1" si="7"/>
        <v>0</v>
      </c>
      <c r="BH7" s="9">
        <f t="shared" ca="1" si="5"/>
        <v>404</v>
      </c>
      <c r="BI7" s="79"/>
      <c r="BL7" s="21" t="str">
        <f t="shared" si="2"/>
        <v>BUI NHU BAO</v>
      </c>
      <c r="BM7" s="7">
        <f t="shared" ca="1" si="6"/>
        <v>796</v>
      </c>
      <c r="BN7" s="7"/>
      <c r="BO7" s="7">
        <f t="shared" ca="1" si="3"/>
        <v>30</v>
      </c>
      <c r="BP7" s="7">
        <f t="shared" ca="1" si="3"/>
        <v>13</v>
      </c>
      <c r="BQ7" s="7">
        <f t="shared" ca="1" si="3"/>
        <v>14</v>
      </c>
      <c r="BR7" s="7">
        <f t="shared" ca="1" si="3"/>
        <v>15</v>
      </c>
      <c r="BS7" s="7">
        <f t="shared" ca="1" si="3"/>
        <v>12</v>
      </c>
      <c r="BT7" s="7">
        <f t="shared" ca="1" si="3"/>
        <v>83</v>
      </c>
      <c r="BU7" s="7">
        <f t="shared" ca="1" si="3"/>
        <v>238</v>
      </c>
      <c r="BV7" s="7">
        <f t="shared" ca="1" si="3"/>
        <v>270</v>
      </c>
      <c r="BW7" s="7">
        <f t="shared" ca="1" si="3"/>
        <v>121</v>
      </c>
      <c r="BX7" s="7">
        <f t="shared" ca="1" si="3"/>
        <v>0</v>
      </c>
      <c r="BY7" s="7">
        <f t="shared" ca="1" si="3"/>
        <v>0</v>
      </c>
      <c r="BZ7" s="7">
        <f t="shared" ca="1" si="3"/>
        <v>0</v>
      </c>
      <c r="CE7" s="1" t="s">
        <v>1077</v>
      </c>
      <c r="CF7" s="1" t="s">
        <v>1129</v>
      </c>
      <c r="CG7" s="2">
        <v>4</v>
      </c>
      <c r="CH7">
        <v>4</v>
      </c>
      <c r="CI7" s="1">
        <v>2021</v>
      </c>
    </row>
    <row r="8" spans="1:88">
      <c r="A8" s="1" t="s">
        <v>1079</v>
      </c>
      <c r="B8">
        <v>30</v>
      </c>
      <c r="C8">
        <v>1</v>
      </c>
      <c r="D8">
        <v>2021</v>
      </c>
      <c r="E8"/>
      <c r="F8" s="1" t="s">
        <v>1075</v>
      </c>
      <c r="G8">
        <v>39</v>
      </c>
      <c r="H8">
        <v>2</v>
      </c>
      <c r="I8">
        <v>2021</v>
      </c>
      <c r="K8" s="1" t="s">
        <v>1073</v>
      </c>
      <c r="L8">
        <v>1</v>
      </c>
      <c r="M8">
        <v>2</v>
      </c>
      <c r="N8">
        <v>2021</v>
      </c>
      <c r="P8" s="1" t="s">
        <v>1074</v>
      </c>
      <c r="Q8" s="2">
        <v>13</v>
      </c>
      <c r="R8">
        <v>6</v>
      </c>
      <c r="S8" s="1">
        <v>2021</v>
      </c>
      <c r="U8" s="1" t="s">
        <v>1075</v>
      </c>
      <c r="V8" s="2">
        <v>0.7567567567567568</v>
      </c>
      <c r="W8">
        <v>2</v>
      </c>
      <c r="X8">
        <v>2021</v>
      </c>
      <c r="Z8" s="1" t="s">
        <v>1075</v>
      </c>
      <c r="AA8">
        <v>1</v>
      </c>
      <c r="AB8">
        <v>7</v>
      </c>
      <c r="AC8">
        <v>2021</v>
      </c>
      <c r="AD8" s="2"/>
      <c r="AE8" s="1" t="s">
        <v>1076</v>
      </c>
      <c r="AF8">
        <v>4</v>
      </c>
      <c r="AG8">
        <v>7</v>
      </c>
      <c r="AH8">
        <v>2021</v>
      </c>
      <c r="AJ8" s="1" t="s">
        <v>1077</v>
      </c>
      <c r="AK8" s="2">
        <v>637</v>
      </c>
      <c r="AL8" s="2"/>
      <c r="AM8" s="1" t="s">
        <v>1075</v>
      </c>
      <c r="AN8" s="2">
        <v>39</v>
      </c>
      <c r="AO8" s="60">
        <v>2</v>
      </c>
      <c r="AP8" s="60">
        <v>2021</v>
      </c>
      <c r="AQ8" s="20"/>
      <c r="AU8" s="7" t="s">
        <v>1133</v>
      </c>
      <c r="AV8" s="7">
        <f t="shared" ref="AV8:BG8" ca="1" si="8">SUMIF(PO_Com_M,AV2,PO_Com_line)</f>
        <v>347</v>
      </c>
      <c r="AW8" s="7">
        <f t="shared" ca="1" si="8"/>
        <v>176</v>
      </c>
      <c r="AX8" s="7">
        <f t="shared" ca="1" si="8"/>
        <v>260</v>
      </c>
      <c r="AY8" s="7">
        <f t="shared" ca="1" si="8"/>
        <v>461</v>
      </c>
      <c r="AZ8" s="7">
        <f t="shared" ca="1" si="8"/>
        <v>377</v>
      </c>
      <c r="BA8" s="7">
        <f t="shared" ca="1" si="8"/>
        <v>412</v>
      </c>
      <c r="BB8" s="7">
        <f t="shared" ca="1" si="8"/>
        <v>212</v>
      </c>
      <c r="BC8" s="7">
        <f t="shared" ca="1" si="8"/>
        <v>217</v>
      </c>
      <c r="BD8" s="7">
        <f t="shared" ca="1" si="8"/>
        <v>10</v>
      </c>
      <c r="BE8" s="7">
        <f t="shared" ca="1" si="8"/>
        <v>0</v>
      </c>
      <c r="BF8" s="7">
        <f t="shared" ca="1" si="8"/>
        <v>0</v>
      </c>
      <c r="BG8" s="7">
        <f t="shared" ca="1" si="8"/>
        <v>0</v>
      </c>
      <c r="BH8" s="7">
        <f ca="1">SUM(AV8:BG8)</f>
        <v>2472</v>
      </c>
      <c r="BL8" s="21" t="str">
        <f t="shared" si="2"/>
        <v>DO MINH AN</v>
      </c>
      <c r="BM8" s="7">
        <f t="shared" ca="1" si="6"/>
        <v>306</v>
      </c>
      <c r="BN8" s="7"/>
      <c r="BO8" s="7">
        <f t="shared" ca="1" si="3"/>
        <v>42</v>
      </c>
      <c r="BP8" s="7">
        <f t="shared" ca="1" si="3"/>
        <v>20</v>
      </c>
      <c r="BQ8" s="7">
        <f t="shared" ca="1" si="3"/>
        <v>20</v>
      </c>
      <c r="BR8" s="7">
        <f t="shared" ca="1" si="3"/>
        <v>44</v>
      </c>
      <c r="BS8" s="7">
        <f t="shared" ca="1" si="3"/>
        <v>58</v>
      </c>
      <c r="BT8" s="7">
        <f t="shared" ca="1" si="3"/>
        <v>35</v>
      </c>
      <c r="BU8" s="7">
        <f t="shared" ca="1" si="3"/>
        <v>36</v>
      </c>
      <c r="BV8" s="7">
        <f t="shared" ca="1" si="3"/>
        <v>51</v>
      </c>
      <c r="BW8" s="7">
        <f t="shared" ca="1" si="3"/>
        <v>0</v>
      </c>
      <c r="BX8" s="7">
        <f t="shared" ca="1" si="3"/>
        <v>0</v>
      </c>
      <c r="BY8" s="7">
        <f t="shared" ca="1" si="3"/>
        <v>0</v>
      </c>
      <c r="BZ8" s="7">
        <f t="shared" ca="1" si="3"/>
        <v>0</v>
      </c>
      <c r="CE8" s="1" t="s">
        <v>1077</v>
      </c>
      <c r="CF8" s="1" t="s">
        <v>1129</v>
      </c>
      <c r="CG8" s="2">
        <v>1</v>
      </c>
      <c r="CH8">
        <v>6</v>
      </c>
      <c r="CI8" s="1">
        <v>2021</v>
      </c>
    </row>
    <row r="9" spans="1:88">
      <c r="A9" s="1" t="s">
        <v>1073</v>
      </c>
      <c r="B9">
        <v>44</v>
      </c>
      <c r="C9">
        <v>1</v>
      </c>
      <c r="D9">
        <v>2021</v>
      </c>
      <c r="E9"/>
      <c r="F9" s="1" t="s">
        <v>1075</v>
      </c>
      <c r="G9">
        <v>32</v>
      </c>
      <c r="H9">
        <v>3</v>
      </c>
      <c r="I9">
        <v>2021</v>
      </c>
      <c r="K9" s="1" t="s">
        <v>1078</v>
      </c>
      <c r="L9">
        <v>1</v>
      </c>
      <c r="M9">
        <v>2</v>
      </c>
      <c r="N9">
        <v>2021</v>
      </c>
      <c r="P9" s="1" t="s">
        <v>1074</v>
      </c>
      <c r="Q9" s="2">
        <v>32</v>
      </c>
      <c r="R9">
        <v>7</v>
      </c>
      <c r="S9" s="1">
        <v>2021</v>
      </c>
      <c r="U9" s="1" t="s">
        <v>1075</v>
      </c>
      <c r="V9" s="2">
        <v>1.868421052631579</v>
      </c>
      <c r="W9">
        <v>3</v>
      </c>
      <c r="X9">
        <v>2021</v>
      </c>
      <c r="Z9" s="1" t="s">
        <v>1074</v>
      </c>
      <c r="AA9">
        <v>4</v>
      </c>
      <c r="AB9">
        <v>7</v>
      </c>
      <c r="AC9">
        <v>2021</v>
      </c>
      <c r="AD9" s="2"/>
      <c r="AE9" s="1" t="s">
        <v>1073</v>
      </c>
      <c r="AF9">
        <v>20</v>
      </c>
      <c r="AG9">
        <v>7</v>
      </c>
      <c r="AH9">
        <v>2021</v>
      </c>
      <c r="AJ9" s="1" t="s">
        <v>1078</v>
      </c>
      <c r="AK9" s="2">
        <v>597</v>
      </c>
      <c r="AL9" s="2"/>
      <c r="AM9" s="1" t="s">
        <v>1075</v>
      </c>
      <c r="AN9" s="2">
        <v>32</v>
      </c>
      <c r="AO9" s="60">
        <v>3</v>
      </c>
      <c r="AP9" s="60">
        <v>2021</v>
      </c>
      <c r="AQ9" s="20"/>
      <c r="AU9" s="7" t="s">
        <v>1134</v>
      </c>
      <c r="AV9" s="66">
        <f t="shared" ref="AV9:BG9" ca="1" si="9">IFERROR(AVERAGEIF(PR_PO_avg_M,AV$2,PR_PO_avg_line),0)</f>
        <v>1.1211014546351086</v>
      </c>
      <c r="AW9" s="66">
        <f t="shared" ca="1" si="9"/>
        <v>2.7408146783146781</v>
      </c>
      <c r="AX9" s="66">
        <f t="shared" ca="1" si="9"/>
        <v>14.590358531797474</v>
      </c>
      <c r="AY9" s="66">
        <f t="shared" ca="1" si="9"/>
        <v>6.0167717321692811</v>
      </c>
      <c r="AZ9" s="66">
        <f t="shared" ca="1" si="9"/>
        <v>9.0357242822155097</v>
      </c>
      <c r="BA9" s="66">
        <f t="shared" ca="1" si="9"/>
        <v>3.2684921724800882</v>
      </c>
      <c r="BB9" s="66">
        <f t="shared" ca="1" si="9"/>
        <v>6.2835058843054279</v>
      </c>
      <c r="BC9" s="66">
        <f t="shared" ca="1" si="9"/>
        <v>4.0165227884526127</v>
      </c>
      <c r="BD9" s="66">
        <f t="shared" ca="1" si="9"/>
        <v>4.4805194805194803</v>
      </c>
      <c r="BE9" s="66">
        <f t="shared" ca="1" si="9"/>
        <v>0</v>
      </c>
      <c r="BF9" s="66">
        <f t="shared" ca="1" si="9"/>
        <v>0</v>
      </c>
      <c r="BG9" s="66">
        <f t="shared" ca="1" si="9"/>
        <v>0</v>
      </c>
      <c r="BH9" s="7">
        <f t="shared" ref="BH9:BH11" ca="1" si="10">SUM(AV9:BG9)</f>
        <v>51.55381100488966</v>
      </c>
      <c r="BL9" s="21" t="str">
        <f t="shared" si="2"/>
        <v>BUI BICH HAI</v>
      </c>
      <c r="BM9" s="7">
        <f t="shared" ca="1" si="6"/>
        <v>412</v>
      </c>
      <c r="BN9" s="7"/>
      <c r="BO9" s="7">
        <f t="shared" ca="1" si="3"/>
        <v>79</v>
      </c>
      <c r="BP9" s="7">
        <f t="shared" ca="1" si="3"/>
        <v>8</v>
      </c>
      <c r="BQ9" s="7">
        <f t="shared" ca="1" si="3"/>
        <v>22</v>
      </c>
      <c r="BR9" s="7">
        <f t="shared" ca="1" si="3"/>
        <v>74</v>
      </c>
      <c r="BS9" s="7">
        <f t="shared" ca="1" si="3"/>
        <v>61</v>
      </c>
      <c r="BT9" s="7">
        <f t="shared" ca="1" si="3"/>
        <v>61</v>
      </c>
      <c r="BU9" s="7">
        <f t="shared" ca="1" si="3"/>
        <v>37</v>
      </c>
      <c r="BV9" s="7">
        <f t="shared" ca="1" si="3"/>
        <v>36</v>
      </c>
      <c r="BW9" s="7">
        <f t="shared" ca="1" si="3"/>
        <v>34</v>
      </c>
      <c r="BX9" s="7">
        <f t="shared" ca="1" si="3"/>
        <v>0</v>
      </c>
      <c r="BY9" s="7">
        <f t="shared" ca="1" si="3"/>
        <v>0</v>
      </c>
      <c r="BZ9" s="7">
        <f t="shared" ca="1" si="3"/>
        <v>0</v>
      </c>
      <c r="CE9" s="1" t="s">
        <v>1077</v>
      </c>
      <c r="CF9" s="1" t="s">
        <v>1135</v>
      </c>
      <c r="CG9" s="2">
        <v>1</v>
      </c>
      <c r="CH9">
        <v>3</v>
      </c>
      <c r="CI9" s="1">
        <v>2021</v>
      </c>
    </row>
    <row r="10" spans="1:88">
      <c r="A10" s="1" t="s">
        <v>1078</v>
      </c>
      <c r="B10">
        <v>71</v>
      </c>
      <c r="C10">
        <v>1</v>
      </c>
      <c r="D10">
        <v>2021</v>
      </c>
      <c r="E10"/>
      <c r="F10" s="1" t="s">
        <v>1075</v>
      </c>
      <c r="G10">
        <v>16</v>
      </c>
      <c r="H10">
        <v>4</v>
      </c>
      <c r="I10">
        <v>2021</v>
      </c>
      <c r="K10" s="1" t="s">
        <v>1076</v>
      </c>
      <c r="L10">
        <v>3</v>
      </c>
      <c r="M10">
        <v>3</v>
      </c>
      <c r="N10">
        <v>2021</v>
      </c>
      <c r="P10" s="1" t="s">
        <v>1074</v>
      </c>
      <c r="Q10" s="2">
        <v>110</v>
      </c>
      <c r="R10">
        <v>8</v>
      </c>
      <c r="S10" s="1">
        <v>2021</v>
      </c>
      <c r="U10" s="1" t="s">
        <v>1075</v>
      </c>
      <c r="V10" s="2">
        <v>0.8125</v>
      </c>
      <c r="W10">
        <v>4</v>
      </c>
      <c r="X10">
        <v>2021</v>
      </c>
      <c r="Z10" s="1" t="s">
        <v>1076</v>
      </c>
      <c r="AA10">
        <v>4</v>
      </c>
      <c r="AB10">
        <v>7</v>
      </c>
      <c r="AC10">
        <v>2021</v>
      </c>
      <c r="AD10" s="2"/>
      <c r="AE10" s="1" t="s">
        <v>1073</v>
      </c>
      <c r="AF10">
        <v>9</v>
      </c>
      <c r="AG10">
        <v>8</v>
      </c>
      <c r="AH10">
        <v>2021</v>
      </c>
      <c r="AJ10" s="1" t="s">
        <v>1079</v>
      </c>
      <c r="AK10" s="2">
        <v>340</v>
      </c>
      <c r="AL10" s="2"/>
      <c r="AM10" s="1" t="s">
        <v>1075</v>
      </c>
      <c r="AN10" s="2">
        <v>16</v>
      </c>
      <c r="AO10" s="60">
        <v>4</v>
      </c>
      <c r="AP10" s="60">
        <v>2021</v>
      </c>
      <c r="AQ10" s="20"/>
      <c r="AU10" s="7" t="s">
        <v>1119</v>
      </c>
      <c r="AV10" s="7">
        <f t="shared" ref="AV10:BG10" ca="1" si="11">SUMIF(PR_Urgent_Mon,AV$2,PR_Urgent_Total)</f>
        <v>0</v>
      </c>
      <c r="AW10" s="7">
        <f t="shared" ca="1" si="11"/>
        <v>0</v>
      </c>
      <c r="AX10" s="7">
        <f t="shared" ca="1" si="11"/>
        <v>0</v>
      </c>
      <c r="AY10" s="7">
        <f t="shared" ca="1" si="11"/>
        <v>0</v>
      </c>
      <c r="AZ10" s="7">
        <f t="shared" ca="1" si="11"/>
        <v>18</v>
      </c>
      <c r="BA10" s="7">
        <f t="shared" ca="1" si="11"/>
        <v>25</v>
      </c>
      <c r="BB10" s="7">
        <f t="shared" ca="1" si="11"/>
        <v>34</v>
      </c>
      <c r="BC10" s="7">
        <f t="shared" ca="1" si="11"/>
        <v>43</v>
      </c>
      <c r="BD10" s="7">
        <f t="shared" ca="1" si="11"/>
        <v>14</v>
      </c>
      <c r="BE10" s="7">
        <f t="shared" ca="1" si="11"/>
        <v>0</v>
      </c>
      <c r="BF10" s="7">
        <f t="shared" ca="1" si="11"/>
        <v>0</v>
      </c>
      <c r="BG10" s="7">
        <f t="shared" ca="1" si="11"/>
        <v>0</v>
      </c>
      <c r="BH10" s="7">
        <f t="shared" ca="1" si="10"/>
        <v>134</v>
      </c>
      <c r="BI10" s="75">
        <f ca="1">BH10/BH4</f>
        <v>3.4131431482424861E-2</v>
      </c>
      <c r="BL10" s="21" t="str">
        <f t="shared" si="2"/>
        <v>TRAN BICH HANG</v>
      </c>
      <c r="BM10" s="7">
        <f t="shared" ca="1" si="6"/>
        <v>320</v>
      </c>
      <c r="BN10" s="7"/>
      <c r="BO10" s="7">
        <f t="shared" ca="1" si="3"/>
        <v>71</v>
      </c>
      <c r="BP10" s="7">
        <f t="shared" ca="1" si="3"/>
        <v>37</v>
      </c>
      <c r="BQ10" s="7">
        <f t="shared" ca="1" si="3"/>
        <v>53</v>
      </c>
      <c r="BR10" s="7">
        <f t="shared" ca="1" si="3"/>
        <v>67</v>
      </c>
      <c r="BS10" s="7">
        <f t="shared" ca="1" si="3"/>
        <v>67</v>
      </c>
      <c r="BT10" s="7">
        <f t="shared" ca="1" si="3"/>
        <v>25</v>
      </c>
      <c r="BU10" s="7">
        <f t="shared" ca="1" si="3"/>
        <v>0</v>
      </c>
      <c r="BV10" s="7">
        <f t="shared" ca="1" si="3"/>
        <v>0</v>
      </c>
      <c r="BW10" s="7">
        <f t="shared" ca="1" si="3"/>
        <v>0</v>
      </c>
      <c r="BX10" s="7">
        <f t="shared" ca="1" si="3"/>
        <v>0</v>
      </c>
      <c r="BY10" s="7">
        <f t="shared" ca="1" si="3"/>
        <v>0</v>
      </c>
      <c r="BZ10" s="7">
        <f t="shared" ca="1" si="3"/>
        <v>0</v>
      </c>
      <c r="CE10" s="1" t="s">
        <v>1077</v>
      </c>
      <c r="CF10" s="1" t="s">
        <v>1135</v>
      </c>
      <c r="CG10" s="2">
        <v>78</v>
      </c>
      <c r="CH10">
        <v>4</v>
      </c>
      <c r="CI10" s="1">
        <v>2021</v>
      </c>
    </row>
    <row r="11" spans="1:88">
      <c r="A11" s="1" t="s">
        <v>1077</v>
      </c>
      <c r="B11">
        <v>8</v>
      </c>
      <c r="C11">
        <v>2</v>
      </c>
      <c r="D11">
        <v>2021</v>
      </c>
      <c r="E11"/>
      <c r="F11" s="1" t="s">
        <v>1075</v>
      </c>
      <c r="G11">
        <v>2</v>
      </c>
      <c r="H11">
        <v>5</v>
      </c>
      <c r="I11">
        <v>2021</v>
      </c>
      <c r="K11" s="1" t="s">
        <v>1078</v>
      </c>
      <c r="L11">
        <v>1</v>
      </c>
      <c r="M11">
        <v>3</v>
      </c>
      <c r="N11">
        <v>2021</v>
      </c>
      <c r="P11" s="1" t="s">
        <v>1074</v>
      </c>
      <c r="Q11" s="2">
        <v>76</v>
      </c>
      <c r="R11">
        <v>9</v>
      </c>
      <c r="S11" s="1">
        <v>2021</v>
      </c>
      <c r="U11" s="1" t="s">
        <v>1075</v>
      </c>
      <c r="V11" s="2">
        <v>11.333333333333334</v>
      </c>
      <c r="W11">
        <v>5</v>
      </c>
      <c r="X11">
        <v>2021</v>
      </c>
      <c r="Z11" s="1" t="s">
        <v>1079</v>
      </c>
      <c r="AA11">
        <v>5</v>
      </c>
      <c r="AB11">
        <v>7</v>
      </c>
      <c r="AC11">
        <v>2021</v>
      </c>
      <c r="AD11" s="2"/>
      <c r="AF11" s="2"/>
      <c r="AG11" s="2"/>
      <c r="AH11" s="2"/>
      <c r="AI11" s="2"/>
      <c r="AL11" s="2"/>
      <c r="AM11" s="1" t="s">
        <v>1075</v>
      </c>
      <c r="AN11" s="2">
        <v>2</v>
      </c>
      <c r="AO11" s="60">
        <v>5</v>
      </c>
      <c r="AP11" s="60">
        <v>2021</v>
      </c>
      <c r="AQ11" s="20"/>
      <c r="AU11" s="7" t="s">
        <v>1136</v>
      </c>
      <c r="AV11" s="7">
        <f t="shared" ref="AV11:BG11" ca="1" si="12">SUMIF(PR_Urgent_Com_M,AV$2,PR_Urgent_Com_line)</f>
        <v>0</v>
      </c>
      <c r="AW11" s="7">
        <f t="shared" ca="1" si="12"/>
        <v>0</v>
      </c>
      <c r="AX11" s="7">
        <f t="shared" ca="1" si="12"/>
        <v>0</v>
      </c>
      <c r="AY11" s="7">
        <f t="shared" ca="1" si="12"/>
        <v>0</v>
      </c>
      <c r="AZ11" s="7">
        <f t="shared" ca="1" si="12"/>
        <v>9</v>
      </c>
      <c r="BA11" s="7">
        <f t="shared" ca="1" si="12"/>
        <v>25</v>
      </c>
      <c r="BB11" s="7">
        <f t="shared" ca="1" si="12"/>
        <v>29</v>
      </c>
      <c r="BC11" s="7">
        <f t="shared" ca="1" si="12"/>
        <v>9</v>
      </c>
      <c r="BD11" s="7">
        <f t="shared" ca="1" si="12"/>
        <v>0</v>
      </c>
      <c r="BE11" s="7">
        <f t="shared" ca="1" si="12"/>
        <v>0</v>
      </c>
      <c r="BF11" s="7">
        <f t="shared" ca="1" si="12"/>
        <v>0</v>
      </c>
      <c r="BG11" s="7">
        <f t="shared" ca="1" si="12"/>
        <v>0</v>
      </c>
      <c r="BH11" s="7">
        <f t="shared" ca="1" si="10"/>
        <v>72</v>
      </c>
      <c r="BI11" s="75">
        <f ca="1">BH11/BH10</f>
        <v>0.53731343283582089</v>
      </c>
      <c r="BL11" s="21" t="str">
        <f t="shared" si="2"/>
        <v>DO NGOC HA</v>
      </c>
      <c r="BM11" s="7">
        <f t="shared" ca="1" si="6"/>
        <v>209</v>
      </c>
      <c r="BN11" s="7"/>
      <c r="BO11" s="7">
        <f t="shared" ca="1" si="3"/>
        <v>30</v>
      </c>
      <c r="BP11" s="7">
        <f t="shared" ca="1" si="3"/>
        <v>16</v>
      </c>
      <c r="BQ11" s="7">
        <f t="shared" ca="1" si="3"/>
        <v>41</v>
      </c>
      <c r="BR11" s="7">
        <f t="shared" ca="1" si="3"/>
        <v>22</v>
      </c>
      <c r="BS11" s="7">
        <f t="shared" ca="1" si="3"/>
        <v>19</v>
      </c>
      <c r="BT11" s="7">
        <f t="shared" ca="1" si="3"/>
        <v>19</v>
      </c>
      <c r="BU11" s="7">
        <f t="shared" ca="1" si="3"/>
        <v>24</v>
      </c>
      <c r="BV11" s="7">
        <f t="shared" ca="1" si="3"/>
        <v>31</v>
      </c>
      <c r="BW11" s="7">
        <f t="shared" ca="1" si="3"/>
        <v>7</v>
      </c>
      <c r="BX11" s="7">
        <f t="shared" ca="1" si="3"/>
        <v>0</v>
      </c>
      <c r="BY11" s="7">
        <f t="shared" ca="1" si="3"/>
        <v>0</v>
      </c>
      <c r="BZ11" s="7">
        <f t="shared" ca="1" si="3"/>
        <v>0</v>
      </c>
      <c r="CE11" s="1" t="s">
        <v>1077</v>
      </c>
      <c r="CF11" s="1" t="s">
        <v>1135</v>
      </c>
      <c r="CG11" s="2">
        <v>32</v>
      </c>
      <c r="CH11">
        <v>5</v>
      </c>
      <c r="CI11" s="1">
        <v>2021</v>
      </c>
    </row>
    <row r="12" spans="1:88">
      <c r="A12" s="1" t="s">
        <v>1075</v>
      </c>
      <c r="B12">
        <v>13</v>
      </c>
      <c r="C12">
        <v>2</v>
      </c>
      <c r="D12">
        <v>2021</v>
      </c>
      <c r="E12"/>
      <c r="F12" s="1" t="s">
        <v>1075</v>
      </c>
      <c r="G12">
        <v>1</v>
      </c>
      <c r="H12">
        <v>6</v>
      </c>
      <c r="I12">
        <v>2021</v>
      </c>
      <c r="K12" s="1" t="s">
        <v>1077</v>
      </c>
      <c r="L12">
        <v>2</v>
      </c>
      <c r="M12">
        <v>4</v>
      </c>
      <c r="N12">
        <v>2021</v>
      </c>
      <c r="P12" s="1" t="s">
        <v>1076</v>
      </c>
      <c r="Q12" s="2">
        <v>2</v>
      </c>
      <c r="R12">
        <v>1</v>
      </c>
      <c r="S12" s="1">
        <v>2021</v>
      </c>
      <c r="U12" s="1" t="s">
        <v>1075</v>
      </c>
      <c r="V12" s="2">
        <v>0</v>
      </c>
      <c r="W12">
        <v>6</v>
      </c>
      <c r="X12">
        <v>2021</v>
      </c>
      <c r="Z12" s="1" t="s">
        <v>1073</v>
      </c>
      <c r="AA12">
        <v>20</v>
      </c>
      <c r="AB12">
        <v>7</v>
      </c>
      <c r="AC12">
        <v>2021</v>
      </c>
      <c r="AD12" s="2"/>
      <c r="AF12" s="2"/>
      <c r="AG12" s="2"/>
      <c r="AH12" s="2"/>
      <c r="AI12" s="2"/>
      <c r="AL12" s="2"/>
      <c r="AM12" s="1" t="s">
        <v>1075</v>
      </c>
      <c r="AN12" s="2">
        <v>1</v>
      </c>
      <c r="AO12" s="60">
        <v>6</v>
      </c>
      <c r="AP12" s="60">
        <v>2021</v>
      </c>
      <c r="AQ12" s="20"/>
      <c r="BL12" s="21" t="s">
        <v>134</v>
      </c>
      <c r="BM12" s="7">
        <f ca="1">SUM(BO12:BZ12)</f>
        <v>3926</v>
      </c>
      <c r="BN12" s="7"/>
      <c r="BO12" s="7">
        <f ca="1">SUM(BO5:BO11)</f>
        <v>363</v>
      </c>
      <c r="BP12" s="7">
        <f t="shared" ref="BP12:BZ12" ca="1" si="13">SUM(BP5:BP11)</f>
        <v>190</v>
      </c>
      <c r="BQ12" s="7">
        <f t="shared" ca="1" si="13"/>
        <v>252</v>
      </c>
      <c r="BR12" s="7">
        <f t="shared" ca="1" si="13"/>
        <v>447</v>
      </c>
      <c r="BS12" s="7">
        <f t="shared" ca="1" si="13"/>
        <v>465</v>
      </c>
      <c r="BT12" s="7">
        <f t="shared" ca="1" si="13"/>
        <v>562</v>
      </c>
      <c r="BU12" s="7">
        <f t="shared" ca="1" si="13"/>
        <v>574</v>
      </c>
      <c r="BV12" s="7">
        <f t="shared" ca="1" si="13"/>
        <v>748</v>
      </c>
      <c r="BW12" s="7">
        <f t="shared" ca="1" si="13"/>
        <v>325</v>
      </c>
      <c r="BX12" s="7">
        <f t="shared" ca="1" si="13"/>
        <v>0</v>
      </c>
      <c r="BY12" s="7">
        <f t="shared" ca="1" si="13"/>
        <v>0</v>
      </c>
      <c r="BZ12" s="7">
        <f t="shared" ca="1" si="13"/>
        <v>0</v>
      </c>
      <c r="CE12" s="1" t="s">
        <v>1075</v>
      </c>
      <c r="CF12" s="1" t="s">
        <v>1129</v>
      </c>
      <c r="CG12" s="2">
        <v>31</v>
      </c>
      <c r="CH12">
        <v>1</v>
      </c>
      <c r="CI12" s="1">
        <v>2021</v>
      </c>
    </row>
    <row r="13" spans="1:88">
      <c r="A13" s="1" t="s">
        <v>1074</v>
      </c>
      <c r="B13" s="2">
        <v>59</v>
      </c>
      <c r="C13">
        <v>2</v>
      </c>
      <c r="D13">
        <v>2021</v>
      </c>
      <c r="E13"/>
      <c r="F13" s="1" t="s">
        <v>1074</v>
      </c>
      <c r="G13" s="3">
        <v>128</v>
      </c>
      <c r="H13">
        <v>1</v>
      </c>
      <c r="I13">
        <v>2021</v>
      </c>
      <c r="K13" s="1" t="s">
        <v>1075</v>
      </c>
      <c r="L13">
        <v>2</v>
      </c>
      <c r="M13">
        <v>4</v>
      </c>
      <c r="N13">
        <v>2021</v>
      </c>
      <c r="P13" s="1" t="s">
        <v>1076</v>
      </c>
      <c r="Q13" s="2">
        <v>4</v>
      </c>
      <c r="R13">
        <v>2</v>
      </c>
      <c r="S13" s="1">
        <v>2021</v>
      </c>
      <c r="U13" s="1" t="s">
        <v>1074</v>
      </c>
      <c r="V13" s="2">
        <v>0.53125</v>
      </c>
      <c r="W13">
        <v>1</v>
      </c>
      <c r="X13">
        <v>2021</v>
      </c>
      <c r="Z13" s="1" t="s">
        <v>1075</v>
      </c>
      <c r="AA13">
        <v>5</v>
      </c>
      <c r="AB13">
        <v>8</v>
      </c>
      <c r="AC13">
        <v>2021</v>
      </c>
      <c r="AD13" s="2"/>
      <c r="AF13" s="2"/>
      <c r="AG13" s="2"/>
      <c r="AH13" s="2"/>
      <c r="AI13" s="2"/>
      <c r="AL13" s="2"/>
      <c r="AM13" s="1" t="s">
        <v>1074</v>
      </c>
      <c r="AN13" s="2">
        <v>128</v>
      </c>
      <c r="AO13" s="60">
        <v>1</v>
      </c>
      <c r="AP13" s="60">
        <v>2021</v>
      </c>
      <c r="AQ13" s="20"/>
      <c r="AU13" t="s">
        <v>1137</v>
      </c>
      <c r="AV13" s="78">
        <f ca="1">AV6/$BH$6</f>
        <v>2.3923444976076554E-3</v>
      </c>
      <c r="AW13" s="78">
        <f t="shared" ref="AW13:BG13" ca="1" si="14">AW6/$BH$6</f>
        <v>2.3923444976076554E-3</v>
      </c>
      <c r="AX13" s="78">
        <f t="shared" ca="1" si="14"/>
        <v>3.189792663476874E-3</v>
      </c>
      <c r="AY13" s="74">
        <f t="shared" ca="1" si="14"/>
        <v>5.5821371610845294E-3</v>
      </c>
      <c r="AZ13" s="74">
        <f t="shared" ca="1" si="14"/>
        <v>5.1834130781499205E-2</v>
      </c>
      <c r="BA13" s="74">
        <f t="shared" ca="1" si="14"/>
        <v>0.14912280701754385</v>
      </c>
      <c r="BB13" s="74">
        <f t="shared" ca="1" si="14"/>
        <v>0.259170653907496</v>
      </c>
      <c r="BC13" s="74">
        <f t="shared" ca="1" si="14"/>
        <v>0.33253588516746413</v>
      </c>
      <c r="BD13" s="74">
        <f t="shared" ca="1" si="14"/>
        <v>0.19377990430622011</v>
      </c>
      <c r="BE13" s="74">
        <f t="shared" ca="1" si="14"/>
        <v>0</v>
      </c>
      <c r="BF13" s="74">
        <f t="shared" ca="1" si="14"/>
        <v>0</v>
      </c>
      <c r="BG13" s="74">
        <f t="shared" ca="1" si="14"/>
        <v>0</v>
      </c>
      <c r="CE13" s="1" t="s">
        <v>1075</v>
      </c>
      <c r="CF13" s="1" t="s">
        <v>1129</v>
      </c>
      <c r="CG13" s="2">
        <v>7</v>
      </c>
      <c r="CH13">
        <v>2</v>
      </c>
      <c r="CI13" s="1">
        <v>2021</v>
      </c>
    </row>
    <row r="14" spans="1:88">
      <c r="A14" s="1" t="s">
        <v>1076</v>
      </c>
      <c r="B14">
        <v>20</v>
      </c>
      <c r="C14">
        <v>2</v>
      </c>
      <c r="D14">
        <v>2021</v>
      </c>
      <c r="E14"/>
      <c r="F14" s="1" t="s">
        <v>1074</v>
      </c>
      <c r="G14" s="3">
        <v>89</v>
      </c>
      <c r="H14">
        <v>2</v>
      </c>
      <c r="I14">
        <v>2021</v>
      </c>
      <c r="K14" s="1" t="s">
        <v>1076</v>
      </c>
      <c r="L14">
        <v>1</v>
      </c>
      <c r="M14">
        <v>4</v>
      </c>
      <c r="N14">
        <v>2021</v>
      </c>
      <c r="P14" s="1" t="s">
        <v>1076</v>
      </c>
      <c r="Q14" s="2">
        <v>1</v>
      </c>
      <c r="R14">
        <v>3</v>
      </c>
      <c r="S14" s="1">
        <v>2021</v>
      </c>
      <c r="U14" s="1" t="s">
        <v>1074</v>
      </c>
      <c r="V14" s="2">
        <v>1.375</v>
      </c>
      <c r="W14">
        <v>2</v>
      </c>
      <c r="X14">
        <v>2021</v>
      </c>
      <c r="Z14" s="1" t="s">
        <v>1074</v>
      </c>
      <c r="AA14">
        <v>29</v>
      </c>
      <c r="AB14">
        <v>8</v>
      </c>
      <c r="AC14">
        <v>2021</v>
      </c>
      <c r="AD14" s="2"/>
      <c r="AF14" s="2"/>
      <c r="AG14" s="2"/>
      <c r="AH14" s="2"/>
      <c r="AI14" s="2"/>
      <c r="AL14" s="2"/>
      <c r="AM14" s="1" t="s">
        <v>1074</v>
      </c>
      <c r="AN14" s="2">
        <v>89</v>
      </c>
      <c r="AO14" s="60">
        <v>2</v>
      </c>
      <c r="AP14" s="60">
        <v>2021</v>
      </c>
      <c r="AQ14" s="20"/>
      <c r="AU14" t="s">
        <v>1138</v>
      </c>
      <c r="AV14" s="78">
        <f ca="1">AV7/$BH$7</f>
        <v>4.9504950495049506E-3</v>
      </c>
      <c r="AW14" s="74">
        <f t="shared" ref="AW14:BG14" ca="1" si="15">AW7/$BH$7</f>
        <v>1.2376237623762377E-2</v>
      </c>
      <c r="AX14" s="74">
        <f t="shared" ca="1" si="15"/>
        <v>5.6930693069306933E-2</v>
      </c>
      <c r="AY14" s="74">
        <f t="shared" ca="1" si="15"/>
        <v>5.6930693069306933E-2</v>
      </c>
      <c r="AZ14" s="74">
        <f t="shared" ca="1" si="15"/>
        <v>0.10891089108910891</v>
      </c>
      <c r="BA14" s="74">
        <f t="shared" ca="1" si="15"/>
        <v>6.6831683168316836E-2</v>
      </c>
      <c r="BB14" s="74">
        <f t="shared" ca="1" si="15"/>
        <v>0.13613861386138615</v>
      </c>
      <c r="BC14" s="74">
        <f t="shared" ca="1" si="15"/>
        <v>0.31435643564356436</v>
      </c>
      <c r="BD14" s="74">
        <f t="shared" ca="1" si="15"/>
        <v>0.24257425742574257</v>
      </c>
      <c r="BE14" s="74">
        <f t="shared" ca="1" si="15"/>
        <v>0</v>
      </c>
      <c r="BF14" s="74">
        <f t="shared" ca="1" si="15"/>
        <v>0</v>
      </c>
      <c r="BG14" s="74">
        <f t="shared" ca="1" si="15"/>
        <v>0</v>
      </c>
      <c r="CE14" s="1" t="s">
        <v>1075</v>
      </c>
      <c r="CF14" s="1" t="s">
        <v>1129</v>
      </c>
      <c r="CG14" s="2">
        <v>2</v>
      </c>
      <c r="CH14">
        <v>3</v>
      </c>
      <c r="CI14" s="1">
        <v>2021</v>
      </c>
    </row>
    <row r="15" spans="1:88">
      <c r="A15" s="1" t="s">
        <v>1079</v>
      </c>
      <c r="B15">
        <v>16</v>
      </c>
      <c r="C15">
        <v>2</v>
      </c>
      <c r="D15">
        <v>2021</v>
      </c>
      <c r="E15"/>
      <c r="F15" s="1" t="s">
        <v>1074</v>
      </c>
      <c r="G15" s="3">
        <v>149</v>
      </c>
      <c r="H15">
        <v>3</v>
      </c>
      <c r="I15">
        <v>2021</v>
      </c>
      <c r="K15" s="1" t="s">
        <v>1073</v>
      </c>
      <c r="L15">
        <v>1</v>
      </c>
      <c r="M15">
        <v>4</v>
      </c>
      <c r="N15">
        <v>2021</v>
      </c>
      <c r="P15" s="1" t="s">
        <v>1076</v>
      </c>
      <c r="Q15" s="2">
        <v>3</v>
      </c>
      <c r="R15">
        <v>4</v>
      </c>
      <c r="S15" s="1">
        <v>2021</v>
      </c>
      <c r="U15" s="1" t="s">
        <v>1074</v>
      </c>
      <c r="V15" s="2">
        <v>0.78666666666666663</v>
      </c>
      <c r="W15">
        <v>3</v>
      </c>
      <c r="X15">
        <v>2021</v>
      </c>
      <c r="Z15" s="1" t="s">
        <v>1073</v>
      </c>
      <c r="AA15">
        <v>9</v>
      </c>
      <c r="AB15">
        <v>8</v>
      </c>
      <c r="AC15">
        <v>2021</v>
      </c>
      <c r="AD15" s="2"/>
      <c r="AF15" s="2"/>
      <c r="AG15" s="2"/>
      <c r="AH15" s="2"/>
      <c r="AI15" s="2"/>
      <c r="AL15" s="2"/>
      <c r="AM15" s="1" t="s">
        <v>1074</v>
      </c>
      <c r="AN15" s="2">
        <v>149</v>
      </c>
      <c r="AO15" s="60">
        <v>3</v>
      </c>
      <c r="AP15" s="60">
        <v>2021</v>
      </c>
      <c r="AQ15" s="20"/>
      <c r="AV15">
        <v>1</v>
      </c>
      <c r="AW15">
        <v>1</v>
      </c>
      <c r="AX15">
        <v>1</v>
      </c>
      <c r="AY15">
        <v>1</v>
      </c>
      <c r="AZ15">
        <v>1</v>
      </c>
      <c r="BA15">
        <v>1</v>
      </c>
      <c r="BB15">
        <v>1</v>
      </c>
      <c r="BC15">
        <v>1</v>
      </c>
      <c r="BD15">
        <v>1</v>
      </c>
      <c r="BE15">
        <v>1</v>
      </c>
      <c r="BF15">
        <v>1</v>
      </c>
      <c r="BG15">
        <v>1</v>
      </c>
      <c r="BL15" s="44" t="s">
        <v>47</v>
      </c>
      <c r="BM15" s="42"/>
      <c r="BN15" s="42"/>
      <c r="BO15" s="43"/>
      <c r="BP15" s="43"/>
      <c r="BQ15" s="43"/>
      <c r="BR15" s="43"/>
      <c r="BS15" s="43"/>
      <c r="BT15" s="43"/>
      <c r="BU15" s="43"/>
      <c r="BV15" s="43"/>
      <c r="BW15" s="43"/>
      <c r="BX15" s="42"/>
      <c r="BY15" s="42"/>
      <c r="BZ15" s="42"/>
      <c r="CE15" s="1" t="s">
        <v>1075</v>
      </c>
      <c r="CF15" s="1" t="s">
        <v>1129</v>
      </c>
      <c r="CG15" s="2">
        <v>4</v>
      </c>
      <c r="CH15">
        <v>4</v>
      </c>
      <c r="CI15" s="1">
        <v>2021</v>
      </c>
    </row>
    <row r="16" spans="1:88">
      <c r="A16" s="1" t="s">
        <v>1073</v>
      </c>
      <c r="B16">
        <v>37</v>
      </c>
      <c r="C16">
        <v>2</v>
      </c>
      <c r="D16">
        <v>2021</v>
      </c>
      <c r="E16"/>
      <c r="F16" s="1" t="s">
        <v>1074</v>
      </c>
      <c r="G16" s="3">
        <v>251</v>
      </c>
      <c r="H16">
        <v>4</v>
      </c>
      <c r="I16">
        <v>2021</v>
      </c>
      <c r="K16" s="1" t="s">
        <v>1078</v>
      </c>
      <c r="L16">
        <v>1</v>
      </c>
      <c r="M16">
        <v>4</v>
      </c>
      <c r="N16">
        <v>2021</v>
      </c>
      <c r="P16" s="1" t="s">
        <v>1076</v>
      </c>
      <c r="Q16" s="2">
        <v>11</v>
      </c>
      <c r="R16">
        <v>5</v>
      </c>
      <c r="S16" s="1">
        <v>2021</v>
      </c>
      <c r="U16" s="1" t="s">
        <v>1074</v>
      </c>
      <c r="V16" s="2">
        <v>1.072289156626506</v>
      </c>
      <c r="W16">
        <v>4</v>
      </c>
      <c r="X16">
        <v>2021</v>
      </c>
      <c r="Z16" s="1" t="s">
        <v>1075</v>
      </c>
      <c r="AA16">
        <v>2</v>
      </c>
      <c r="AB16">
        <v>9</v>
      </c>
      <c r="AC16">
        <v>2021</v>
      </c>
      <c r="AD16" s="2"/>
      <c r="AF16" s="2"/>
      <c r="AG16" s="2"/>
      <c r="AH16" s="2"/>
      <c r="AI16" s="2"/>
      <c r="AL16" s="2"/>
      <c r="AM16" s="1" t="s">
        <v>1074</v>
      </c>
      <c r="AN16" s="2">
        <v>251</v>
      </c>
      <c r="AO16" s="60">
        <v>4</v>
      </c>
      <c r="AP16" s="60">
        <v>2021</v>
      </c>
      <c r="AQ16" s="20"/>
      <c r="BL16" s="21" t="s">
        <v>1080</v>
      </c>
      <c r="BM16" s="7" t="s">
        <v>1128</v>
      </c>
      <c r="BN16" s="7"/>
      <c r="BO16" s="13">
        <v>44197</v>
      </c>
      <c r="BP16" s="13">
        <v>44228</v>
      </c>
      <c r="BQ16" s="13">
        <v>44256</v>
      </c>
      <c r="BR16" s="13">
        <v>44287</v>
      </c>
      <c r="BS16" s="13">
        <v>44317</v>
      </c>
      <c r="BT16" s="13">
        <v>44348</v>
      </c>
      <c r="BU16" s="13">
        <v>44378</v>
      </c>
      <c r="BV16" s="13">
        <v>44409</v>
      </c>
      <c r="BW16" s="13">
        <v>44440</v>
      </c>
      <c r="BX16" s="13">
        <v>44470</v>
      </c>
      <c r="BY16" s="13">
        <v>44501</v>
      </c>
      <c r="BZ16" s="13">
        <v>44531</v>
      </c>
      <c r="CE16" s="1" t="s">
        <v>1075</v>
      </c>
      <c r="CF16" s="1" t="s">
        <v>1129</v>
      </c>
      <c r="CG16" s="2">
        <v>1</v>
      </c>
      <c r="CH16">
        <v>5</v>
      </c>
      <c r="CI16" s="1">
        <v>2021</v>
      </c>
    </row>
    <row r="17" spans="1:87">
      <c r="A17" s="1" t="s">
        <v>1078</v>
      </c>
      <c r="B17">
        <v>37</v>
      </c>
      <c r="C17">
        <v>2</v>
      </c>
      <c r="D17">
        <v>2021</v>
      </c>
      <c r="F17" s="1" t="s">
        <v>1074</v>
      </c>
      <c r="G17" s="3">
        <v>247</v>
      </c>
      <c r="H17">
        <v>5</v>
      </c>
      <c r="I17">
        <v>2021</v>
      </c>
      <c r="K17" s="1" t="s">
        <v>1077</v>
      </c>
      <c r="L17">
        <v>32</v>
      </c>
      <c r="M17">
        <v>5</v>
      </c>
      <c r="N17">
        <v>2021</v>
      </c>
      <c r="P17" s="1" t="s">
        <v>1076</v>
      </c>
      <c r="Q17" s="2">
        <v>2</v>
      </c>
      <c r="R17">
        <v>6</v>
      </c>
      <c r="S17" s="1">
        <v>2021</v>
      </c>
      <c r="U17" s="1" t="s">
        <v>1074</v>
      </c>
      <c r="V17" s="2">
        <v>0.69635627530364375</v>
      </c>
      <c r="W17">
        <v>5</v>
      </c>
      <c r="X17">
        <v>2021</v>
      </c>
      <c r="Z17" s="1" t="s">
        <v>1074</v>
      </c>
      <c r="AA17">
        <v>8</v>
      </c>
      <c r="AB17">
        <v>9</v>
      </c>
      <c r="AC17">
        <v>2021</v>
      </c>
      <c r="AD17" s="2"/>
      <c r="AF17" s="2"/>
      <c r="AG17" s="2"/>
      <c r="AH17" s="2"/>
      <c r="AI17" s="2"/>
      <c r="AL17" s="2"/>
      <c r="AM17" s="1" t="s">
        <v>1074</v>
      </c>
      <c r="AN17" s="2">
        <v>247</v>
      </c>
      <c r="AO17" s="60">
        <v>5</v>
      </c>
      <c r="AP17" s="60">
        <v>2021</v>
      </c>
      <c r="AQ17" s="20"/>
      <c r="AS17" s="40"/>
      <c r="AT17" s="41" t="s">
        <v>1139</v>
      </c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L17" s="6" t="str">
        <f t="shared" ref="BL17:BL23" si="16">AJ4</f>
        <v>DO TRUC LAM</v>
      </c>
      <c r="BM17" s="7">
        <f ca="1">SUM(BO17:BZ17)</f>
        <v>151</v>
      </c>
      <c r="BN17" s="7"/>
      <c r="BO17" s="7">
        <f t="shared" ref="BO17:BZ23" ca="1" si="17">SUMIFS(PO_total_line,PO_total_pro,$BL17,PO_total_M,MONTH(BO$16),PO_total_Y,YEAR(BO$16))</f>
        <v>8</v>
      </c>
      <c r="BP17" s="7">
        <f t="shared" ca="1" si="17"/>
        <v>9</v>
      </c>
      <c r="BQ17" s="7">
        <f t="shared" ca="1" si="17"/>
        <v>3</v>
      </c>
      <c r="BR17" s="7">
        <f t="shared" ca="1" si="17"/>
        <v>6</v>
      </c>
      <c r="BS17" s="7">
        <f t="shared" ca="1" si="17"/>
        <v>14</v>
      </c>
      <c r="BT17" s="7">
        <f t="shared" ca="1" si="17"/>
        <v>40</v>
      </c>
      <c r="BU17" s="7">
        <f t="shared" ca="1" si="17"/>
        <v>17</v>
      </c>
      <c r="BV17" s="7">
        <f t="shared" ca="1" si="17"/>
        <v>24</v>
      </c>
      <c r="BW17" s="7">
        <f t="shared" ca="1" si="17"/>
        <v>30</v>
      </c>
      <c r="BX17" s="7">
        <f t="shared" ca="1" si="17"/>
        <v>0</v>
      </c>
      <c r="BY17" s="7">
        <f t="shared" ca="1" si="17"/>
        <v>0</v>
      </c>
      <c r="BZ17" s="7">
        <f t="shared" ca="1" si="17"/>
        <v>0</v>
      </c>
      <c r="CE17" s="1" t="s">
        <v>1075</v>
      </c>
      <c r="CF17" s="1" t="s">
        <v>1129</v>
      </c>
      <c r="CG17" s="2">
        <v>1</v>
      </c>
      <c r="CH17">
        <v>12</v>
      </c>
      <c r="CI17" s="1">
        <v>2020</v>
      </c>
    </row>
    <row r="18" spans="1:87">
      <c r="A18" s="1" t="s">
        <v>1077</v>
      </c>
      <c r="B18">
        <v>22</v>
      </c>
      <c r="C18">
        <v>3</v>
      </c>
      <c r="D18">
        <v>2021</v>
      </c>
      <c r="F18" s="1" t="s">
        <v>1074</v>
      </c>
      <c r="G18" s="3">
        <v>330</v>
      </c>
      <c r="H18">
        <v>6</v>
      </c>
      <c r="I18">
        <v>2021</v>
      </c>
      <c r="K18" s="1" t="s">
        <v>1076</v>
      </c>
      <c r="L18">
        <v>4</v>
      </c>
      <c r="M18">
        <v>5</v>
      </c>
      <c r="N18">
        <v>2021</v>
      </c>
      <c r="P18" s="1" t="s">
        <v>1076</v>
      </c>
      <c r="Q18" s="2">
        <v>9</v>
      </c>
      <c r="R18">
        <v>7</v>
      </c>
      <c r="S18" s="1">
        <v>2021</v>
      </c>
      <c r="U18" s="1" t="s">
        <v>1074</v>
      </c>
      <c r="V18" s="2">
        <v>0.98791540785498488</v>
      </c>
      <c r="W18">
        <v>6</v>
      </c>
      <c r="X18">
        <v>2021</v>
      </c>
      <c r="Z18" s="1" t="s">
        <v>1073</v>
      </c>
      <c r="AA18">
        <v>4</v>
      </c>
      <c r="AB18">
        <v>9</v>
      </c>
      <c r="AC18">
        <v>2021</v>
      </c>
      <c r="AD18" s="2"/>
      <c r="AF18" s="2"/>
      <c r="AG18" s="2"/>
      <c r="AH18" s="2"/>
      <c r="AI18" s="2"/>
      <c r="AL18" s="2"/>
      <c r="AM18" s="1" t="s">
        <v>1074</v>
      </c>
      <c r="AN18" s="2">
        <v>317</v>
      </c>
      <c r="AO18" s="60">
        <v>6</v>
      </c>
      <c r="AP18" s="60">
        <v>2021</v>
      </c>
      <c r="AQ18" s="20"/>
      <c r="AU18" s="7" t="s">
        <v>1140</v>
      </c>
      <c r="AV18" s="11">
        <f ca="1">BH8/BH5</f>
        <v>0.87473460721868368</v>
      </c>
      <c r="AW18" s="12">
        <f ca="1">1-AV18</f>
        <v>0.12526539278131632</v>
      </c>
      <c r="BL18" s="6" t="str">
        <f t="shared" si="16"/>
        <v>DO MAI HA</v>
      </c>
      <c r="BM18" s="7">
        <f t="shared" ref="BM18:BM23" ca="1" si="18">SUM(BO18:BZ18)</f>
        <v>1742</v>
      </c>
      <c r="BN18" s="7"/>
      <c r="BO18" s="7">
        <f t="shared" ca="1" si="17"/>
        <v>128</v>
      </c>
      <c r="BP18" s="7">
        <f t="shared" ca="1" si="17"/>
        <v>89</v>
      </c>
      <c r="BQ18" s="7">
        <f t="shared" ca="1" si="17"/>
        <v>149</v>
      </c>
      <c r="BR18" s="7">
        <f t="shared" ca="1" si="17"/>
        <v>251</v>
      </c>
      <c r="BS18" s="7">
        <f t="shared" ca="1" si="17"/>
        <v>247</v>
      </c>
      <c r="BT18" s="7">
        <f t="shared" ca="1" si="17"/>
        <v>330</v>
      </c>
      <c r="BU18" s="7">
        <f t="shared" ca="1" si="17"/>
        <v>206</v>
      </c>
      <c r="BV18" s="7">
        <f t="shared" ca="1" si="17"/>
        <v>265</v>
      </c>
      <c r="BW18" s="7">
        <f t="shared" ca="1" si="17"/>
        <v>77</v>
      </c>
      <c r="BX18" s="7">
        <f t="shared" ca="1" si="17"/>
        <v>0</v>
      </c>
      <c r="BY18" s="7">
        <f t="shared" ca="1" si="17"/>
        <v>0</v>
      </c>
      <c r="BZ18" s="7">
        <f t="shared" ca="1" si="17"/>
        <v>0</v>
      </c>
      <c r="CE18" s="1" t="s">
        <v>1075</v>
      </c>
      <c r="CF18" s="1" t="s">
        <v>1141</v>
      </c>
      <c r="CG18" s="2">
        <v>1</v>
      </c>
      <c r="CH18">
        <v>1</v>
      </c>
      <c r="CI18" s="1">
        <v>2021</v>
      </c>
    </row>
    <row r="19" spans="1:87">
      <c r="A19" s="1" t="s">
        <v>1075</v>
      </c>
      <c r="B19">
        <v>14</v>
      </c>
      <c r="C19">
        <v>3</v>
      </c>
      <c r="D19">
        <v>2021</v>
      </c>
      <c r="F19" s="1" t="s">
        <v>1074</v>
      </c>
      <c r="G19" s="3">
        <v>206</v>
      </c>
      <c r="H19">
        <v>7</v>
      </c>
      <c r="I19">
        <v>2021</v>
      </c>
      <c r="K19" s="1" t="s">
        <v>1079</v>
      </c>
      <c r="L19">
        <v>1</v>
      </c>
      <c r="M19">
        <v>5</v>
      </c>
      <c r="N19">
        <v>2021</v>
      </c>
      <c r="P19" s="1" t="s">
        <v>1076</v>
      </c>
      <c r="Q19" s="2">
        <v>8</v>
      </c>
      <c r="R19">
        <v>8</v>
      </c>
      <c r="S19" s="1">
        <v>2021</v>
      </c>
      <c r="U19" s="1" t="s">
        <v>1074</v>
      </c>
      <c r="V19" s="2">
        <v>0.70873786407766992</v>
      </c>
      <c r="W19">
        <v>7</v>
      </c>
      <c r="X19">
        <v>2021</v>
      </c>
      <c r="AC19" s="1"/>
      <c r="AD19" s="2"/>
      <c r="AF19" s="2"/>
      <c r="AG19" s="2"/>
      <c r="AH19" s="2"/>
      <c r="AI19" s="2"/>
      <c r="AL19" s="2"/>
      <c r="AM19" s="1" t="s">
        <v>1074</v>
      </c>
      <c r="AN19" s="2">
        <v>174</v>
      </c>
      <c r="AO19" s="60">
        <v>7</v>
      </c>
      <c r="AP19" s="60">
        <v>2021</v>
      </c>
      <c r="AQ19" s="20"/>
      <c r="AU19" s="7" t="s">
        <v>1142</v>
      </c>
      <c r="AV19" s="39">
        <v>12</v>
      </c>
      <c r="AW19" s="39">
        <v>12</v>
      </c>
      <c r="AX19" s="39">
        <v>12</v>
      </c>
      <c r="AY19" s="39">
        <v>12</v>
      </c>
      <c r="AZ19" s="39">
        <v>12</v>
      </c>
      <c r="BA19" s="39">
        <v>12</v>
      </c>
      <c r="BB19" s="39">
        <v>12</v>
      </c>
      <c r="BC19" s="39">
        <v>12</v>
      </c>
      <c r="BD19" s="39">
        <v>12</v>
      </c>
      <c r="BE19" s="39">
        <v>12</v>
      </c>
      <c r="BF19" s="39">
        <v>12</v>
      </c>
      <c r="BG19" s="39">
        <v>12</v>
      </c>
      <c r="BK19" s="74">
        <f ca="1">BM17/BM5</f>
        <v>0.11370481927710843</v>
      </c>
      <c r="BL19" s="6" t="str">
        <f t="shared" si="16"/>
        <v>BUI NHU BAO</v>
      </c>
      <c r="BM19" s="7">
        <f t="shared" ca="1" si="18"/>
        <v>264</v>
      </c>
      <c r="BN19" s="7"/>
      <c r="BO19" s="7">
        <f t="shared" ca="1" si="17"/>
        <v>174</v>
      </c>
      <c r="BP19" s="7">
        <f t="shared" ca="1" si="17"/>
        <v>39</v>
      </c>
      <c r="BQ19" s="7">
        <f t="shared" ca="1" si="17"/>
        <v>32</v>
      </c>
      <c r="BR19" s="7">
        <f t="shared" ca="1" si="17"/>
        <v>16</v>
      </c>
      <c r="BS19" s="7">
        <f t="shared" ca="1" si="17"/>
        <v>2</v>
      </c>
      <c r="BT19" s="7">
        <f t="shared" ca="1" si="17"/>
        <v>1</v>
      </c>
      <c r="BU19" s="7">
        <f t="shared" ca="1" si="17"/>
        <v>0</v>
      </c>
      <c r="BV19" s="7">
        <f t="shared" ca="1" si="17"/>
        <v>0</v>
      </c>
      <c r="BW19" s="7">
        <f t="shared" ca="1" si="17"/>
        <v>0</v>
      </c>
      <c r="BX19" s="7">
        <f t="shared" ca="1" si="17"/>
        <v>0</v>
      </c>
      <c r="BY19" s="7">
        <f t="shared" ca="1" si="17"/>
        <v>0</v>
      </c>
      <c r="BZ19" s="7">
        <f t="shared" ca="1" si="17"/>
        <v>0</v>
      </c>
      <c r="CE19" s="1" t="s">
        <v>1075</v>
      </c>
      <c r="CF19" s="1" t="s">
        <v>1135</v>
      </c>
      <c r="CG19" s="2">
        <v>4</v>
      </c>
      <c r="CH19">
        <v>2</v>
      </c>
      <c r="CI19" s="1">
        <v>2021</v>
      </c>
    </row>
    <row r="20" spans="1:87">
      <c r="A20" s="1" t="s">
        <v>1074</v>
      </c>
      <c r="B20">
        <v>34</v>
      </c>
      <c r="C20">
        <v>3</v>
      </c>
      <c r="D20">
        <v>2021</v>
      </c>
      <c r="F20" s="1" t="s">
        <v>1074</v>
      </c>
      <c r="G20" s="3">
        <v>265</v>
      </c>
      <c r="H20">
        <v>8</v>
      </c>
      <c r="I20">
        <v>2021</v>
      </c>
      <c r="K20" s="1" t="s">
        <v>1073</v>
      </c>
      <c r="L20">
        <v>9</v>
      </c>
      <c r="M20">
        <v>5</v>
      </c>
      <c r="N20">
        <v>2021</v>
      </c>
      <c r="P20" s="1" t="s">
        <v>1079</v>
      </c>
      <c r="Q20" s="2">
        <v>4</v>
      </c>
      <c r="R20">
        <v>3</v>
      </c>
      <c r="S20" s="1">
        <v>2021</v>
      </c>
      <c r="U20" s="1" t="s">
        <v>1074</v>
      </c>
      <c r="V20" s="2">
        <v>0.84586466165413532</v>
      </c>
      <c r="W20">
        <v>8</v>
      </c>
      <c r="X20">
        <v>2021</v>
      </c>
      <c r="AM20" s="1" t="s">
        <v>1074</v>
      </c>
      <c r="AN20" s="2">
        <v>155</v>
      </c>
      <c r="AO20" s="60">
        <v>8</v>
      </c>
      <c r="AP20" s="60">
        <v>2021</v>
      </c>
      <c r="AQ20" s="20"/>
      <c r="AU20" s="14" t="s">
        <v>1143</v>
      </c>
      <c r="AV20" s="14">
        <f t="shared" ref="AV20:BG20" ca="1" si="19">IF(AV9&gt;12,1,0)</f>
        <v>0</v>
      </c>
      <c r="AW20" s="14">
        <f t="shared" ca="1" si="19"/>
        <v>0</v>
      </c>
      <c r="AX20" s="14">
        <f t="shared" ca="1" si="19"/>
        <v>1</v>
      </c>
      <c r="AY20" s="14">
        <f t="shared" ca="1" si="19"/>
        <v>0</v>
      </c>
      <c r="AZ20" s="14">
        <f t="shared" ca="1" si="19"/>
        <v>0</v>
      </c>
      <c r="BA20" s="14">
        <f t="shared" ca="1" si="19"/>
        <v>0</v>
      </c>
      <c r="BB20" s="14">
        <f t="shared" ca="1" si="19"/>
        <v>0</v>
      </c>
      <c r="BC20" s="14">
        <f t="shared" ca="1" si="19"/>
        <v>0</v>
      </c>
      <c r="BD20" s="14">
        <f t="shared" ca="1" si="19"/>
        <v>0</v>
      </c>
      <c r="BE20" s="14">
        <f t="shared" ca="1" si="19"/>
        <v>0</v>
      </c>
      <c r="BF20" s="14">
        <f t="shared" ca="1" si="19"/>
        <v>0</v>
      </c>
      <c r="BG20" s="14">
        <f t="shared" ca="1" si="19"/>
        <v>0</v>
      </c>
      <c r="BK20" s="74">
        <f ca="1">BM18/BM6</f>
        <v>3.1387387387387387</v>
      </c>
      <c r="BL20" s="6" t="str">
        <f t="shared" si="16"/>
        <v>DO MINH AN</v>
      </c>
      <c r="BM20" s="7">
        <f t="shared" ca="1" si="18"/>
        <v>344</v>
      </c>
      <c r="BN20" s="7"/>
      <c r="BO20" s="7">
        <f t="shared" ca="1" si="17"/>
        <v>39</v>
      </c>
      <c r="BP20" s="7">
        <f t="shared" ca="1" si="17"/>
        <v>25</v>
      </c>
      <c r="BQ20" s="7">
        <f t="shared" ca="1" si="17"/>
        <v>27</v>
      </c>
      <c r="BR20" s="7">
        <f t="shared" ca="1" si="17"/>
        <v>51</v>
      </c>
      <c r="BS20" s="7">
        <f t="shared" ca="1" si="17"/>
        <v>54</v>
      </c>
      <c r="BT20" s="7">
        <f t="shared" ca="1" si="17"/>
        <v>55</v>
      </c>
      <c r="BU20" s="7">
        <f t="shared" ca="1" si="17"/>
        <v>39</v>
      </c>
      <c r="BV20" s="7">
        <f t="shared" ca="1" si="17"/>
        <v>54</v>
      </c>
      <c r="BW20" s="7">
        <f t="shared" ca="1" si="17"/>
        <v>0</v>
      </c>
      <c r="BX20" s="7">
        <f t="shared" ca="1" si="17"/>
        <v>0</v>
      </c>
      <c r="BY20" s="7">
        <f t="shared" ca="1" si="17"/>
        <v>0</v>
      </c>
      <c r="BZ20" s="7">
        <f t="shared" ca="1" si="17"/>
        <v>0</v>
      </c>
      <c r="CE20" s="1" t="s">
        <v>1075</v>
      </c>
      <c r="CF20" s="1" t="s">
        <v>1135</v>
      </c>
      <c r="CG20" s="2">
        <v>12</v>
      </c>
      <c r="CH20">
        <v>3</v>
      </c>
      <c r="CI20" s="1">
        <v>2021</v>
      </c>
    </row>
    <row r="21" spans="1:87" ht="28.9">
      <c r="A21" s="1" t="s">
        <v>1076</v>
      </c>
      <c r="B21">
        <v>20</v>
      </c>
      <c r="C21">
        <v>3</v>
      </c>
      <c r="D21">
        <v>2021</v>
      </c>
      <c r="F21" s="1" t="s">
        <v>1074</v>
      </c>
      <c r="G21" s="3">
        <v>77</v>
      </c>
      <c r="H21">
        <v>9</v>
      </c>
      <c r="I21">
        <v>2021</v>
      </c>
      <c r="K21" s="1" t="s">
        <v>1078</v>
      </c>
      <c r="L21">
        <v>19</v>
      </c>
      <c r="M21">
        <v>5</v>
      </c>
      <c r="N21">
        <v>2021</v>
      </c>
      <c r="P21" s="1" t="s">
        <v>1073</v>
      </c>
      <c r="Q21" s="2">
        <v>2</v>
      </c>
      <c r="R21">
        <v>3</v>
      </c>
      <c r="S21" s="1">
        <v>2021</v>
      </c>
      <c r="U21" s="1" t="s">
        <v>1074</v>
      </c>
      <c r="V21" s="2">
        <v>0.96103896103896103</v>
      </c>
      <c r="W21">
        <v>9</v>
      </c>
      <c r="X21">
        <v>2021</v>
      </c>
      <c r="AJ21" s="3"/>
      <c r="AM21" s="1" t="s">
        <v>1074</v>
      </c>
      <c r="AN21" s="2">
        <v>1</v>
      </c>
      <c r="AO21" s="60">
        <v>9</v>
      </c>
      <c r="AP21" s="60">
        <v>2021</v>
      </c>
      <c r="AQ21" s="20"/>
      <c r="AU21" s="7" t="s">
        <v>1144</v>
      </c>
      <c r="AV21" s="7">
        <f t="shared" ref="AV21:BG21" ca="1" si="20">IF(AV4&lt;AV5,AV4,AV5)</f>
        <v>349</v>
      </c>
      <c r="AW21" s="7">
        <f t="shared" ca="1" si="20"/>
        <v>181</v>
      </c>
      <c r="AX21" s="7">
        <f t="shared" ca="1" si="20"/>
        <v>252</v>
      </c>
      <c r="AY21" s="7">
        <f t="shared" ca="1" si="20"/>
        <v>447</v>
      </c>
      <c r="AZ21" s="7">
        <f t="shared" ca="1" si="20"/>
        <v>408</v>
      </c>
      <c r="BA21" s="7">
        <f t="shared" ca="1" si="20"/>
        <v>427</v>
      </c>
      <c r="BB21" s="7">
        <f t="shared" ca="1" si="20"/>
        <v>262</v>
      </c>
      <c r="BC21" s="7">
        <f t="shared" ca="1" si="20"/>
        <v>343</v>
      </c>
      <c r="BD21" s="7">
        <f t="shared" ca="1" si="20"/>
        <v>107</v>
      </c>
      <c r="BE21" s="7">
        <f t="shared" ca="1" si="20"/>
        <v>0</v>
      </c>
      <c r="BF21" s="7">
        <f t="shared" ca="1" si="20"/>
        <v>0</v>
      </c>
      <c r="BG21" s="7">
        <f t="shared" ca="1" si="20"/>
        <v>0</v>
      </c>
      <c r="BK21" s="74">
        <f ca="1">BM19/BM7</f>
        <v>0.33165829145728642</v>
      </c>
      <c r="BL21" s="6" t="str">
        <f t="shared" si="16"/>
        <v>BUI BICH HAI</v>
      </c>
      <c r="BM21" s="7">
        <f t="shared" ca="1" si="18"/>
        <v>9</v>
      </c>
      <c r="BN21" s="7"/>
      <c r="BO21" s="7">
        <f t="shared" ca="1" si="17"/>
        <v>0</v>
      </c>
      <c r="BP21" s="7">
        <f t="shared" ca="1" si="17"/>
        <v>0</v>
      </c>
      <c r="BQ21" s="7">
        <f t="shared" ca="1" si="17"/>
        <v>4</v>
      </c>
      <c r="BR21" s="7">
        <f t="shared" ca="1" si="17"/>
        <v>3</v>
      </c>
      <c r="BS21" s="7">
        <f t="shared" ca="1" si="17"/>
        <v>2</v>
      </c>
      <c r="BT21" s="7">
        <f t="shared" ca="1" si="17"/>
        <v>0</v>
      </c>
      <c r="BU21" s="7">
        <f t="shared" ca="1" si="17"/>
        <v>0</v>
      </c>
      <c r="BV21" s="7">
        <f t="shared" ca="1" si="17"/>
        <v>0</v>
      </c>
      <c r="BW21" s="7">
        <f t="shared" ca="1" si="17"/>
        <v>0</v>
      </c>
      <c r="BX21" s="7">
        <f t="shared" ca="1" si="17"/>
        <v>0</v>
      </c>
      <c r="BY21" s="7">
        <f t="shared" ca="1" si="17"/>
        <v>0</v>
      </c>
      <c r="BZ21" s="7">
        <f t="shared" ca="1" si="17"/>
        <v>0</v>
      </c>
      <c r="CE21" s="1" t="s">
        <v>1075</v>
      </c>
      <c r="CF21" s="1" t="s">
        <v>1135</v>
      </c>
      <c r="CG21" s="2">
        <v>13</v>
      </c>
      <c r="CH21">
        <v>4</v>
      </c>
      <c r="CI21" s="1">
        <v>2021</v>
      </c>
    </row>
    <row r="22" spans="1:87" ht="28.9">
      <c r="A22" s="1" t="s">
        <v>1079</v>
      </c>
      <c r="B22">
        <v>41</v>
      </c>
      <c r="C22">
        <v>3</v>
      </c>
      <c r="D22">
        <v>2021</v>
      </c>
      <c r="F22" s="1" t="s">
        <v>1076</v>
      </c>
      <c r="G22" s="3">
        <v>39</v>
      </c>
      <c r="H22">
        <v>1</v>
      </c>
      <c r="I22">
        <v>2021</v>
      </c>
      <c r="K22" s="1" t="s">
        <v>1077</v>
      </c>
      <c r="L22">
        <v>58</v>
      </c>
      <c r="M22">
        <v>6</v>
      </c>
      <c r="N22">
        <v>2021</v>
      </c>
      <c r="P22" s="1" t="s">
        <v>1073</v>
      </c>
      <c r="Q22" s="2">
        <v>5</v>
      </c>
      <c r="R22">
        <v>4</v>
      </c>
      <c r="S22" s="1">
        <v>2021</v>
      </c>
      <c r="U22" s="1" t="s">
        <v>1076</v>
      </c>
      <c r="V22" s="2">
        <v>1.4871794871794872</v>
      </c>
      <c r="W22">
        <v>1</v>
      </c>
      <c r="X22">
        <v>2021</v>
      </c>
      <c r="AM22" s="1" t="s">
        <v>1076</v>
      </c>
      <c r="AN22" s="2">
        <v>37</v>
      </c>
      <c r="AO22" s="60">
        <v>1</v>
      </c>
      <c r="AP22" s="60">
        <v>2021</v>
      </c>
      <c r="AQ22" s="20"/>
      <c r="AU22" s="46" t="s">
        <v>48</v>
      </c>
      <c r="AV22" s="45">
        <f t="shared" ref="AV22:BG22" ca="1" si="21">IF(AV4-AV5&gt;0,AV4-AV5,NA())</f>
        <v>14</v>
      </c>
      <c r="AW22" s="7">
        <f t="shared" ca="1" si="21"/>
        <v>9</v>
      </c>
      <c r="AX22" s="7" t="e">
        <f t="shared" ca="1" si="21"/>
        <v>#N/A</v>
      </c>
      <c r="AY22" s="7" t="e">
        <f t="shared" ca="1" si="21"/>
        <v>#N/A</v>
      </c>
      <c r="AZ22" s="7">
        <f t="shared" ca="1" si="21"/>
        <v>57</v>
      </c>
      <c r="BA22" s="7">
        <f t="shared" ca="1" si="21"/>
        <v>135</v>
      </c>
      <c r="BB22" s="7">
        <f t="shared" ca="1" si="21"/>
        <v>312</v>
      </c>
      <c r="BC22" s="7">
        <f t="shared" ca="1" si="21"/>
        <v>405</v>
      </c>
      <c r="BD22" s="7">
        <f t="shared" ca="1" si="21"/>
        <v>218</v>
      </c>
      <c r="BE22" s="7" t="e">
        <f t="shared" ca="1" si="21"/>
        <v>#N/A</v>
      </c>
      <c r="BF22" s="7" t="e">
        <f t="shared" ca="1" si="21"/>
        <v>#N/A</v>
      </c>
      <c r="BG22" s="7" t="e">
        <f t="shared" ca="1" si="21"/>
        <v>#N/A</v>
      </c>
      <c r="BL22" s="6" t="str">
        <f t="shared" si="16"/>
        <v>TRAN BICH HANG</v>
      </c>
      <c r="BM22" s="7">
        <f t="shared" ca="1" si="18"/>
        <v>306</v>
      </c>
      <c r="BN22" s="7"/>
      <c r="BO22" s="7">
        <f t="shared" ca="1" si="17"/>
        <v>0</v>
      </c>
      <c r="BP22" s="7">
        <f t="shared" ca="1" si="17"/>
        <v>13</v>
      </c>
      <c r="BQ22" s="7">
        <f t="shared" ca="1" si="17"/>
        <v>54</v>
      </c>
      <c r="BR22" s="7">
        <f t="shared" ca="1" si="17"/>
        <v>149</v>
      </c>
      <c r="BS22" s="7">
        <f t="shared" ca="1" si="17"/>
        <v>89</v>
      </c>
      <c r="BT22" s="7">
        <f t="shared" ca="1" si="17"/>
        <v>1</v>
      </c>
      <c r="BU22" s="7">
        <f t="shared" ca="1" si="17"/>
        <v>0</v>
      </c>
      <c r="BV22" s="7">
        <f t="shared" ca="1" si="17"/>
        <v>0</v>
      </c>
      <c r="BW22" s="7">
        <f t="shared" ca="1" si="17"/>
        <v>0</v>
      </c>
      <c r="BX22" s="7">
        <f t="shared" ca="1" si="17"/>
        <v>0</v>
      </c>
      <c r="BY22" s="7">
        <f t="shared" ca="1" si="17"/>
        <v>0</v>
      </c>
      <c r="BZ22" s="7">
        <f t="shared" ca="1" si="17"/>
        <v>0</v>
      </c>
      <c r="CE22" s="1" t="s">
        <v>1075</v>
      </c>
      <c r="CF22" s="1" t="s">
        <v>1135</v>
      </c>
      <c r="CG22" s="2">
        <v>11</v>
      </c>
      <c r="CH22">
        <v>5</v>
      </c>
      <c r="CI22" s="1">
        <v>2021</v>
      </c>
    </row>
    <row r="23" spans="1:87" ht="28.9">
      <c r="A23" s="1" t="s">
        <v>1073</v>
      </c>
      <c r="B23">
        <v>68</v>
      </c>
      <c r="C23">
        <v>3</v>
      </c>
      <c r="D23">
        <v>2021</v>
      </c>
      <c r="F23" s="1" t="s">
        <v>1076</v>
      </c>
      <c r="G23" s="3">
        <v>25</v>
      </c>
      <c r="H23">
        <v>2</v>
      </c>
      <c r="I23">
        <v>2021</v>
      </c>
      <c r="K23" s="1" t="s">
        <v>1075</v>
      </c>
      <c r="L23">
        <v>79</v>
      </c>
      <c r="M23">
        <v>6</v>
      </c>
      <c r="N23">
        <v>2021</v>
      </c>
      <c r="P23" s="1" t="s">
        <v>1073</v>
      </c>
      <c r="Q23" s="2">
        <v>10</v>
      </c>
      <c r="R23">
        <v>5</v>
      </c>
      <c r="S23" s="1">
        <v>2021</v>
      </c>
      <c r="U23" s="1" t="s">
        <v>1076</v>
      </c>
      <c r="V23" s="2">
        <v>4.0909090909090908</v>
      </c>
      <c r="W23">
        <v>2</v>
      </c>
      <c r="X23">
        <v>2021</v>
      </c>
      <c r="AM23" s="1" t="s">
        <v>1076</v>
      </c>
      <c r="AN23" s="2">
        <v>21</v>
      </c>
      <c r="AO23" s="60">
        <v>2</v>
      </c>
      <c r="AP23" s="60">
        <v>2021</v>
      </c>
      <c r="AQ23" s="20"/>
      <c r="AU23" s="24"/>
      <c r="AV23" s="7" t="e">
        <f t="shared" ref="AV23:BG23" ca="1" si="22">IF(AV5-AV4&gt;0,AV5-AV4,NA())</f>
        <v>#N/A</v>
      </c>
      <c r="AW23" s="7" t="e">
        <f t="shared" ca="1" si="22"/>
        <v>#N/A</v>
      </c>
      <c r="AX23" s="7">
        <f t="shared" ca="1" si="22"/>
        <v>21</v>
      </c>
      <c r="AY23" s="7">
        <f t="shared" ca="1" si="22"/>
        <v>29</v>
      </c>
      <c r="AZ23" s="7" t="e">
        <f t="shared" ca="1" si="22"/>
        <v>#N/A</v>
      </c>
      <c r="BA23" s="7" t="e">
        <f t="shared" ca="1" si="22"/>
        <v>#N/A</v>
      </c>
      <c r="BB23" s="7" t="e">
        <f t="shared" ca="1" si="22"/>
        <v>#N/A</v>
      </c>
      <c r="BC23" s="7" t="e">
        <f t="shared" ca="1" si="22"/>
        <v>#N/A</v>
      </c>
      <c r="BD23" s="7" t="e">
        <f t="shared" ca="1" si="22"/>
        <v>#N/A</v>
      </c>
      <c r="BE23" s="7" t="e">
        <f t="shared" ca="1" si="22"/>
        <v>#N/A</v>
      </c>
      <c r="BF23" s="7" t="e">
        <f t="shared" ca="1" si="22"/>
        <v>#N/A</v>
      </c>
      <c r="BG23" s="7" t="e">
        <f t="shared" ca="1" si="22"/>
        <v>#N/A</v>
      </c>
      <c r="BL23" s="6" t="str">
        <f t="shared" si="16"/>
        <v>DO NGOC HA</v>
      </c>
      <c r="BM23" s="7">
        <f t="shared" ca="1" si="18"/>
        <v>10</v>
      </c>
      <c r="BN23" s="7"/>
      <c r="BO23" s="7">
        <f t="shared" ca="1" si="17"/>
        <v>0</v>
      </c>
      <c r="BP23" s="7">
        <f t="shared" ca="1" si="17"/>
        <v>6</v>
      </c>
      <c r="BQ23" s="7">
        <f t="shared" ca="1" si="17"/>
        <v>4</v>
      </c>
      <c r="BR23" s="7">
        <f t="shared" ca="1" si="17"/>
        <v>0</v>
      </c>
      <c r="BS23" s="7">
        <f t="shared" ca="1" si="17"/>
        <v>0</v>
      </c>
      <c r="BT23" s="7">
        <f t="shared" ca="1" si="17"/>
        <v>0</v>
      </c>
      <c r="BU23" s="7">
        <f t="shared" ca="1" si="17"/>
        <v>0</v>
      </c>
      <c r="BV23" s="7">
        <f t="shared" ca="1" si="17"/>
        <v>0</v>
      </c>
      <c r="BW23" s="7">
        <f t="shared" ca="1" si="17"/>
        <v>0</v>
      </c>
      <c r="BX23" s="7">
        <f t="shared" ca="1" si="17"/>
        <v>0</v>
      </c>
      <c r="BY23" s="7">
        <f t="shared" ca="1" si="17"/>
        <v>0</v>
      </c>
      <c r="BZ23" s="7">
        <f t="shared" ca="1" si="17"/>
        <v>0</v>
      </c>
      <c r="CE23" s="1" t="s">
        <v>1074</v>
      </c>
      <c r="CF23" s="1" t="s">
        <v>1141</v>
      </c>
      <c r="CG23" s="2">
        <v>53</v>
      </c>
      <c r="CH23">
        <v>1</v>
      </c>
      <c r="CI23" s="1">
        <v>2021</v>
      </c>
    </row>
    <row r="24" spans="1:87" ht="28.9">
      <c r="A24" s="1" t="s">
        <v>1078</v>
      </c>
      <c r="B24">
        <v>53</v>
      </c>
      <c r="C24">
        <v>3</v>
      </c>
      <c r="D24">
        <v>2021</v>
      </c>
      <c r="F24" s="1" t="s">
        <v>1076</v>
      </c>
      <c r="G24" s="3">
        <v>27</v>
      </c>
      <c r="H24">
        <v>3</v>
      </c>
      <c r="I24">
        <v>2021</v>
      </c>
      <c r="K24" s="1" t="s">
        <v>1076</v>
      </c>
      <c r="L24">
        <v>1</v>
      </c>
      <c r="M24">
        <v>6</v>
      </c>
      <c r="N24">
        <v>2021</v>
      </c>
      <c r="P24" s="1" t="s">
        <v>1073</v>
      </c>
      <c r="Q24" s="2">
        <v>12</v>
      </c>
      <c r="R24">
        <v>6</v>
      </c>
      <c r="S24" s="1">
        <v>2021</v>
      </c>
      <c r="U24" s="1" t="s">
        <v>1076</v>
      </c>
      <c r="V24" s="2">
        <v>0.96551724137931039</v>
      </c>
      <c r="W24">
        <v>3</v>
      </c>
      <c r="X24">
        <v>2021</v>
      </c>
      <c r="AM24" s="1" t="s">
        <v>1076</v>
      </c>
      <c r="AN24" s="2">
        <v>26</v>
      </c>
      <c r="AO24" s="60">
        <v>3</v>
      </c>
      <c r="AP24" s="60">
        <v>2021</v>
      </c>
      <c r="AQ24" s="20"/>
      <c r="AU24" s="45" t="s">
        <v>1145</v>
      </c>
      <c r="AV24" s="45" t="e">
        <f t="shared" ref="AV24:BG24" ca="1" si="23">IF(AV10-AV11&lt;&gt;0,AV10-AV11,NA())</f>
        <v>#N/A</v>
      </c>
      <c r="AW24" s="45" t="e">
        <f t="shared" ca="1" si="23"/>
        <v>#N/A</v>
      </c>
      <c r="AX24" s="45" t="e">
        <f t="shared" ca="1" si="23"/>
        <v>#N/A</v>
      </c>
      <c r="AY24" s="45" t="e">
        <f t="shared" ca="1" si="23"/>
        <v>#N/A</v>
      </c>
      <c r="AZ24" s="45">
        <f t="shared" ca="1" si="23"/>
        <v>9</v>
      </c>
      <c r="BA24" s="45" t="e">
        <f t="shared" ca="1" si="23"/>
        <v>#N/A</v>
      </c>
      <c r="BB24" s="45">
        <f t="shared" ca="1" si="23"/>
        <v>5</v>
      </c>
      <c r="BC24" s="45">
        <f t="shared" ca="1" si="23"/>
        <v>34</v>
      </c>
      <c r="BD24" s="45">
        <f t="shared" ca="1" si="23"/>
        <v>14</v>
      </c>
      <c r="BE24" s="45" t="e">
        <f t="shared" ca="1" si="23"/>
        <v>#N/A</v>
      </c>
      <c r="BF24" s="45" t="e">
        <f t="shared" ca="1" si="23"/>
        <v>#N/A</v>
      </c>
      <c r="BG24" s="45" t="e">
        <f t="shared" ca="1" si="23"/>
        <v>#N/A</v>
      </c>
      <c r="BL24" s="21" t="s">
        <v>134</v>
      </c>
      <c r="BM24" s="7">
        <f ca="1">SUM(BO24:BZ24)</f>
        <v>2826</v>
      </c>
      <c r="BN24" s="7"/>
      <c r="BO24" s="7">
        <f ca="1">SUM(BO17:BO23)</f>
        <v>349</v>
      </c>
      <c r="BP24" s="7">
        <f ca="1">SUM(BP17:BP23)</f>
        <v>181</v>
      </c>
      <c r="BQ24" s="7">
        <f t="shared" ref="BQ24:BZ24" ca="1" si="24">SUM(BQ17:BQ23)</f>
        <v>273</v>
      </c>
      <c r="BR24" s="7">
        <f t="shared" ca="1" si="24"/>
        <v>476</v>
      </c>
      <c r="BS24" s="7">
        <f t="shared" ca="1" si="24"/>
        <v>408</v>
      </c>
      <c r="BT24" s="7">
        <f t="shared" ca="1" si="24"/>
        <v>427</v>
      </c>
      <c r="BU24" s="7">
        <f t="shared" ca="1" si="24"/>
        <v>262</v>
      </c>
      <c r="BV24" s="7">
        <f t="shared" ca="1" si="24"/>
        <v>343</v>
      </c>
      <c r="BW24" s="7">
        <f t="shared" ca="1" si="24"/>
        <v>107</v>
      </c>
      <c r="BX24" s="7">
        <f t="shared" ca="1" si="24"/>
        <v>0</v>
      </c>
      <c r="BY24" s="7">
        <f t="shared" ca="1" si="24"/>
        <v>0</v>
      </c>
      <c r="BZ24" s="7">
        <f t="shared" ca="1" si="24"/>
        <v>0</v>
      </c>
      <c r="CE24" s="1" t="s">
        <v>1074</v>
      </c>
      <c r="CF24" s="1" t="s">
        <v>1141</v>
      </c>
      <c r="CG24" s="2">
        <v>56</v>
      </c>
      <c r="CH24">
        <v>2</v>
      </c>
      <c r="CI24" s="1">
        <v>2021</v>
      </c>
    </row>
    <row r="25" spans="1:87" ht="28.9">
      <c r="A25" s="1" t="s">
        <v>1077</v>
      </c>
      <c r="B25">
        <v>74</v>
      </c>
      <c r="C25">
        <v>4</v>
      </c>
      <c r="D25">
        <v>2021</v>
      </c>
      <c r="F25" s="1" t="s">
        <v>1076</v>
      </c>
      <c r="G25" s="3">
        <v>51</v>
      </c>
      <c r="H25">
        <v>4</v>
      </c>
      <c r="I25">
        <v>2021</v>
      </c>
      <c r="K25" s="1" t="s">
        <v>1079</v>
      </c>
      <c r="L25">
        <v>19</v>
      </c>
      <c r="M25">
        <v>6</v>
      </c>
      <c r="N25">
        <v>2021</v>
      </c>
      <c r="P25" s="1" t="s">
        <v>1073</v>
      </c>
      <c r="Q25" s="2">
        <v>14</v>
      </c>
      <c r="R25">
        <v>7</v>
      </c>
      <c r="S25" s="1">
        <v>2021</v>
      </c>
      <c r="U25" s="1" t="s">
        <v>1076</v>
      </c>
      <c r="V25" s="2">
        <v>2.6153846153846154</v>
      </c>
      <c r="W25">
        <v>4</v>
      </c>
      <c r="X25">
        <v>2021</v>
      </c>
      <c r="AM25" s="1" t="s">
        <v>1076</v>
      </c>
      <c r="AN25" s="2">
        <v>48</v>
      </c>
      <c r="AO25" s="60">
        <v>4</v>
      </c>
      <c r="AP25" s="60">
        <v>2021</v>
      </c>
      <c r="AQ25" s="20"/>
      <c r="AT25" s="7" t="s">
        <v>1104</v>
      </c>
      <c r="AU25" s="7" t="s">
        <v>1146</v>
      </c>
      <c r="AV25" s="7">
        <f ca="1">AV6</f>
        <v>3</v>
      </c>
      <c r="AW25" s="7" t="e">
        <f t="shared" ref="AW25:BG25" ca="1" si="25">IF(AW6-AV6&lt;&gt;0,AW6-AV6,NA())</f>
        <v>#N/A</v>
      </c>
      <c r="AX25" s="7">
        <f t="shared" ca="1" si="25"/>
        <v>1</v>
      </c>
      <c r="AY25" s="7">
        <f t="shared" ca="1" si="25"/>
        <v>3</v>
      </c>
      <c r="AZ25" s="7">
        <f t="shared" ca="1" si="25"/>
        <v>58</v>
      </c>
      <c r="BA25" s="7">
        <f t="shared" ca="1" si="25"/>
        <v>122</v>
      </c>
      <c r="BB25" s="7">
        <f t="shared" ca="1" si="25"/>
        <v>138</v>
      </c>
      <c r="BC25" s="7">
        <f t="shared" ca="1" si="25"/>
        <v>92</v>
      </c>
      <c r="BD25" s="7">
        <f t="shared" ca="1" si="25"/>
        <v>-174</v>
      </c>
      <c r="BE25" s="7">
        <f t="shared" ca="1" si="25"/>
        <v>-243</v>
      </c>
      <c r="BF25" s="7" t="e">
        <f t="shared" ca="1" si="25"/>
        <v>#N/A</v>
      </c>
      <c r="BG25" s="7" t="e">
        <f t="shared" ca="1" si="25"/>
        <v>#N/A</v>
      </c>
      <c r="CE25" s="1" t="s">
        <v>1074</v>
      </c>
      <c r="CF25" s="1" t="s">
        <v>1141</v>
      </c>
      <c r="CG25" s="2">
        <v>40</v>
      </c>
      <c r="CH25">
        <v>3</v>
      </c>
      <c r="CI25" s="1">
        <v>2021</v>
      </c>
    </row>
    <row r="26" spans="1:87" ht="28.9">
      <c r="A26" s="1" t="s">
        <v>1075</v>
      </c>
      <c r="B26">
        <v>15</v>
      </c>
      <c r="C26">
        <v>4</v>
      </c>
      <c r="D26">
        <v>2021</v>
      </c>
      <c r="F26" s="1" t="s">
        <v>1076</v>
      </c>
      <c r="G26" s="3">
        <v>54</v>
      </c>
      <c r="H26">
        <v>5</v>
      </c>
      <c r="I26">
        <v>2021</v>
      </c>
      <c r="K26" s="1" t="s">
        <v>1073</v>
      </c>
      <c r="L26">
        <v>7</v>
      </c>
      <c r="M26">
        <v>6</v>
      </c>
      <c r="N26">
        <v>2021</v>
      </c>
      <c r="P26" s="1" t="s">
        <v>1073</v>
      </c>
      <c r="Q26" s="2">
        <v>9</v>
      </c>
      <c r="R26">
        <v>8</v>
      </c>
      <c r="S26" s="1">
        <v>2021</v>
      </c>
      <c r="U26" s="1" t="s">
        <v>1076</v>
      </c>
      <c r="V26" s="2">
        <v>1.7592592592592593</v>
      </c>
      <c r="W26">
        <v>5</v>
      </c>
      <c r="X26">
        <v>2021</v>
      </c>
      <c r="AM26" s="1" t="s">
        <v>1076</v>
      </c>
      <c r="AN26" s="2">
        <v>43</v>
      </c>
      <c r="AO26" s="60">
        <v>5</v>
      </c>
      <c r="AP26" s="60">
        <v>2021</v>
      </c>
      <c r="AQ26" s="20"/>
      <c r="AT26" s="7" t="s">
        <v>1105</v>
      </c>
      <c r="AU26" s="7" t="s">
        <v>1146</v>
      </c>
      <c r="AV26" s="7">
        <f ca="1">AV7</f>
        <v>2</v>
      </c>
      <c r="AW26" s="7">
        <f t="shared" ref="AW26:BG26" ca="1" si="26">IF(AW7-AV7&lt;&gt;0,AW7-AV7,NA())</f>
        <v>3</v>
      </c>
      <c r="AX26" s="7">
        <f t="shared" ca="1" si="26"/>
        <v>18</v>
      </c>
      <c r="AY26" s="7" t="e">
        <f t="shared" ca="1" si="26"/>
        <v>#N/A</v>
      </c>
      <c r="AZ26" s="7">
        <f t="shared" ca="1" si="26"/>
        <v>21</v>
      </c>
      <c r="BA26" s="7">
        <f t="shared" ca="1" si="26"/>
        <v>-17</v>
      </c>
      <c r="BB26" s="7">
        <f t="shared" ca="1" si="26"/>
        <v>28</v>
      </c>
      <c r="BC26" s="7">
        <f t="shared" ca="1" si="26"/>
        <v>72</v>
      </c>
      <c r="BD26" s="7">
        <f t="shared" ca="1" si="26"/>
        <v>-29</v>
      </c>
      <c r="BE26" s="7">
        <f t="shared" ca="1" si="26"/>
        <v>-98</v>
      </c>
      <c r="BF26" s="7" t="e">
        <f t="shared" ca="1" si="26"/>
        <v>#N/A</v>
      </c>
      <c r="BG26" s="7" t="e">
        <f t="shared" ca="1" si="26"/>
        <v>#N/A</v>
      </c>
      <c r="CE26" s="1" t="s">
        <v>1074</v>
      </c>
      <c r="CF26" s="1" t="s">
        <v>1141</v>
      </c>
      <c r="CG26" s="2">
        <v>39</v>
      </c>
      <c r="CH26">
        <v>4</v>
      </c>
      <c r="CI26" s="1">
        <v>2021</v>
      </c>
    </row>
    <row r="27" spans="1:87" ht="29.45" thickBot="1">
      <c r="A27" s="1" t="s">
        <v>1074</v>
      </c>
      <c r="B27">
        <v>32</v>
      </c>
      <c r="C27">
        <v>4</v>
      </c>
      <c r="D27">
        <v>2021</v>
      </c>
      <c r="F27" s="1" t="s">
        <v>1076</v>
      </c>
      <c r="G27" s="3">
        <v>55</v>
      </c>
      <c r="H27">
        <v>6</v>
      </c>
      <c r="I27">
        <v>2021</v>
      </c>
      <c r="K27" s="1" t="s">
        <v>1078</v>
      </c>
      <c r="L27">
        <v>23</v>
      </c>
      <c r="M27">
        <v>6</v>
      </c>
      <c r="N27">
        <v>2021</v>
      </c>
      <c r="P27" s="1" t="s">
        <v>1073</v>
      </c>
      <c r="Q27" s="2">
        <v>22</v>
      </c>
      <c r="R27">
        <v>9</v>
      </c>
      <c r="S27" s="1">
        <v>2021</v>
      </c>
      <c r="U27" s="1" t="s">
        <v>1076</v>
      </c>
      <c r="V27" s="2">
        <v>0.8545454545454545</v>
      </c>
      <c r="W27">
        <v>6</v>
      </c>
      <c r="X27">
        <v>2021</v>
      </c>
      <c r="AM27" s="1" t="s">
        <v>1076</v>
      </c>
      <c r="AN27" s="2">
        <v>53</v>
      </c>
      <c r="AO27" s="60">
        <v>6</v>
      </c>
      <c r="AP27" s="60">
        <v>2021</v>
      </c>
      <c r="AQ27" s="20"/>
      <c r="BB27"/>
      <c r="BL27" s="44" t="s">
        <v>1104</v>
      </c>
      <c r="BM27" s="42"/>
      <c r="BN27" s="42"/>
      <c r="BO27" s="43"/>
      <c r="BP27" s="43"/>
      <c r="BQ27" s="43"/>
      <c r="BR27" s="43"/>
      <c r="BS27" s="43"/>
      <c r="BT27" s="43"/>
      <c r="BU27" s="43"/>
      <c r="BV27" s="43"/>
      <c r="BW27" s="43"/>
      <c r="BX27" s="42"/>
      <c r="BY27" s="42"/>
      <c r="BZ27" s="42"/>
      <c r="CE27" s="1" t="s">
        <v>1074</v>
      </c>
      <c r="CF27" s="1" t="s">
        <v>1141</v>
      </c>
      <c r="CG27" s="2">
        <v>84</v>
      </c>
      <c r="CH27">
        <v>5</v>
      </c>
      <c r="CI27" s="1">
        <v>2021</v>
      </c>
    </row>
    <row r="28" spans="1:87" ht="29.45" thickBot="1">
      <c r="A28" s="1" t="s">
        <v>1076</v>
      </c>
      <c r="B28">
        <v>44</v>
      </c>
      <c r="C28">
        <v>4</v>
      </c>
      <c r="D28">
        <v>2021</v>
      </c>
      <c r="F28" s="1" t="s">
        <v>1076</v>
      </c>
      <c r="G28" s="3">
        <v>39</v>
      </c>
      <c r="H28">
        <v>7</v>
      </c>
      <c r="I28">
        <v>2021</v>
      </c>
      <c r="K28" s="1" t="s">
        <v>1077</v>
      </c>
      <c r="L28">
        <v>37</v>
      </c>
      <c r="M28">
        <v>7</v>
      </c>
      <c r="N28">
        <v>2021</v>
      </c>
      <c r="P28" s="1" t="s">
        <v>1078</v>
      </c>
      <c r="Q28" s="2">
        <v>1</v>
      </c>
      <c r="R28">
        <v>2</v>
      </c>
      <c r="S28" s="1">
        <v>2021</v>
      </c>
      <c r="U28" s="1" t="s">
        <v>1076</v>
      </c>
      <c r="V28" s="2">
        <v>1.4358974358974359</v>
      </c>
      <c r="W28">
        <v>7</v>
      </c>
      <c r="X28">
        <v>2021</v>
      </c>
      <c r="AM28" s="1" t="s">
        <v>1076</v>
      </c>
      <c r="AN28" s="2">
        <v>30</v>
      </c>
      <c r="AO28" s="60">
        <v>7</v>
      </c>
      <c r="AP28" s="60">
        <v>2021</v>
      </c>
      <c r="AQ28" s="20"/>
      <c r="BB28"/>
      <c r="BD28" s="92" t="s">
        <v>1080</v>
      </c>
      <c r="BE28" s="93" t="s">
        <v>1081</v>
      </c>
      <c r="BF28" s="93" t="s">
        <v>47</v>
      </c>
      <c r="BL28" s="21" t="s">
        <v>1080</v>
      </c>
      <c r="BM28" s="7" t="s">
        <v>1128</v>
      </c>
      <c r="BN28" s="13">
        <v>44166</v>
      </c>
      <c r="BO28" s="13">
        <v>44197</v>
      </c>
      <c r="BP28" s="13">
        <v>44228</v>
      </c>
      <c r="BQ28" s="13">
        <v>44256</v>
      </c>
      <c r="BR28" s="13">
        <v>44287</v>
      </c>
      <c r="BS28" s="13">
        <v>44317</v>
      </c>
      <c r="BT28" s="13">
        <v>44348</v>
      </c>
      <c r="BU28" s="13">
        <v>44378</v>
      </c>
      <c r="BV28" s="13">
        <v>44409</v>
      </c>
      <c r="BW28" s="13">
        <v>44440</v>
      </c>
      <c r="BX28" s="13">
        <v>44470</v>
      </c>
      <c r="BY28" s="13">
        <v>44501</v>
      </c>
      <c r="BZ28" s="13">
        <v>44531</v>
      </c>
      <c r="CE28" s="1" t="s">
        <v>1074</v>
      </c>
      <c r="CF28" s="1" t="s">
        <v>1141</v>
      </c>
      <c r="CG28" s="2">
        <v>91</v>
      </c>
      <c r="CH28">
        <v>6</v>
      </c>
      <c r="CI28" s="1">
        <v>2021</v>
      </c>
    </row>
    <row r="29" spans="1:87" ht="29.45" thickBot="1">
      <c r="A29" s="1" t="s">
        <v>1079</v>
      </c>
      <c r="B29">
        <v>22</v>
      </c>
      <c r="C29">
        <v>4</v>
      </c>
      <c r="D29">
        <v>2021</v>
      </c>
      <c r="E29"/>
      <c r="F29" s="1" t="s">
        <v>1076</v>
      </c>
      <c r="G29" s="3">
        <v>54</v>
      </c>
      <c r="H29">
        <v>8</v>
      </c>
      <c r="I29">
        <v>2021</v>
      </c>
      <c r="K29" s="1" t="s">
        <v>1075</v>
      </c>
      <c r="L29">
        <v>238</v>
      </c>
      <c r="M29">
        <v>7</v>
      </c>
      <c r="N29">
        <v>2021</v>
      </c>
      <c r="P29" s="1" t="s">
        <v>1078</v>
      </c>
      <c r="Q29" s="2">
        <v>12</v>
      </c>
      <c r="R29">
        <v>3</v>
      </c>
      <c r="S29" s="1">
        <v>2021</v>
      </c>
      <c r="U29" s="1" t="s">
        <v>1076</v>
      </c>
      <c r="V29" s="2">
        <v>1.3703703703703705</v>
      </c>
      <c r="W29">
        <v>8</v>
      </c>
      <c r="X29">
        <v>2021</v>
      </c>
      <c r="AM29" s="1" t="s">
        <v>1076</v>
      </c>
      <c r="AN29" s="2">
        <v>46</v>
      </c>
      <c r="AO29" s="60">
        <v>8</v>
      </c>
      <c r="AP29" s="60">
        <v>2021</v>
      </c>
      <c r="AQ29" s="20"/>
      <c r="BB29"/>
      <c r="BD29" s="91" t="s">
        <v>1073</v>
      </c>
      <c r="BE29" s="90">
        <v>1328</v>
      </c>
      <c r="BF29" s="90">
        <v>151</v>
      </c>
      <c r="BL29" s="6" t="str">
        <f t="shared" ref="BL29:BL35" si="27">AJ4</f>
        <v>DO TRUC LAM</v>
      </c>
      <c r="BM29" s="7">
        <f t="shared" ref="BM29:BM36" ca="1" si="28">SUM(BO29:BZ29)</f>
        <v>101</v>
      </c>
      <c r="BN29" s="7">
        <v>0</v>
      </c>
      <c r="BO29" s="7">
        <f t="shared" ref="BO29:BZ35" ca="1" si="29">SUMIFS(PR_pend_line,PR_pend_pro,$BL29,PR_pend_M,MONTH(BO$28),PR_pend_Y,YEAR(BO$28))</f>
        <v>1</v>
      </c>
      <c r="BP29" s="7">
        <f t="shared" ca="1" si="29"/>
        <v>1</v>
      </c>
      <c r="BQ29" s="7">
        <f t="shared" ca="1" si="29"/>
        <v>0</v>
      </c>
      <c r="BR29" s="7">
        <f t="shared" ca="1" si="29"/>
        <v>1</v>
      </c>
      <c r="BS29" s="7">
        <f t="shared" ca="1" si="29"/>
        <v>9</v>
      </c>
      <c r="BT29" s="7">
        <f t="shared" ca="1" si="29"/>
        <v>7</v>
      </c>
      <c r="BU29" s="7">
        <f t="shared" ca="1" si="29"/>
        <v>26</v>
      </c>
      <c r="BV29" s="7">
        <f t="shared" ca="1" si="29"/>
        <v>12</v>
      </c>
      <c r="BW29" s="7">
        <f t="shared" ca="1" si="29"/>
        <v>44</v>
      </c>
      <c r="BX29" s="7">
        <f t="shared" ca="1" si="29"/>
        <v>0</v>
      </c>
      <c r="BY29" s="7">
        <f t="shared" ca="1" si="29"/>
        <v>0</v>
      </c>
      <c r="BZ29" s="7">
        <f t="shared" ca="1" si="29"/>
        <v>0</v>
      </c>
      <c r="CE29" s="1" t="s">
        <v>1074</v>
      </c>
      <c r="CF29" s="1" t="s">
        <v>1141</v>
      </c>
      <c r="CG29" s="2">
        <v>59</v>
      </c>
      <c r="CH29">
        <v>7</v>
      </c>
      <c r="CI29" s="1">
        <v>2021</v>
      </c>
    </row>
    <row r="30" spans="1:87" ht="29.45" thickBot="1">
      <c r="A30" s="1" t="s">
        <v>1073</v>
      </c>
      <c r="B30">
        <v>193</v>
      </c>
      <c r="C30">
        <v>4</v>
      </c>
      <c r="D30">
        <v>2021</v>
      </c>
      <c r="E30"/>
      <c r="F30" s="1" t="s">
        <v>1079</v>
      </c>
      <c r="G30" s="3">
        <v>6</v>
      </c>
      <c r="H30">
        <v>2</v>
      </c>
      <c r="I30">
        <v>2021</v>
      </c>
      <c r="K30" s="1" t="s">
        <v>1079</v>
      </c>
      <c r="L30">
        <v>24</v>
      </c>
      <c r="M30">
        <v>7</v>
      </c>
      <c r="N30">
        <v>2021</v>
      </c>
      <c r="P30" s="1" t="s">
        <v>1078</v>
      </c>
      <c r="Q30" s="2">
        <v>12</v>
      </c>
      <c r="R30">
        <v>4</v>
      </c>
      <c r="S30" s="1">
        <v>2021</v>
      </c>
      <c r="U30" s="1" t="s">
        <v>1079</v>
      </c>
      <c r="V30" s="2">
        <v>9</v>
      </c>
      <c r="W30">
        <v>2</v>
      </c>
      <c r="X30">
        <v>2021</v>
      </c>
      <c r="AM30" s="1" t="s">
        <v>1079</v>
      </c>
      <c r="AN30" s="2">
        <v>6</v>
      </c>
      <c r="AO30" s="60">
        <v>2</v>
      </c>
      <c r="AP30" s="60">
        <v>2021</v>
      </c>
      <c r="AQ30" s="20"/>
      <c r="BB30"/>
      <c r="BD30" s="91" t="s">
        <v>1074</v>
      </c>
      <c r="BE30" s="90">
        <v>555</v>
      </c>
      <c r="BF30" s="90">
        <v>1742</v>
      </c>
      <c r="BL30" s="6" t="str">
        <f t="shared" si="27"/>
        <v>DO MAI HA</v>
      </c>
      <c r="BM30" s="7">
        <f t="shared" ca="1" si="28"/>
        <v>103</v>
      </c>
      <c r="BN30" s="7">
        <v>0</v>
      </c>
      <c r="BO30" s="7">
        <f t="shared" ca="1" si="29"/>
        <v>0</v>
      </c>
      <c r="BP30" s="7">
        <f t="shared" ca="1" si="29"/>
        <v>0</v>
      </c>
      <c r="BQ30" s="7">
        <f t="shared" ca="1" si="29"/>
        <v>0</v>
      </c>
      <c r="BR30" s="7">
        <f t="shared" ca="1" si="29"/>
        <v>0</v>
      </c>
      <c r="BS30" s="7">
        <f t="shared" ca="1" si="29"/>
        <v>0</v>
      </c>
      <c r="BT30" s="7">
        <f t="shared" ca="1" si="29"/>
        <v>0</v>
      </c>
      <c r="BU30" s="7">
        <f t="shared" ca="1" si="29"/>
        <v>0</v>
      </c>
      <c r="BV30" s="7">
        <f t="shared" ca="1" si="29"/>
        <v>66</v>
      </c>
      <c r="BW30" s="7">
        <f t="shared" ca="1" si="29"/>
        <v>37</v>
      </c>
      <c r="BX30" s="7">
        <f t="shared" ca="1" si="29"/>
        <v>0</v>
      </c>
      <c r="BY30" s="7">
        <f t="shared" ca="1" si="29"/>
        <v>0</v>
      </c>
      <c r="BZ30" s="7">
        <f t="shared" ca="1" si="29"/>
        <v>0</v>
      </c>
      <c r="CE30" s="1" t="s">
        <v>1074</v>
      </c>
      <c r="CF30" s="1" t="s">
        <v>1141</v>
      </c>
      <c r="CG30" s="2">
        <v>82</v>
      </c>
      <c r="CH30">
        <v>8</v>
      </c>
      <c r="CI30" s="1">
        <v>2021</v>
      </c>
    </row>
    <row r="31" spans="1:87" ht="29.45" thickBot="1">
      <c r="A31" s="1" t="s">
        <v>1078</v>
      </c>
      <c r="B31">
        <v>67</v>
      </c>
      <c r="C31">
        <v>4</v>
      </c>
      <c r="D31">
        <v>2021</v>
      </c>
      <c r="E31"/>
      <c r="F31" s="1" t="s">
        <v>1079</v>
      </c>
      <c r="G31" s="3">
        <v>4</v>
      </c>
      <c r="H31">
        <v>3</v>
      </c>
      <c r="I31">
        <v>2021</v>
      </c>
      <c r="K31" s="1" t="s">
        <v>1073</v>
      </c>
      <c r="L31">
        <v>26</v>
      </c>
      <c r="M31">
        <v>7</v>
      </c>
      <c r="N31">
        <v>2021</v>
      </c>
      <c r="P31" s="1" t="s">
        <v>1078</v>
      </c>
      <c r="Q31" s="2">
        <v>20</v>
      </c>
      <c r="R31">
        <v>5</v>
      </c>
      <c r="S31" s="1">
        <v>2021</v>
      </c>
      <c r="U31" s="1" t="s">
        <v>1079</v>
      </c>
      <c r="V31" s="2">
        <v>48</v>
      </c>
      <c r="W31">
        <v>3</v>
      </c>
      <c r="X31">
        <v>2021</v>
      </c>
      <c r="AM31" s="1" t="s">
        <v>1079</v>
      </c>
      <c r="AN31" s="2">
        <v>4</v>
      </c>
      <c r="AO31" s="60">
        <v>3</v>
      </c>
      <c r="AP31" s="60">
        <v>2021</v>
      </c>
      <c r="AQ31" s="20"/>
      <c r="BB31"/>
      <c r="BD31" s="91" t="s">
        <v>1075</v>
      </c>
      <c r="BE31" s="90">
        <v>796</v>
      </c>
      <c r="BF31" s="90">
        <v>264</v>
      </c>
      <c r="BL31" s="6" t="str">
        <f t="shared" si="27"/>
        <v>BUI NHU BAO</v>
      </c>
      <c r="BM31" s="7">
        <f t="shared" ca="1" si="28"/>
        <v>710</v>
      </c>
      <c r="BN31" s="7">
        <v>0</v>
      </c>
      <c r="BO31" s="7">
        <f t="shared" ca="1" si="29"/>
        <v>0</v>
      </c>
      <c r="BP31" s="7">
        <f t="shared" ca="1" si="29"/>
        <v>0</v>
      </c>
      <c r="BQ31" s="7">
        <f t="shared" ca="1" si="29"/>
        <v>0</v>
      </c>
      <c r="BR31" s="7">
        <f t="shared" ca="1" si="29"/>
        <v>2</v>
      </c>
      <c r="BS31" s="7">
        <f t="shared" ca="1" si="29"/>
        <v>0</v>
      </c>
      <c r="BT31" s="7">
        <f t="shared" ca="1" si="29"/>
        <v>79</v>
      </c>
      <c r="BU31" s="7">
        <f t="shared" ca="1" si="29"/>
        <v>238</v>
      </c>
      <c r="BV31" s="7">
        <f t="shared" ca="1" si="29"/>
        <v>270</v>
      </c>
      <c r="BW31" s="7">
        <f t="shared" ca="1" si="29"/>
        <v>121</v>
      </c>
      <c r="BX31" s="7">
        <f t="shared" ca="1" si="29"/>
        <v>0</v>
      </c>
      <c r="BY31" s="7">
        <f t="shared" ca="1" si="29"/>
        <v>0</v>
      </c>
      <c r="BZ31" s="7">
        <f t="shared" ca="1" si="29"/>
        <v>0</v>
      </c>
      <c r="CE31" s="1" t="s">
        <v>1074</v>
      </c>
      <c r="CF31" s="1" t="s">
        <v>1141</v>
      </c>
      <c r="CG31" s="2">
        <v>2</v>
      </c>
      <c r="CH31">
        <v>9</v>
      </c>
      <c r="CI31" s="1">
        <v>2021</v>
      </c>
    </row>
    <row r="32" spans="1:87" ht="28.9">
      <c r="A32" s="1" t="s">
        <v>1077</v>
      </c>
      <c r="B32">
        <v>61</v>
      </c>
      <c r="C32">
        <v>5</v>
      </c>
      <c r="D32">
        <v>2021</v>
      </c>
      <c r="E32"/>
      <c r="F32" s="1" t="s">
        <v>1073</v>
      </c>
      <c r="G32" s="3">
        <v>8</v>
      </c>
      <c r="H32">
        <v>1</v>
      </c>
      <c r="I32">
        <v>2021</v>
      </c>
      <c r="K32" s="1" t="s">
        <v>1077</v>
      </c>
      <c r="L32">
        <v>36</v>
      </c>
      <c r="M32">
        <v>8</v>
      </c>
      <c r="N32">
        <v>2021</v>
      </c>
      <c r="Q32" s="2"/>
      <c r="U32" s="1" t="s">
        <v>1073</v>
      </c>
      <c r="V32" s="2">
        <v>1.75</v>
      </c>
      <c r="W32">
        <v>1</v>
      </c>
      <c r="X32">
        <v>2021</v>
      </c>
      <c r="AM32" s="1" t="s">
        <v>1073</v>
      </c>
      <c r="AN32" s="2">
        <v>8</v>
      </c>
      <c r="AO32" s="60">
        <v>1</v>
      </c>
      <c r="AP32" s="60">
        <v>2021</v>
      </c>
      <c r="AQ32" s="20"/>
      <c r="BB32"/>
      <c r="BL32" s="6" t="str">
        <f t="shared" si="27"/>
        <v>DO MINH AN</v>
      </c>
      <c r="BM32" s="7">
        <f t="shared" ca="1" si="28"/>
        <v>13</v>
      </c>
      <c r="BN32" s="7">
        <v>0</v>
      </c>
      <c r="BO32" s="7">
        <f t="shared" ca="1" si="29"/>
        <v>1</v>
      </c>
      <c r="BP32" s="7">
        <f t="shared" ca="1" si="29"/>
        <v>1</v>
      </c>
      <c r="BQ32" s="7">
        <f t="shared" ca="1" si="29"/>
        <v>3</v>
      </c>
      <c r="BR32" s="7">
        <f t="shared" ca="1" si="29"/>
        <v>1</v>
      </c>
      <c r="BS32" s="7">
        <f t="shared" ca="1" si="29"/>
        <v>4</v>
      </c>
      <c r="BT32" s="7">
        <f t="shared" ca="1" si="29"/>
        <v>1</v>
      </c>
      <c r="BU32" s="7">
        <f t="shared" ca="1" si="29"/>
        <v>0</v>
      </c>
      <c r="BV32" s="7">
        <f t="shared" ca="1" si="29"/>
        <v>2</v>
      </c>
      <c r="BW32" s="7">
        <f t="shared" ca="1" si="29"/>
        <v>0</v>
      </c>
      <c r="BX32" s="7">
        <f t="shared" ca="1" si="29"/>
        <v>0</v>
      </c>
      <c r="BY32" s="7">
        <f t="shared" ca="1" si="29"/>
        <v>0</v>
      </c>
      <c r="BZ32" s="7">
        <f t="shared" ca="1" si="29"/>
        <v>0</v>
      </c>
      <c r="CE32" s="1" t="s">
        <v>1074</v>
      </c>
      <c r="CF32" s="1" t="s">
        <v>1141</v>
      </c>
      <c r="CG32" s="2">
        <v>21</v>
      </c>
      <c r="CH32">
        <v>12</v>
      </c>
      <c r="CI32" s="1">
        <v>2020</v>
      </c>
    </row>
    <row r="33" spans="1:87" ht="28.9">
      <c r="A33" s="1" t="s">
        <v>1075</v>
      </c>
      <c r="B33">
        <v>12</v>
      </c>
      <c r="C33">
        <v>5</v>
      </c>
      <c r="D33">
        <v>2021</v>
      </c>
      <c r="E33"/>
      <c r="F33" s="1" t="s">
        <v>1073</v>
      </c>
      <c r="G33" s="3">
        <v>9</v>
      </c>
      <c r="H33">
        <v>2</v>
      </c>
      <c r="I33">
        <v>2021</v>
      </c>
      <c r="K33" s="1" t="s">
        <v>1075</v>
      </c>
      <c r="L33">
        <v>270</v>
      </c>
      <c r="M33">
        <v>8</v>
      </c>
      <c r="N33">
        <v>2021</v>
      </c>
      <c r="Q33" s="2"/>
      <c r="U33" s="1" t="s">
        <v>1073</v>
      </c>
      <c r="V33" s="2">
        <v>0.55555555555555558</v>
      </c>
      <c r="W33">
        <v>2</v>
      </c>
      <c r="X33">
        <v>2021</v>
      </c>
      <c r="AM33" s="1" t="s">
        <v>1073</v>
      </c>
      <c r="AN33" s="2">
        <v>9</v>
      </c>
      <c r="AO33" s="60">
        <v>2</v>
      </c>
      <c r="AP33" s="60">
        <v>2021</v>
      </c>
      <c r="AQ33" s="20"/>
      <c r="BB33"/>
      <c r="BL33" s="6" t="str">
        <f t="shared" si="27"/>
        <v>BUI BICH HAI</v>
      </c>
      <c r="BM33" s="7">
        <f t="shared" ca="1" si="28"/>
        <v>200</v>
      </c>
      <c r="BN33" s="7">
        <v>0</v>
      </c>
      <c r="BO33" s="7">
        <f t="shared" ca="1" si="29"/>
        <v>1</v>
      </c>
      <c r="BP33" s="7">
        <f t="shared" ca="1" si="29"/>
        <v>0</v>
      </c>
      <c r="BQ33" s="7">
        <f t="shared" ca="1" si="29"/>
        <v>0</v>
      </c>
      <c r="BR33" s="7">
        <f t="shared" ca="1" si="29"/>
        <v>2</v>
      </c>
      <c r="BS33" s="7">
        <f t="shared" ca="1" si="29"/>
        <v>32</v>
      </c>
      <c r="BT33" s="7">
        <f t="shared" ca="1" si="29"/>
        <v>58</v>
      </c>
      <c r="BU33" s="7">
        <f t="shared" ca="1" si="29"/>
        <v>37</v>
      </c>
      <c r="BV33" s="7">
        <f t="shared" ca="1" si="29"/>
        <v>36</v>
      </c>
      <c r="BW33" s="7">
        <f t="shared" ca="1" si="29"/>
        <v>34</v>
      </c>
      <c r="BX33" s="7">
        <f t="shared" ca="1" si="29"/>
        <v>0</v>
      </c>
      <c r="BY33" s="7">
        <f t="shared" ca="1" si="29"/>
        <v>0</v>
      </c>
      <c r="BZ33" s="7">
        <f t="shared" ca="1" si="29"/>
        <v>0</v>
      </c>
      <c r="CE33" s="1" t="s">
        <v>1076</v>
      </c>
      <c r="CF33" s="1" t="s">
        <v>1147</v>
      </c>
      <c r="CG33" s="2">
        <v>39</v>
      </c>
      <c r="CH33">
        <v>1</v>
      </c>
      <c r="CI33" s="1">
        <v>2021</v>
      </c>
    </row>
    <row r="34" spans="1:87" ht="28.9">
      <c r="A34" s="1" t="s">
        <v>1074</v>
      </c>
      <c r="B34">
        <v>76</v>
      </c>
      <c r="C34">
        <v>5</v>
      </c>
      <c r="D34">
        <v>2021</v>
      </c>
      <c r="E34"/>
      <c r="F34" s="1" t="s">
        <v>1073</v>
      </c>
      <c r="G34" s="3">
        <v>3</v>
      </c>
      <c r="H34">
        <v>3</v>
      </c>
      <c r="I34">
        <v>2021</v>
      </c>
      <c r="K34" s="1" t="s">
        <v>1074</v>
      </c>
      <c r="L34">
        <v>66</v>
      </c>
      <c r="M34">
        <v>8</v>
      </c>
      <c r="N34">
        <v>2021</v>
      </c>
      <c r="Q34" s="2"/>
      <c r="U34" s="1" t="s">
        <v>1073</v>
      </c>
      <c r="V34" s="2">
        <v>12.333333333333334</v>
      </c>
      <c r="W34">
        <v>3</v>
      </c>
      <c r="X34">
        <v>2021</v>
      </c>
      <c r="AM34" s="1" t="s">
        <v>1073</v>
      </c>
      <c r="AN34" s="2">
        <v>3</v>
      </c>
      <c r="AO34" s="60">
        <v>3</v>
      </c>
      <c r="AP34" s="60">
        <v>2021</v>
      </c>
      <c r="AQ34" s="20"/>
      <c r="BB34"/>
      <c r="BL34" s="6" t="str">
        <f t="shared" si="27"/>
        <v>TRAN BICH HANG</v>
      </c>
      <c r="BM34" s="7">
        <f t="shared" ca="1" si="28"/>
        <v>45</v>
      </c>
      <c r="BN34" s="7">
        <v>0</v>
      </c>
      <c r="BO34" s="7">
        <f t="shared" ca="1" si="29"/>
        <v>0</v>
      </c>
      <c r="BP34" s="7">
        <f t="shared" ca="1" si="29"/>
        <v>1</v>
      </c>
      <c r="BQ34" s="7">
        <f t="shared" ca="1" si="29"/>
        <v>1</v>
      </c>
      <c r="BR34" s="7">
        <f t="shared" ca="1" si="29"/>
        <v>1</v>
      </c>
      <c r="BS34" s="7">
        <f t="shared" ca="1" si="29"/>
        <v>19</v>
      </c>
      <c r="BT34" s="7">
        <f t="shared" ca="1" si="29"/>
        <v>23</v>
      </c>
      <c r="BU34" s="7">
        <f t="shared" ca="1" si="29"/>
        <v>0</v>
      </c>
      <c r="BV34" s="7">
        <f t="shared" ca="1" si="29"/>
        <v>0</v>
      </c>
      <c r="BW34" s="7">
        <f t="shared" ca="1" si="29"/>
        <v>0</v>
      </c>
      <c r="BX34" s="7">
        <f t="shared" ca="1" si="29"/>
        <v>0</v>
      </c>
      <c r="BY34" s="7">
        <f t="shared" ca="1" si="29"/>
        <v>0</v>
      </c>
      <c r="BZ34" s="7">
        <f t="shared" ca="1" si="29"/>
        <v>0</v>
      </c>
      <c r="CE34" s="1" t="s">
        <v>1076</v>
      </c>
      <c r="CF34" s="1" t="s">
        <v>1147</v>
      </c>
      <c r="CG34" s="2">
        <v>25</v>
      </c>
      <c r="CH34">
        <v>2</v>
      </c>
      <c r="CI34" s="1">
        <v>2021</v>
      </c>
    </row>
    <row r="35" spans="1:87" ht="28.9">
      <c r="A35" s="1" t="s">
        <v>1076</v>
      </c>
      <c r="B35">
        <v>58</v>
      </c>
      <c r="C35">
        <v>5</v>
      </c>
      <c r="D35">
        <v>2021</v>
      </c>
      <c r="E35"/>
      <c r="F35" s="1" t="s">
        <v>1073</v>
      </c>
      <c r="G35" s="3">
        <v>6</v>
      </c>
      <c r="H35">
        <v>4</v>
      </c>
      <c r="I35">
        <v>2021</v>
      </c>
      <c r="K35" s="1" t="s">
        <v>1076</v>
      </c>
      <c r="L35">
        <v>2</v>
      </c>
      <c r="M35">
        <v>8</v>
      </c>
      <c r="N35">
        <v>2021</v>
      </c>
      <c r="Q35" s="2"/>
      <c r="U35" s="1" t="s">
        <v>1073</v>
      </c>
      <c r="V35" s="2">
        <v>13</v>
      </c>
      <c r="W35">
        <v>4</v>
      </c>
      <c r="X35">
        <v>2021</v>
      </c>
      <c r="AM35" s="1" t="s">
        <v>1073</v>
      </c>
      <c r="AN35" s="2">
        <v>6</v>
      </c>
      <c r="AO35" s="60">
        <v>4</v>
      </c>
      <c r="AP35" s="60">
        <v>2021</v>
      </c>
      <c r="AQ35" s="20"/>
      <c r="BB35"/>
      <c r="BL35" s="6" t="str">
        <f t="shared" si="27"/>
        <v>DO NGOC HA</v>
      </c>
      <c r="BM35" s="7">
        <f t="shared" ca="1" si="28"/>
        <v>82</v>
      </c>
      <c r="BN35" s="7">
        <v>0</v>
      </c>
      <c r="BO35" s="7">
        <f t="shared" ca="1" si="29"/>
        <v>0</v>
      </c>
      <c r="BP35" s="7">
        <f t="shared" ca="1" si="29"/>
        <v>0</v>
      </c>
      <c r="BQ35" s="7">
        <f t="shared" ca="1" si="29"/>
        <v>0</v>
      </c>
      <c r="BR35" s="7">
        <f t="shared" ca="1" si="29"/>
        <v>0</v>
      </c>
      <c r="BS35" s="7">
        <f t="shared" ca="1" si="29"/>
        <v>1</v>
      </c>
      <c r="BT35" s="7">
        <f t="shared" ca="1" si="29"/>
        <v>19</v>
      </c>
      <c r="BU35" s="7">
        <f t="shared" ca="1" si="29"/>
        <v>24</v>
      </c>
      <c r="BV35" s="7">
        <f t="shared" ca="1" si="29"/>
        <v>31</v>
      </c>
      <c r="BW35" s="7">
        <f t="shared" ca="1" si="29"/>
        <v>7</v>
      </c>
      <c r="BX35" s="7">
        <f t="shared" ca="1" si="29"/>
        <v>0</v>
      </c>
      <c r="BY35" s="7">
        <f t="shared" ca="1" si="29"/>
        <v>0</v>
      </c>
      <c r="BZ35" s="7">
        <f t="shared" ca="1" si="29"/>
        <v>0</v>
      </c>
      <c r="CE35" s="1" t="s">
        <v>1076</v>
      </c>
      <c r="CF35" s="1" t="s">
        <v>1147</v>
      </c>
      <c r="CG35" s="2">
        <v>27</v>
      </c>
      <c r="CH35">
        <v>3</v>
      </c>
      <c r="CI35" s="1">
        <v>2021</v>
      </c>
    </row>
    <row r="36" spans="1:87" ht="28.9">
      <c r="A36" s="1" t="s">
        <v>1079</v>
      </c>
      <c r="B36">
        <v>19</v>
      </c>
      <c r="C36">
        <v>5</v>
      </c>
      <c r="D36">
        <v>2021</v>
      </c>
      <c r="E36"/>
      <c r="F36" s="1" t="s">
        <v>1073</v>
      </c>
      <c r="G36" s="3">
        <v>14</v>
      </c>
      <c r="H36">
        <v>5</v>
      </c>
      <c r="I36">
        <v>2021</v>
      </c>
      <c r="K36" s="1" t="s">
        <v>1079</v>
      </c>
      <c r="L36">
        <v>31</v>
      </c>
      <c r="M36">
        <v>8</v>
      </c>
      <c r="N36">
        <v>2021</v>
      </c>
      <c r="Q36" s="2"/>
      <c r="U36" s="1" t="s">
        <v>1073</v>
      </c>
      <c r="V36" s="2">
        <v>16.214285714285715</v>
      </c>
      <c r="W36">
        <v>5</v>
      </c>
      <c r="X36">
        <v>2021</v>
      </c>
      <c r="AM36" s="1" t="s">
        <v>1073</v>
      </c>
      <c r="AN36" s="2">
        <v>14</v>
      </c>
      <c r="AO36" s="60">
        <v>5</v>
      </c>
      <c r="AP36" s="60">
        <v>2021</v>
      </c>
      <c r="AQ36" s="20"/>
      <c r="BB36"/>
      <c r="BL36" s="21" t="s">
        <v>134</v>
      </c>
      <c r="BM36" s="7">
        <f t="shared" ca="1" si="28"/>
        <v>1254</v>
      </c>
      <c r="BN36" s="7">
        <v>0</v>
      </c>
      <c r="BO36" s="7">
        <f t="shared" ref="BO36:BZ36" ca="1" si="30">SUM(BO29:BO35)</f>
        <v>3</v>
      </c>
      <c r="BP36" s="7">
        <f t="shared" ca="1" si="30"/>
        <v>3</v>
      </c>
      <c r="BQ36" s="7">
        <f t="shared" ca="1" si="30"/>
        <v>4</v>
      </c>
      <c r="BR36" s="7">
        <f t="shared" ca="1" si="30"/>
        <v>7</v>
      </c>
      <c r="BS36" s="7">
        <f t="shared" ca="1" si="30"/>
        <v>65</v>
      </c>
      <c r="BT36" s="7">
        <f t="shared" ca="1" si="30"/>
        <v>187</v>
      </c>
      <c r="BU36" s="7">
        <f t="shared" ca="1" si="30"/>
        <v>325</v>
      </c>
      <c r="BV36" s="7">
        <f t="shared" ca="1" si="30"/>
        <v>417</v>
      </c>
      <c r="BW36" s="7">
        <f t="shared" ca="1" si="30"/>
        <v>243</v>
      </c>
      <c r="BX36" s="7">
        <f t="shared" ca="1" si="30"/>
        <v>0</v>
      </c>
      <c r="BY36" s="7">
        <f t="shared" ca="1" si="30"/>
        <v>0</v>
      </c>
      <c r="BZ36" s="7">
        <f t="shared" ca="1" si="30"/>
        <v>0</v>
      </c>
      <c r="CE36" s="1" t="s">
        <v>1076</v>
      </c>
      <c r="CF36" s="1" t="s">
        <v>1147</v>
      </c>
      <c r="CG36" s="2">
        <v>51</v>
      </c>
      <c r="CH36">
        <v>4</v>
      </c>
      <c r="CI36" s="1">
        <v>2021</v>
      </c>
    </row>
    <row r="37" spans="1:87" ht="28.9">
      <c r="A37" s="1" t="s">
        <v>1073</v>
      </c>
      <c r="B37">
        <v>172</v>
      </c>
      <c r="C37">
        <v>5</v>
      </c>
      <c r="D37">
        <v>2021</v>
      </c>
      <c r="E37"/>
      <c r="F37" s="1" t="s">
        <v>1073</v>
      </c>
      <c r="G37" s="3">
        <v>40</v>
      </c>
      <c r="H37">
        <v>6</v>
      </c>
      <c r="I37">
        <v>2021</v>
      </c>
      <c r="K37" s="1" t="s">
        <v>1073</v>
      </c>
      <c r="L37">
        <v>12</v>
      </c>
      <c r="M37">
        <v>8</v>
      </c>
      <c r="N37">
        <v>2021</v>
      </c>
      <c r="Q37" s="2"/>
      <c r="U37" s="1" t="s">
        <v>1073</v>
      </c>
      <c r="V37" s="2">
        <v>14.5</v>
      </c>
      <c r="W37">
        <v>6</v>
      </c>
      <c r="X37">
        <v>2021</v>
      </c>
      <c r="AM37" s="1" t="s">
        <v>1073</v>
      </c>
      <c r="AN37" s="2">
        <v>40</v>
      </c>
      <c r="AO37" s="60">
        <v>6</v>
      </c>
      <c r="AP37" s="60">
        <v>2021</v>
      </c>
      <c r="AQ37" s="20"/>
      <c r="BB37"/>
      <c r="CE37" s="1" t="s">
        <v>1076</v>
      </c>
      <c r="CF37" s="1" t="s">
        <v>1147</v>
      </c>
      <c r="CG37" s="2">
        <v>54</v>
      </c>
      <c r="CH37">
        <v>5</v>
      </c>
      <c r="CI37" s="1">
        <v>2021</v>
      </c>
    </row>
    <row r="38" spans="1:87" ht="28.9">
      <c r="A38" s="1" t="s">
        <v>1078</v>
      </c>
      <c r="B38">
        <v>67</v>
      </c>
      <c r="C38">
        <v>5</v>
      </c>
      <c r="D38">
        <v>2021</v>
      </c>
      <c r="E38"/>
      <c r="F38" s="1" t="s">
        <v>1073</v>
      </c>
      <c r="G38" s="3">
        <v>17</v>
      </c>
      <c r="H38">
        <v>7</v>
      </c>
      <c r="I38">
        <v>2021</v>
      </c>
      <c r="K38" s="1" t="s">
        <v>1077</v>
      </c>
      <c r="L38">
        <v>34</v>
      </c>
      <c r="M38">
        <v>9</v>
      </c>
      <c r="N38">
        <v>2021</v>
      </c>
      <c r="Q38" s="2"/>
      <c r="U38" s="1" t="s">
        <v>1073</v>
      </c>
      <c r="V38" s="2">
        <v>16.705882352941178</v>
      </c>
      <c r="W38">
        <v>7</v>
      </c>
      <c r="X38">
        <v>2021</v>
      </c>
      <c r="AM38" s="1" t="s">
        <v>1073</v>
      </c>
      <c r="AN38" s="2">
        <v>8</v>
      </c>
      <c r="AO38" s="60">
        <v>7</v>
      </c>
      <c r="AP38" s="60">
        <v>2021</v>
      </c>
      <c r="AQ38" s="20"/>
      <c r="BB38"/>
      <c r="CE38" s="1" t="s">
        <v>1076</v>
      </c>
      <c r="CF38" s="1" t="s">
        <v>1147</v>
      </c>
      <c r="CG38" s="2">
        <v>55</v>
      </c>
      <c r="CH38">
        <v>6</v>
      </c>
      <c r="CI38" s="1">
        <v>2021</v>
      </c>
    </row>
    <row r="39" spans="1:87" ht="28.9">
      <c r="A39" s="1" t="s">
        <v>1077</v>
      </c>
      <c r="B39">
        <v>61</v>
      </c>
      <c r="C39">
        <v>6</v>
      </c>
      <c r="D39">
        <v>2021</v>
      </c>
      <c r="E39"/>
      <c r="F39" s="1" t="s">
        <v>1073</v>
      </c>
      <c r="G39" s="3">
        <v>24</v>
      </c>
      <c r="H39">
        <v>8</v>
      </c>
      <c r="I39">
        <v>2021</v>
      </c>
      <c r="K39" s="1" t="s">
        <v>1075</v>
      </c>
      <c r="L39">
        <v>121</v>
      </c>
      <c r="M39">
        <v>9</v>
      </c>
      <c r="N39">
        <v>2021</v>
      </c>
      <c r="Q39" s="2"/>
      <c r="U39" s="1" t="s">
        <v>1073</v>
      </c>
      <c r="V39" s="2">
        <v>9.8333333333333339</v>
      </c>
      <c r="W39">
        <v>8</v>
      </c>
      <c r="X39">
        <v>2021</v>
      </c>
      <c r="AM39" s="1" t="s">
        <v>1073</v>
      </c>
      <c r="AN39" s="2">
        <v>16</v>
      </c>
      <c r="AO39" s="60">
        <v>8</v>
      </c>
      <c r="AP39" s="60">
        <v>2021</v>
      </c>
      <c r="AQ39" s="20"/>
      <c r="BB39"/>
      <c r="BL39" s="44" t="s">
        <v>1105</v>
      </c>
      <c r="BM39" s="42"/>
      <c r="BN39" s="42"/>
      <c r="BO39" s="43"/>
      <c r="BP39" s="43"/>
      <c r="BQ39" s="43"/>
      <c r="BR39" s="43"/>
      <c r="BS39" s="43"/>
      <c r="BT39" s="43"/>
      <c r="BU39" s="43"/>
      <c r="BV39" s="43"/>
      <c r="BW39" s="43"/>
      <c r="BX39" s="42"/>
      <c r="BY39" s="42"/>
      <c r="BZ39" s="42"/>
      <c r="CE39" s="1" t="s">
        <v>1076</v>
      </c>
      <c r="CF39" s="1" t="s">
        <v>1147</v>
      </c>
      <c r="CG39" s="2">
        <v>39</v>
      </c>
      <c r="CH39">
        <v>7</v>
      </c>
      <c r="CI39" s="1">
        <v>2021</v>
      </c>
    </row>
    <row r="40" spans="1:87" ht="28.9">
      <c r="A40" s="1" t="s">
        <v>1075</v>
      </c>
      <c r="B40">
        <v>83</v>
      </c>
      <c r="C40">
        <v>6</v>
      </c>
      <c r="D40">
        <v>2021</v>
      </c>
      <c r="E40"/>
      <c r="F40" s="1" t="s">
        <v>1073</v>
      </c>
      <c r="G40" s="3">
        <v>30</v>
      </c>
      <c r="H40">
        <v>9</v>
      </c>
      <c r="I40">
        <v>2021</v>
      </c>
      <c r="K40" s="1" t="s">
        <v>1074</v>
      </c>
      <c r="L40">
        <v>37</v>
      </c>
      <c r="M40">
        <v>9</v>
      </c>
      <c r="N40">
        <v>2021</v>
      </c>
      <c r="Q40" s="2"/>
      <c r="U40" s="1" t="s">
        <v>1073</v>
      </c>
      <c r="V40" s="2">
        <v>8</v>
      </c>
      <c r="W40">
        <v>9</v>
      </c>
      <c r="X40">
        <v>2021</v>
      </c>
      <c r="AM40" s="1" t="s">
        <v>1073</v>
      </c>
      <c r="AN40" s="2">
        <v>9</v>
      </c>
      <c r="AO40" s="60">
        <v>9</v>
      </c>
      <c r="AP40" s="60">
        <v>2021</v>
      </c>
      <c r="AQ40" s="20"/>
      <c r="BB40"/>
      <c r="BL40" s="21" t="s">
        <v>1080</v>
      </c>
      <c r="BM40" s="7" t="s">
        <v>1128</v>
      </c>
      <c r="BN40" s="13">
        <v>44166</v>
      </c>
      <c r="BO40" s="13">
        <v>44197</v>
      </c>
      <c r="BP40" s="13">
        <v>44228</v>
      </c>
      <c r="BQ40" s="13">
        <v>44256</v>
      </c>
      <c r="BR40" s="13">
        <v>44287</v>
      </c>
      <c r="BS40" s="13">
        <v>44317</v>
      </c>
      <c r="BT40" s="13">
        <v>44348</v>
      </c>
      <c r="BU40" s="13">
        <v>44378</v>
      </c>
      <c r="BV40" s="13">
        <v>44409</v>
      </c>
      <c r="BW40" s="13">
        <v>44440</v>
      </c>
      <c r="BX40" s="13">
        <v>44470</v>
      </c>
      <c r="BY40" s="13">
        <v>44501</v>
      </c>
      <c r="BZ40" s="13">
        <v>44531</v>
      </c>
      <c r="CE40" s="1" t="s">
        <v>1076</v>
      </c>
      <c r="CF40" s="1" t="s">
        <v>1147</v>
      </c>
      <c r="CG40" s="2">
        <v>54</v>
      </c>
      <c r="CH40">
        <v>8</v>
      </c>
      <c r="CI40" s="1">
        <v>2021</v>
      </c>
    </row>
    <row r="41" spans="1:87" ht="28.9">
      <c r="A41" s="1" t="s">
        <v>1074</v>
      </c>
      <c r="B41">
        <v>66</v>
      </c>
      <c r="C41">
        <v>6</v>
      </c>
      <c r="D41">
        <v>2021</v>
      </c>
      <c r="E41"/>
      <c r="F41" s="1" t="s">
        <v>1078</v>
      </c>
      <c r="G41" s="3">
        <v>13</v>
      </c>
      <c r="H41">
        <v>2</v>
      </c>
      <c r="I41">
        <v>2021</v>
      </c>
      <c r="K41" s="1" t="s">
        <v>1079</v>
      </c>
      <c r="L41">
        <v>7</v>
      </c>
      <c r="M41">
        <v>9</v>
      </c>
      <c r="N41">
        <v>2021</v>
      </c>
      <c r="Q41" s="2"/>
      <c r="U41" s="1" t="s">
        <v>1078</v>
      </c>
      <c r="V41" s="2">
        <v>0.66666666666666663</v>
      </c>
      <c r="W41">
        <v>2</v>
      </c>
      <c r="X41">
        <v>2021</v>
      </c>
      <c r="AM41" s="1" t="s">
        <v>1078</v>
      </c>
      <c r="AN41" s="2">
        <v>12</v>
      </c>
      <c r="AO41" s="60">
        <v>2</v>
      </c>
      <c r="AP41" s="60">
        <v>2021</v>
      </c>
      <c r="AQ41" s="20"/>
      <c r="BB41"/>
      <c r="BD41" s="76" t="s">
        <v>38</v>
      </c>
      <c r="BE41" s="76" t="s">
        <v>1148</v>
      </c>
      <c r="BF41" s="76" t="s">
        <v>1149</v>
      </c>
      <c r="BG41" s="76" t="s">
        <v>1150</v>
      </c>
      <c r="BL41" s="10" t="str">
        <f t="shared" ref="BL41:BL47" si="31">AJ4</f>
        <v>DO TRUC LAM</v>
      </c>
      <c r="BM41" s="7">
        <f ca="1">SUM(BO41:BZ41)</f>
        <v>74</v>
      </c>
      <c r="BN41" s="7">
        <v>0</v>
      </c>
      <c r="BO41" s="7">
        <f t="shared" ref="BO41:BZ47" ca="1" si="32">SUMIFS(PO_pend_line,PO_pend_pro,$BL41,PO_pend_M,MONTH(BO$40),PO_pend_Y,YEAR(BO$40))</f>
        <v>0</v>
      </c>
      <c r="BP41" s="7">
        <f t="shared" ca="1" si="32"/>
        <v>0</v>
      </c>
      <c r="BQ41" s="7">
        <f t="shared" ca="1" si="32"/>
        <v>2</v>
      </c>
      <c r="BR41" s="7">
        <f t="shared" ca="1" si="32"/>
        <v>5</v>
      </c>
      <c r="BS41" s="7">
        <f t="shared" ca="1" si="32"/>
        <v>10</v>
      </c>
      <c r="BT41" s="7">
        <f t="shared" ca="1" si="32"/>
        <v>12</v>
      </c>
      <c r="BU41" s="7">
        <f t="shared" ca="1" si="32"/>
        <v>14</v>
      </c>
      <c r="BV41" s="7">
        <f t="shared" ca="1" si="32"/>
        <v>9</v>
      </c>
      <c r="BW41" s="7">
        <f t="shared" ca="1" si="32"/>
        <v>22</v>
      </c>
      <c r="BX41" s="7">
        <f t="shared" ca="1" si="32"/>
        <v>0</v>
      </c>
      <c r="BY41" s="7">
        <f t="shared" ca="1" si="32"/>
        <v>0</v>
      </c>
      <c r="BZ41" s="7">
        <f t="shared" ca="1" si="32"/>
        <v>0</v>
      </c>
      <c r="CE41" s="1" t="s">
        <v>1076</v>
      </c>
      <c r="CF41" s="1" t="s">
        <v>1129</v>
      </c>
      <c r="CG41" s="2">
        <v>1</v>
      </c>
      <c r="CH41">
        <v>1</v>
      </c>
      <c r="CI41" s="1">
        <v>2021</v>
      </c>
    </row>
    <row r="42" spans="1:87" ht="28.9">
      <c r="A42" s="1" t="s">
        <v>1076</v>
      </c>
      <c r="B42">
        <v>35</v>
      </c>
      <c r="C42">
        <v>6</v>
      </c>
      <c r="D42">
        <v>2021</v>
      </c>
      <c r="E42"/>
      <c r="F42" s="1" t="s">
        <v>1078</v>
      </c>
      <c r="G42" s="3">
        <v>54</v>
      </c>
      <c r="H42">
        <v>3</v>
      </c>
      <c r="I42">
        <v>2021</v>
      </c>
      <c r="K42" s="1" t="s">
        <v>1073</v>
      </c>
      <c r="L42">
        <v>44</v>
      </c>
      <c r="M42">
        <v>9</v>
      </c>
      <c r="N42">
        <v>2021</v>
      </c>
      <c r="Q42" s="2"/>
      <c r="U42" s="1" t="s">
        <v>1078</v>
      </c>
      <c r="V42" s="2">
        <v>0.17857142857142858</v>
      </c>
      <c r="W42">
        <v>3</v>
      </c>
      <c r="X42">
        <v>2021</v>
      </c>
      <c r="AM42" s="1" t="s">
        <v>1078</v>
      </c>
      <c r="AN42" s="2">
        <v>42</v>
      </c>
      <c r="AO42" s="60">
        <v>3</v>
      </c>
      <c r="AP42" s="60">
        <v>2021</v>
      </c>
      <c r="AQ42" s="20"/>
      <c r="BB42"/>
      <c r="BD42" s="76">
        <v>1</v>
      </c>
      <c r="BE42" s="76">
        <v>0.75872092999999996</v>
      </c>
      <c r="BF42" s="76">
        <v>344</v>
      </c>
      <c r="BG42" s="76">
        <v>261</v>
      </c>
      <c r="BL42" s="10" t="str">
        <f t="shared" si="31"/>
        <v>DO MAI HA</v>
      </c>
      <c r="BM42" s="7">
        <f t="shared" ref="BM42:BM47" ca="1" si="33">SUM(BO42:BZ42)</f>
        <v>231</v>
      </c>
      <c r="BN42" s="7">
        <v>0</v>
      </c>
      <c r="BO42" s="7">
        <f t="shared" ca="1" si="32"/>
        <v>0</v>
      </c>
      <c r="BP42" s="7">
        <f t="shared" ca="1" si="32"/>
        <v>0</v>
      </c>
      <c r="BQ42" s="7">
        <f t="shared" ca="1" si="32"/>
        <v>0</v>
      </c>
      <c r="BR42" s="7">
        <f t="shared" ca="1" si="32"/>
        <v>0</v>
      </c>
      <c r="BS42" s="7">
        <f t="shared" ca="1" si="32"/>
        <v>0</v>
      </c>
      <c r="BT42" s="7">
        <f t="shared" ca="1" si="32"/>
        <v>13</v>
      </c>
      <c r="BU42" s="7">
        <f t="shared" ca="1" si="32"/>
        <v>32</v>
      </c>
      <c r="BV42" s="7">
        <f t="shared" ca="1" si="32"/>
        <v>110</v>
      </c>
      <c r="BW42" s="7">
        <f t="shared" ca="1" si="32"/>
        <v>76</v>
      </c>
      <c r="BX42" s="7">
        <f t="shared" ca="1" si="32"/>
        <v>0</v>
      </c>
      <c r="BY42" s="7">
        <f t="shared" ca="1" si="32"/>
        <v>0</v>
      </c>
      <c r="BZ42" s="7">
        <f t="shared" ca="1" si="32"/>
        <v>0</v>
      </c>
      <c r="CE42" s="1" t="s">
        <v>1076</v>
      </c>
      <c r="CF42" s="1" t="s">
        <v>1141</v>
      </c>
      <c r="CG42" s="2">
        <v>2</v>
      </c>
      <c r="CH42">
        <v>12</v>
      </c>
      <c r="CI42" s="1">
        <v>2020</v>
      </c>
    </row>
    <row r="43" spans="1:87" ht="28.9">
      <c r="A43" s="1" t="s">
        <v>1079</v>
      </c>
      <c r="B43">
        <v>19</v>
      </c>
      <c r="C43">
        <v>6</v>
      </c>
      <c r="D43">
        <v>2021</v>
      </c>
      <c r="E43"/>
      <c r="F43" s="1" t="s">
        <v>1078</v>
      </c>
      <c r="G43" s="3">
        <v>149</v>
      </c>
      <c r="H43">
        <v>4</v>
      </c>
      <c r="I43">
        <v>2021</v>
      </c>
      <c r="Q43" s="2"/>
      <c r="U43" s="1" t="s">
        <v>1078</v>
      </c>
      <c r="V43" s="2">
        <v>2.2671232876712328</v>
      </c>
      <c r="W43">
        <v>4</v>
      </c>
      <c r="X43">
        <v>2021</v>
      </c>
      <c r="AM43" s="1" t="s">
        <v>1078</v>
      </c>
      <c r="AN43" s="2">
        <v>137</v>
      </c>
      <c r="AO43" s="60">
        <v>4</v>
      </c>
      <c r="AP43" s="60">
        <v>2021</v>
      </c>
      <c r="AQ43" s="20"/>
      <c r="BB43"/>
      <c r="BD43" s="76">
        <v>2</v>
      </c>
      <c r="BE43" s="76">
        <v>1.7976190480000001</v>
      </c>
      <c r="BF43" s="76">
        <v>168</v>
      </c>
      <c r="BG43" s="76">
        <v>302</v>
      </c>
      <c r="BL43" s="10" t="str">
        <f t="shared" si="31"/>
        <v>BUI NHU BAO</v>
      </c>
      <c r="BM43" s="7">
        <f t="shared" ca="1" si="33"/>
        <v>1</v>
      </c>
      <c r="BN43" s="7">
        <v>0</v>
      </c>
      <c r="BO43" s="7">
        <f t="shared" ca="1" si="32"/>
        <v>0</v>
      </c>
      <c r="BP43" s="7">
        <f t="shared" ca="1" si="32"/>
        <v>0</v>
      </c>
      <c r="BQ43" s="7">
        <f t="shared" ca="1" si="32"/>
        <v>0</v>
      </c>
      <c r="BR43" s="7">
        <f t="shared" ca="1" si="32"/>
        <v>0</v>
      </c>
      <c r="BS43" s="7">
        <f t="shared" ca="1" si="32"/>
        <v>1</v>
      </c>
      <c r="BT43" s="7">
        <f t="shared" ca="1" si="32"/>
        <v>0</v>
      </c>
      <c r="BU43" s="7">
        <f t="shared" ca="1" si="32"/>
        <v>0</v>
      </c>
      <c r="BV43" s="7">
        <f t="shared" ca="1" si="32"/>
        <v>0</v>
      </c>
      <c r="BW43" s="7">
        <f t="shared" ca="1" si="32"/>
        <v>0</v>
      </c>
      <c r="BX43" s="7">
        <f t="shared" ca="1" si="32"/>
        <v>0</v>
      </c>
      <c r="BY43" s="7">
        <f t="shared" ca="1" si="32"/>
        <v>0</v>
      </c>
      <c r="BZ43" s="7">
        <f t="shared" ca="1" si="32"/>
        <v>0</v>
      </c>
      <c r="CE43" s="1" t="s">
        <v>1076</v>
      </c>
      <c r="CF43" s="1" t="s">
        <v>1151</v>
      </c>
      <c r="CG43" s="2">
        <v>1</v>
      </c>
      <c r="CH43">
        <v>6</v>
      </c>
      <c r="CI43" s="1">
        <v>2021</v>
      </c>
    </row>
    <row r="44" spans="1:87" ht="28.9">
      <c r="A44" s="1" t="s">
        <v>1073</v>
      </c>
      <c r="B44">
        <v>273</v>
      </c>
      <c r="C44">
        <v>6</v>
      </c>
      <c r="D44">
        <v>2021</v>
      </c>
      <c r="E44"/>
      <c r="F44" s="1" t="s">
        <v>1078</v>
      </c>
      <c r="G44" s="3">
        <v>89</v>
      </c>
      <c r="H44">
        <v>5</v>
      </c>
      <c r="I44">
        <v>2021</v>
      </c>
      <c r="Q44" s="2"/>
      <c r="U44" s="1" t="s">
        <v>1078</v>
      </c>
      <c r="V44" s="2">
        <v>0.71111111111111114</v>
      </c>
      <c r="W44">
        <v>5</v>
      </c>
      <c r="X44">
        <v>2021</v>
      </c>
      <c r="AM44" s="1" t="s">
        <v>1078</v>
      </c>
      <c r="AN44" s="2">
        <v>69</v>
      </c>
      <c r="AO44" s="60">
        <v>5</v>
      </c>
      <c r="AP44" s="60">
        <v>2021</v>
      </c>
      <c r="AQ44" s="20"/>
      <c r="BB44"/>
      <c r="BD44" s="76">
        <v>3</v>
      </c>
      <c r="BE44" s="76">
        <v>2.1408450700000001</v>
      </c>
      <c r="BF44" s="76">
        <v>284</v>
      </c>
      <c r="BG44" s="76">
        <v>608</v>
      </c>
      <c r="BL44" s="10" t="str">
        <f t="shared" si="31"/>
        <v>DO MINH AN</v>
      </c>
      <c r="BM44" s="7">
        <f t="shared" ca="1" si="33"/>
        <v>40</v>
      </c>
      <c r="BN44" s="7">
        <v>0</v>
      </c>
      <c r="BO44" s="7">
        <f t="shared" ca="1" si="32"/>
        <v>2</v>
      </c>
      <c r="BP44" s="7">
        <f t="shared" ca="1" si="32"/>
        <v>4</v>
      </c>
      <c r="BQ44" s="7">
        <f t="shared" ca="1" si="32"/>
        <v>1</v>
      </c>
      <c r="BR44" s="7">
        <f t="shared" ca="1" si="32"/>
        <v>3</v>
      </c>
      <c r="BS44" s="7">
        <f t="shared" ca="1" si="32"/>
        <v>11</v>
      </c>
      <c r="BT44" s="7">
        <f t="shared" ca="1" si="32"/>
        <v>2</v>
      </c>
      <c r="BU44" s="7">
        <f t="shared" ca="1" si="32"/>
        <v>9</v>
      </c>
      <c r="BV44" s="7">
        <f t="shared" ca="1" si="32"/>
        <v>8</v>
      </c>
      <c r="BW44" s="7">
        <f t="shared" ca="1" si="32"/>
        <v>0</v>
      </c>
      <c r="BX44" s="7">
        <f t="shared" ca="1" si="32"/>
        <v>0</v>
      </c>
      <c r="BY44" s="7">
        <f t="shared" ca="1" si="32"/>
        <v>0</v>
      </c>
      <c r="BZ44" s="7">
        <f t="shared" ca="1" si="32"/>
        <v>0</v>
      </c>
      <c r="CE44" s="1" t="s">
        <v>1079</v>
      </c>
      <c r="CF44" s="1" t="s">
        <v>1141</v>
      </c>
      <c r="CG44" s="2">
        <v>30</v>
      </c>
      <c r="CH44">
        <v>1</v>
      </c>
      <c r="CI44" s="1">
        <v>2021</v>
      </c>
    </row>
    <row r="45" spans="1:87" ht="28.9">
      <c r="A45" s="1" t="s">
        <v>1078</v>
      </c>
      <c r="B45">
        <v>25</v>
      </c>
      <c r="C45">
        <v>6</v>
      </c>
      <c r="D45">
        <v>2021</v>
      </c>
      <c r="E45"/>
      <c r="F45" s="1" t="s">
        <v>1078</v>
      </c>
      <c r="G45" s="3">
        <v>1</v>
      </c>
      <c r="H45">
        <v>6</v>
      </c>
      <c r="I45">
        <v>2021</v>
      </c>
      <c r="Q45" s="2"/>
      <c r="U45" s="1" t="s">
        <v>1078</v>
      </c>
      <c r="V45" s="2">
        <v>0</v>
      </c>
      <c r="W45">
        <v>6</v>
      </c>
      <c r="X45">
        <v>2021</v>
      </c>
      <c r="AM45" s="1" t="s">
        <v>1078</v>
      </c>
      <c r="AN45" s="2">
        <v>1</v>
      </c>
      <c r="AO45" s="60">
        <v>6</v>
      </c>
      <c r="AP45" s="60">
        <v>2021</v>
      </c>
      <c r="AQ45" s="20"/>
      <c r="BB45"/>
      <c r="BD45" s="76">
        <v>4</v>
      </c>
      <c r="BE45" s="76">
        <v>1.8516949149999999</v>
      </c>
      <c r="BF45" s="76">
        <v>472</v>
      </c>
      <c r="BG45" s="76">
        <v>874</v>
      </c>
      <c r="BL45" s="10" t="str">
        <f t="shared" si="31"/>
        <v>BUI BICH HAI</v>
      </c>
      <c r="BM45" s="7">
        <f t="shared" ca="1" si="33"/>
        <v>9</v>
      </c>
      <c r="BN45" s="7">
        <v>0</v>
      </c>
      <c r="BO45" s="7">
        <f t="shared" ca="1" si="32"/>
        <v>0</v>
      </c>
      <c r="BP45" s="7">
        <f t="shared" ca="1" si="32"/>
        <v>0</v>
      </c>
      <c r="BQ45" s="7">
        <f t="shared" ca="1" si="32"/>
        <v>4</v>
      </c>
      <c r="BR45" s="7">
        <f t="shared" ca="1" si="32"/>
        <v>3</v>
      </c>
      <c r="BS45" s="7">
        <f t="shared" ca="1" si="32"/>
        <v>2</v>
      </c>
      <c r="BT45" s="7">
        <f t="shared" ca="1" si="32"/>
        <v>0</v>
      </c>
      <c r="BU45" s="7">
        <f t="shared" ca="1" si="32"/>
        <v>0</v>
      </c>
      <c r="BV45" s="7">
        <f t="shared" ca="1" si="32"/>
        <v>0</v>
      </c>
      <c r="BW45" s="7">
        <f t="shared" ca="1" si="32"/>
        <v>0</v>
      </c>
      <c r="BX45" s="7">
        <f t="shared" ca="1" si="32"/>
        <v>0</v>
      </c>
      <c r="BY45" s="7">
        <f t="shared" ca="1" si="32"/>
        <v>0</v>
      </c>
      <c r="BZ45" s="7">
        <f t="shared" ca="1" si="32"/>
        <v>0</v>
      </c>
      <c r="CE45" s="1" t="s">
        <v>1079</v>
      </c>
      <c r="CF45" s="1" t="s">
        <v>1141</v>
      </c>
      <c r="CG45" s="2">
        <v>7</v>
      </c>
      <c r="CH45">
        <v>2</v>
      </c>
      <c r="CI45" s="1">
        <v>2021</v>
      </c>
    </row>
    <row r="46" spans="1:87">
      <c r="A46" s="1" t="s">
        <v>1077</v>
      </c>
      <c r="B46">
        <v>37</v>
      </c>
      <c r="C46">
        <v>7</v>
      </c>
      <c r="D46">
        <v>2021</v>
      </c>
      <c r="E46"/>
      <c r="G46" s="3"/>
      <c r="Q46" s="2"/>
      <c r="AQ46" s="20"/>
      <c r="BB46"/>
      <c r="BD46" s="76">
        <v>5</v>
      </c>
      <c r="BE46" s="76">
        <v>1.5585365849999999</v>
      </c>
      <c r="BF46" s="76">
        <v>410</v>
      </c>
      <c r="BG46" s="76">
        <v>639</v>
      </c>
      <c r="BL46" s="10" t="str">
        <f t="shared" si="31"/>
        <v>TRAN BICH HANG</v>
      </c>
      <c r="BM46" s="7">
        <f t="shared" ca="1" si="33"/>
        <v>45</v>
      </c>
      <c r="BN46" s="7">
        <v>0</v>
      </c>
      <c r="BO46" s="7">
        <f t="shared" ca="1" si="32"/>
        <v>0</v>
      </c>
      <c r="BP46" s="7">
        <f t="shared" ca="1" si="32"/>
        <v>1</v>
      </c>
      <c r="BQ46" s="7">
        <f t="shared" ca="1" si="32"/>
        <v>12</v>
      </c>
      <c r="BR46" s="7">
        <f t="shared" ca="1" si="32"/>
        <v>12</v>
      </c>
      <c r="BS46" s="7">
        <f t="shared" ca="1" si="32"/>
        <v>20</v>
      </c>
      <c r="BT46" s="7">
        <f t="shared" ca="1" si="32"/>
        <v>0</v>
      </c>
      <c r="BU46" s="7">
        <f t="shared" ca="1" si="32"/>
        <v>0</v>
      </c>
      <c r="BV46" s="7">
        <f t="shared" ca="1" si="32"/>
        <v>0</v>
      </c>
      <c r="BW46" s="7">
        <f t="shared" ca="1" si="32"/>
        <v>0</v>
      </c>
      <c r="BX46" s="7">
        <f t="shared" ca="1" si="32"/>
        <v>0</v>
      </c>
      <c r="BY46" s="7">
        <f t="shared" ca="1" si="32"/>
        <v>0</v>
      </c>
      <c r="BZ46" s="7">
        <f t="shared" ca="1" si="32"/>
        <v>0</v>
      </c>
      <c r="CE46" s="1" t="s">
        <v>1079</v>
      </c>
      <c r="CF46" s="1" t="s">
        <v>1141</v>
      </c>
      <c r="CG46" s="2">
        <v>48</v>
      </c>
      <c r="CH46">
        <v>3</v>
      </c>
      <c r="CI46" s="1">
        <v>2021</v>
      </c>
    </row>
    <row r="47" spans="1:87">
      <c r="A47" s="1" t="s">
        <v>1075</v>
      </c>
      <c r="B47">
        <v>238</v>
      </c>
      <c r="C47">
        <v>7</v>
      </c>
      <c r="D47">
        <v>2021</v>
      </c>
      <c r="E47"/>
      <c r="G47" s="3"/>
      <c r="Q47" s="2"/>
      <c r="AQ47" s="20"/>
      <c r="BB47"/>
      <c r="BD47" s="76">
        <v>6</v>
      </c>
      <c r="BE47" s="76">
        <v>2.193103448</v>
      </c>
      <c r="BF47" s="76">
        <v>435</v>
      </c>
      <c r="BG47" s="76">
        <v>954</v>
      </c>
      <c r="BL47" s="10" t="str">
        <f t="shared" si="31"/>
        <v>DO NGOC HA</v>
      </c>
      <c r="BM47" s="7">
        <f t="shared" ca="1" si="33"/>
        <v>4</v>
      </c>
      <c r="BN47" s="7">
        <v>0</v>
      </c>
      <c r="BO47" s="7">
        <f t="shared" ca="1" si="32"/>
        <v>0</v>
      </c>
      <c r="BP47" s="7">
        <f t="shared" ca="1" si="32"/>
        <v>0</v>
      </c>
      <c r="BQ47" s="7">
        <f t="shared" ca="1" si="32"/>
        <v>4</v>
      </c>
      <c r="BR47" s="7">
        <f t="shared" ca="1" si="32"/>
        <v>0</v>
      </c>
      <c r="BS47" s="7">
        <f t="shared" ca="1" si="32"/>
        <v>0</v>
      </c>
      <c r="BT47" s="7">
        <f t="shared" ca="1" si="32"/>
        <v>0</v>
      </c>
      <c r="BU47" s="7">
        <f t="shared" ca="1" si="32"/>
        <v>0</v>
      </c>
      <c r="BV47" s="7">
        <f t="shared" ca="1" si="32"/>
        <v>0</v>
      </c>
      <c r="BW47" s="7">
        <f t="shared" ca="1" si="32"/>
        <v>0</v>
      </c>
      <c r="BX47" s="7">
        <f t="shared" ca="1" si="32"/>
        <v>0</v>
      </c>
      <c r="BY47" s="7">
        <f t="shared" ca="1" si="32"/>
        <v>0</v>
      </c>
      <c r="BZ47" s="7">
        <f t="shared" ca="1" si="32"/>
        <v>0</v>
      </c>
      <c r="CE47" s="1" t="s">
        <v>1079</v>
      </c>
      <c r="CF47" s="1" t="s">
        <v>1141</v>
      </c>
      <c r="CG47" s="2">
        <v>23</v>
      </c>
      <c r="CH47">
        <v>4</v>
      </c>
      <c r="CI47" s="1">
        <v>2021</v>
      </c>
    </row>
    <row r="48" spans="1:87">
      <c r="A48" s="1" t="s">
        <v>1074</v>
      </c>
      <c r="B48">
        <v>50</v>
      </c>
      <c r="C48">
        <v>7</v>
      </c>
      <c r="D48">
        <v>2021</v>
      </c>
      <c r="E48"/>
      <c r="G48" s="3"/>
      <c r="Q48" s="2"/>
      <c r="AQ48" s="20"/>
      <c r="BB48"/>
      <c r="BD48" s="76">
        <v>7</v>
      </c>
      <c r="BE48" s="76">
        <v>1.8549618320000001</v>
      </c>
      <c r="BF48" s="76">
        <v>262</v>
      </c>
      <c r="BG48" s="76">
        <v>486</v>
      </c>
      <c r="BL48" s="21" t="s">
        <v>134</v>
      </c>
      <c r="BM48" s="7">
        <f ca="1">SUM(BO48:BZ48)</f>
        <v>404</v>
      </c>
      <c r="BN48" s="7">
        <v>0</v>
      </c>
      <c r="BO48" s="7">
        <f ca="1">SUM(BO41:BO47)</f>
        <v>2</v>
      </c>
      <c r="BP48" s="7">
        <f t="shared" ref="BP48:BZ48" ca="1" si="34">SUM(BP41:BP47)</f>
        <v>5</v>
      </c>
      <c r="BQ48" s="7">
        <f t="shared" ca="1" si="34"/>
        <v>23</v>
      </c>
      <c r="BR48" s="7">
        <f t="shared" ca="1" si="34"/>
        <v>23</v>
      </c>
      <c r="BS48" s="7">
        <f t="shared" ca="1" si="34"/>
        <v>44</v>
      </c>
      <c r="BT48" s="7">
        <f t="shared" ca="1" si="34"/>
        <v>27</v>
      </c>
      <c r="BU48" s="7">
        <f t="shared" ca="1" si="34"/>
        <v>55</v>
      </c>
      <c r="BV48" s="7">
        <f t="shared" ca="1" si="34"/>
        <v>127</v>
      </c>
      <c r="BW48" s="7">
        <f t="shared" ca="1" si="34"/>
        <v>98</v>
      </c>
      <c r="BX48" s="7">
        <f t="shared" ca="1" si="34"/>
        <v>0</v>
      </c>
      <c r="BY48" s="7">
        <f t="shared" ca="1" si="34"/>
        <v>0</v>
      </c>
      <c r="BZ48" s="7">
        <f t="shared" ca="1" si="34"/>
        <v>0</v>
      </c>
      <c r="CE48" s="1" t="s">
        <v>1079</v>
      </c>
      <c r="CF48" s="1" t="s">
        <v>1141</v>
      </c>
      <c r="CG48" s="2">
        <v>17</v>
      </c>
      <c r="CH48">
        <v>5</v>
      </c>
      <c r="CI48" s="1">
        <v>2021</v>
      </c>
    </row>
    <row r="49" spans="1:87">
      <c r="A49" s="1" t="s">
        <v>1076</v>
      </c>
      <c r="B49">
        <v>36</v>
      </c>
      <c r="C49">
        <v>7</v>
      </c>
      <c r="D49">
        <v>2021</v>
      </c>
      <c r="E49"/>
      <c r="G49" s="3"/>
      <c r="Q49" s="2"/>
      <c r="AQ49" s="20"/>
      <c r="BB49"/>
      <c r="BD49" s="76">
        <v>8</v>
      </c>
      <c r="BE49" s="76">
        <v>1.5552325579999999</v>
      </c>
      <c r="BF49" s="76">
        <v>344</v>
      </c>
      <c r="BG49" s="76">
        <v>535</v>
      </c>
      <c r="CE49" s="1" t="s">
        <v>1079</v>
      </c>
      <c r="CF49" s="1" t="s">
        <v>1152</v>
      </c>
      <c r="CG49" s="2">
        <v>6</v>
      </c>
      <c r="CH49">
        <v>2</v>
      </c>
      <c r="CI49" s="1">
        <v>2021</v>
      </c>
    </row>
    <row r="50" spans="1:87">
      <c r="A50" s="1" t="s">
        <v>1079</v>
      </c>
      <c r="B50">
        <v>24</v>
      </c>
      <c r="C50">
        <v>7</v>
      </c>
      <c r="D50">
        <v>2021</v>
      </c>
      <c r="E50"/>
      <c r="G50" s="3"/>
      <c r="Q50" s="2"/>
      <c r="AQ50" s="20"/>
      <c r="BB50"/>
      <c r="BD50" s="76">
        <v>9</v>
      </c>
      <c r="BE50" s="76">
        <v>2.9345794390000002</v>
      </c>
      <c r="BF50" s="76">
        <v>107</v>
      </c>
      <c r="BG50" s="76">
        <v>314</v>
      </c>
      <c r="CE50" s="1" t="s">
        <v>1073</v>
      </c>
      <c r="CF50" s="1" t="s">
        <v>1141</v>
      </c>
      <c r="CG50" s="2">
        <v>35</v>
      </c>
      <c r="CH50">
        <v>1</v>
      </c>
      <c r="CI50" s="1">
        <v>2021</v>
      </c>
    </row>
    <row r="51" spans="1:87">
      <c r="A51" s="1" t="s">
        <v>1073</v>
      </c>
      <c r="B51">
        <v>189</v>
      </c>
      <c r="C51">
        <v>7</v>
      </c>
      <c r="D51">
        <v>2021</v>
      </c>
      <c r="E51"/>
      <c r="G51" s="3"/>
      <c r="Q51" s="2"/>
      <c r="AQ51" s="20"/>
      <c r="BB51"/>
      <c r="BL51" s="44" t="s">
        <v>1134</v>
      </c>
      <c r="BM51" s="42"/>
      <c r="BN51" s="42"/>
      <c r="BO51" s="43"/>
      <c r="BP51" s="43"/>
      <c r="BQ51" s="43"/>
      <c r="BR51" s="43"/>
      <c r="BS51" s="43"/>
      <c r="BT51" s="43"/>
      <c r="BU51" s="43"/>
      <c r="BV51" s="43"/>
      <c r="BW51" s="43"/>
      <c r="BX51" s="42"/>
      <c r="BY51" s="42"/>
      <c r="BZ51" s="42"/>
      <c r="CE51" s="1" t="s">
        <v>1073</v>
      </c>
      <c r="CF51" s="1" t="s">
        <v>1141</v>
      </c>
      <c r="CG51" s="2">
        <v>26</v>
      </c>
      <c r="CH51">
        <v>2</v>
      </c>
      <c r="CI51" s="1">
        <v>2021</v>
      </c>
    </row>
    <row r="52" spans="1:87">
      <c r="A52" s="1" t="s">
        <v>1077</v>
      </c>
      <c r="B52">
        <v>36</v>
      </c>
      <c r="C52">
        <v>8</v>
      </c>
      <c r="D52">
        <v>2021</v>
      </c>
      <c r="E52"/>
      <c r="G52" s="3"/>
      <c r="Q52" s="2"/>
      <c r="AQ52" s="20"/>
      <c r="BB52"/>
      <c r="BL52" s="21" t="s">
        <v>1080</v>
      </c>
      <c r="BM52" s="7" t="s">
        <v>1128</v>
      </c>
      <c r="BN52" s="7"/>
      <c r="BO52" s="13">
        <v>44197</v>
      </c>
      <c r="BP52" s="13">
        <v>44228</v>
      </c>
      <c r="BQ52" s="13">
        <v>44256</v>
      </c>
      <c r="BR52" s="13">
        <v>44287</v>
      </c>
      <c r="BS52" s="13">
        <v>44317</v>
      </c>
      <c r="BT52" s="13">
        <v>44348</v>
      </c>
      <c r="BU52" s="13">
        <v>44378</v>
      </c>
      <c r="BV52" s="13">
        <v>44409</v>
      </c>
      <c r="BW52" s="13">
        <v>44440</v>
      </c>
      <c r="BX52" s="13">
        <v>44470</v>
      </c>
      <c r="BY52" s="13">
        <v>44501</v>
      </c>
      <c r="BZ52" s="13">
        <v>44531</v>
      </c>
      <c r="CE52" s="1" t="s">
        <v>1073</v>
      </c>
      <c r="CF52" s="1" t="s">
        <v>1141</v>
      </c>
      <c r="CG52" s="2">
        <v>67</v>
      </c>
      <c r="CH52">
        <v>3</v>
      </c>
      <c r="CI52" s="1">
        <v>2021</v>
      </c>
    </row>
    <row r="53" spans="1:87">
      <c r="A53" s="1" t="s">
        <v>1075</v>
      </c>
      <c r="B53">
        <v>270</v>
      </c>
      <c r="C53">
        <v>8</v>
      </c>
      <c r="D53">
        <v>2021</v>
      </c>
      <c r="E53"/>
      <c r="G53" s="3"/>
      <c r="Q53" s="2"/>
      <c r="AQ53" s="20"/>
      <c r="BB53"/>
      <c r="BL53" s="6" t="str">
        <f t="shared" ref="BL53:BL59" si="35">AJ4</f>
        <v>DO TRUC LAM</v>
      </c>
      <c r="BM53" s="7">
        <f ca="1">SUM(BO53:BZ53)</f>
        <v>92.892390289449111</v>
      </c>
      <c r="BN53" s="7"/>
      <c r="BO53" s="38">
        <f t="shared" ref="BO53:BZ59" ca="1" si="36">SUMIFS(PR_PO_avg_line,PR_PO_avg_pro,$BL53,PR_PO_avg_M,MONTH(BO$52),PR_PO_avg_Y,YEAR(BO$52))</f>
        <v>1.75</v>
      </c>
      <c r="BP53" s="38">
        <f t="shared" ca="1" si="36"/>
        <v>0.55555555555555558</v>
      </c>
      <c r="BQ53" s="38">
        <f t="shared" ca="1" si="36"/>
        <v>12.333333333333334</v>
      </c>
      <c r="BR53" s="38">
        <f t="shared" ca="1" si="36"/>
        <v>13</v>
      </c>
      <c r="BS53" s="38">
        <f t="shared" ca="1" si="36"/>
        <v>16.214285714285715</v>
      </c>
      <c r="BT53" s="38">
        <f t="shared" ca="1" si="36"/>
        <v>14.5</v>
      </c>
      <c r="BU53" s="38">
        <f t="shared" ca="1" si="36"/>
        <v>16.705882352941178</v>
      </c>
      <c r="BV53" s="38">
        <f t="shared" ca="1" si="36"/>
        <v>9.8333333333333339</v>
      </c>
      <c r="BW53" s="38">
        <f t="shared" ca="1" si="36"/>
        <v>8</v>
      </c>
      <c r="BX53" s="38">
        <f t="shared" ca="1" si="36"/>
        <v>0</v>
      </c>
      <c r="BY53" s="38">
        <f t="shared" ca="1" si="36"/>
        <v>0</v>
      </c>
      <c r="BZ53" s="38">
        <f t="shared" ca="1" si="36"/>
        <v>0</v>
      </c>
      <c r="CE53" s="1" t="s">
        <v>1073</v>
      </c>
      <c r="CF53" s="1" t="s">
        <v>1141</v>
      </c>
      <c r="CG53" s="2">
        <v>194</v>
      </c>
      <c r="CH53">
        <v>4</v>
      </c>
      <c r="CI53" s="1">
        <v>2021</v>
      </c>
    </row>
    <row r="54" spans="1:87">
      <c r="A54" s="1" t="s">
        <v>1074</v>
      </c>
      <c r="B54">
        <v>132</v>
      </c>
      <c r="C54">
        <v>8</v>
      </c>
      <c r="D54">
        <v>2021</v>
      </c>
      <c r="E54"/>
      <c r="G54" s="3"/>
      <c r="Q54" s="2"/>
      <c r="AQ54" s="20"/>
      <c r="BB54"/>
      <c r="BL54" s="6" t="str">
        <f t="shared" si="35"/>
        <v>DO MAI HA</v>
      </c>
      <c r="BM54" s="7">
        <f t="shared" ref="BM54:BM59" ca="1" si="37">SUM(BO54:BZ54)</f>
        <v>7.9651189932225677</v>
      </c>
      <c r="BN54" s="7"/>
      <c r="BO54" s="38">
        <f t="shared" ca="1" si="36"/>
        <v>0.53125</v>
      </c>
      <c r="BP54" s="38">
        <f t="shared" ca="1" si="36"/>
        <v>1.375</v>
      </c>
      <c r="BQ54" s="38">
        <f t="shared" ca="1" si="36"/>
        <v>0.78666666666666663</v>
      </c>
      <c r="BR54" s="38">
        <f t="shared" ca="1" si="36"/>
        <v>1.072289156626506</v>
      </c>
      <c r="BS54" s="38">
        <f t="shared" ca="1" si="36"/>
        <v>0.69635627530364375</v>
      </c>
      <c r="BT54" s="38">
        <f t="shared" ca="1" si="36"/>
        <v>0.98791540785498488</v>
      </c>
      <c r="BU54" s="38">
        <f t="shared" ca="1" si="36"/>
        <v>0.70873786407766992</v>
      </c>
      <c r="BV54" s="38">
        <f t="shared" ca="1" si="36"/>
        <v>0.84586466165413532</v>
      </c>
      <c r="BW54" s="38">
        <f t="shared" ca="1" si="36"/>
        <v>0.96103896103896103</v>
      </c>
      <c r="BX54" s="38">
        <f t="shared" ca="1" si="36"/>
        <v>0</v>
      </c>
      <c r="BY54" s="38">
        <f t="shared" ca="1" si="36"/>
        <v>0</v>
      </c>
      <c r="BZ54" s="38">
        <f t="shared" ca="1" si="36"/>
        <v>0</v>
      </c>
      <c r="CE54" s="1" t="s">
        <v>1073</v>
      </c>
      <c r="CF54" s="1" t="s">
        <v>1141</v>
      </c>
      <c r="CG54" s="2">
        <v>156</v>
      </c>
      <c r="CH54">
        <v>5</v>
      </c>
      <c r="CI54" s="1">
        <v>2021</v>
      </c>
    </row>
    <row r="55" spans="1:87">
      <c r="A55" s="1" t="s">
        <v>1076</v>
      </c>
      <c r="B55">
        <v>51</v>
      </c>
      <c r="C55">
        <v>8</v>
      </c>
      <c r="D55">
        <v>2021</v>
      </c>
      <c r="E55"/>
      <c r="G55" s="3"/>
      <c r="Q55" s="2"/>
      <c r="AQ55" s="20"/>
      <c r="BB55"/>
      <c r="BL55" s="6" t="str">
        <f t="shared" si="35"/>
        <v>BUI NHU BAO</v>
      </c>
      <c r="BM55" s="7">
        <f t="shared" ca="1" si="37"/>
        <v>15.486987474082618</v>
      </c>
      <c r="BN55" s="7"/>
      <c r="BO55" s="38">
        <f t="shared" ca="1" si="36"/>
        <v>0.71597633136094674</v>
      </c>
      <c r="BP55" s="38">
        <f t="shared" ca="1" si="36"/>
        <v>0.7567567567567568</v>
      </c>
      <c r="BQ55" s="38">
        <f t="shared" ca="1" si="36"/>
        <v>1.868421052631579</v>
      </c>
      <c r="BR55" s="38">
        <f t="shared" ca="1" si="36"/>
        <v>0.8125</v>
      </c>
      <c r="BS55" s="38">
        <f t="shared" ca="1" si="36"/>
        <v>11.333333333333334</v>
      </c>
      <c r="BT55" s="38">
        <f t="shared" ca="1" si="36"/>
        <v>0</v>
      </c>
      <c r="BU55" s="38">
        <f t="shared" ca="1" si="36"/>
        <v>0</v>
      </c>
      <c r="BV55" s="38">
        <f t="shared" ca="1" si="36"/>
        <v>0</v>
      </c>
      <c r="BW55" s="38">
        <f t="shared" ca="1" si="36"/>
        <v>0</v>
      </c>
      <c r="BX55" s="38">
        <f t="shared" ca="1" si="36"/>
        <v>0</v>
      </c>
      <c r="BY55" s="38">
        <f t="shared" ca="1" si="36"/>
        <v>0</v>
      </c>
      <c r="BZ55" s="38">
        <f t="shared" ca="1" si="36"/>
        <v>0</v>
      </c>
      <c r="CE55" s="1" t="s">
        <v>1073</v>
      </c>
      <c r="CF55" s="1" t="s">
        <v>1141</v>
      </c>
      <c r="CG55" s="2">
        <v>251</v>
      </c>
      <c r="CH55">
        <v>6</v>
      </c>
      <c r="CI55" s="1">
        <v>2021</v>
      </c>
    </row>
    <row r="56" spans="1:87">
      <c r="A56" s="1" t="s">
        <v>1079</v>
      </c>
      <c r="B56">
        <v>31</v>
      </c>
      <c r="C56">
        <v>8</v>
      </c>
      <c r="D56">
        <v>2021</v>
      </c>
      <c r="E56"/>
      <c r="G56" s="3"/>
      <c r="Q56" s="2"/>
      <c r="AQ56" s="20"/>
      <c r="BB56"/>
      <c r="BL56" s="6" t="str">
        <f t="shared" si="35"/>
        <v>DO MINH AN</v>
      </c>
      <c r="BM56" s="7">
        <f t="shared" ca="1" si="37"/>
        <v>14.579062954925023</v>
      </c>
      <c r="BN56" s="7"/>
      <c r="BO56" s="38">
        <f t="shared" ca="1" si="36"/>
        <v>1.4871794871794872</v>
      </c>
      <c r="BP56" s="38">
        <f t="shared" ca="1" si="36"/>
        <v>4.0909090909090908</v>
      </c>
      <c r="BQ56" s="38">
        <f t="shared" ca="1" si="36"/>
        <v>0.96551724137931039</v>
      </c>
      <c r="BR56" s="38">
        <f t="shared" ca="1" si="36"/>
        <v>2.6153846153846154</v>
      </c>
      <c r="BS56" s="38">
        <f t="shared" ca="1" si="36"/>
        <v>1.7592592592592593</v>
      </c>
      <c r="BT56" s="38">
        <f t="shared" ca="1" si="36"/>
        <v>0.8545454545454545</v>
      </c>
      <c r="BU56" s="38">
        <f t="shared" ca="1" si="36"/>
        <v>1.4358974358974359</v>
      </c>
      <c r="BV56" s="38">
        <f t="shared" ca="1" si="36"/>
        <v>1.3703703703703705</v>
      </c>
      <c r="BW56" s="38">
        <f t="shared" ca="1" si="36"/>
        <v>0</v>
      </c>
      <c r="BX56" s="38">
        <f t="shared" ca="1" si="36"/>
        <v>0</v>
      </c>
      <c r="BY56" s="38">
        <f t="shared" ca="1" si="36"/>
        <v>0</v>
      </c>
      <c r="BZ56" s="38">
        <f t="shared" ca="1" si="36"/>
        <v>0</v>
      </c>
      <c r="CE56" s="1" t="s">
        <v>1073</v>
      </c>
      <c r="CF56" s="1" t="s">
        <v>1141</v>
      </c>
      <c r="CG56" s="2">
        <v>152</v>
      </c>
      <c r="CH56">
        <v>7</v>
      </c>
      <c r="CI56" s="1">
        <v>2021</v>
      </c>
    </row>
    <row r="57" spans="1:87">
      <c r="A57" s="1" t="s">
        <v>1073</v>
      </c>
      <c r="B57">
        <v>228</v>
      </c>
      <c r="C57">
        <v>8</v>
      </c>
      <c r="D57">
        <v>2021</v>
      </c>
      <c r="E57"/>
      <c r="G57" s="3"/>
      <c r="Q57" s="2"/>
      <c r="AQ57" s="20"/>
      <c r="BB57"/>
      <c r="BL57" s="6" t="str">
        <f t="shared" si="35"/>
        <v>BUI BICH HAI</v>
      </c>
      <c r="BM57" s="7">
        <f t="shared" ca="1" si="37"/>
        <v>77.833333333333329</v>
      </c>
      <c r="BN57" s="7"/>
      <c r="BO57" s="38">
        <f t="shared" ca="1" si="36"/>
        <v>0</v>
      </c>
      <c r="BP57" s="38">
        <f t="shared" ca="1" si="36"/>
        <v>0</v>
      </c>
      <c r="BQ57" s="38">
        <f t="shared" ca="1" si="36"/>
        <v>38</v>
      </c>
      <c r="BR57" s="38">
        <f t="shared" ca="1" si="36"/>
        <v>16.333333333333332</v>
      </c>
      <c r="BS57" s="38">
        <f t="shared" ca="1" si="36"/>
        <v>23.5</v>
      </c>
      <c r="BT57" s="38">
        <f t="shared" ca="1" si="36"/>
        <v>0</v>
      </c>
      <c r="BU57" s="38">
        <f t="shared" ca="1" si="36"/>
        <v>0</v>
      </c>
      <c r="BV57" s="38">
        <f t="shared" ca="1" si="36"/>
        <v>0</v>
      </c>
      <c r="BW57" s="38">
        <f t="shared" ca="1" si="36"/>
        <v>0</v>
      </c>
      <c r="BX57" s="38">
        <f t="shared" ca="1" si="36"/>
        <v>0</v>
      </c>
      <c r="BY57" s="38">
        <f t="shared" ca="1" si="36"/>
        <v>0</v>
      </c>
      <c r="BZ57" s="38">
        <f t="shared" ca="1" si="36"/>
        <v>0</v>
      </c>
      <c r="CE57" s="1" t="s">
        <v>1073</v>
      </c>
      <c r="CF57" s="1" t="s">
        <v>1141</v>
      </c>
      <c r="CG57" s="2">
        <v>184</v>
      </c>
      <c r="CH57">
        <v>8</v>
      </c>
      <c r="CI57" s="1">
        <v>2021</v>
      </c>
    </row>
    <row r="58" spans="1:87">
      <c r="A58" s="1" t="s">
        <v>1077</v>
      </c>
      <c r="B58">
        <v>34</v>
      </c>
      <c r="C58">
        <v>9</v>
      </c>
      <c r="D58">
        <v>2021</v>
      </c>
      <c r="E58"/>
      <c r="G58" s="3"/>
      <c r="Q58" s="2"/>
      <c r="AQ58" s="20"/>
      <c r="BB58"/>
      <c r="BL58" s="6" t="str">
        <f t="shared" si="35"/>
        <v>TRAN BICH HANG</v>
      </c>
      <c r="BM58" s="7">
        <f t="shared" ca="1" si="37"/>
        <v>3.8234724940204394</v>
      </c>
      <c r="BN58" s="7"/>
      <c r="BO58" s="38">
        <f t="shared" ca="1" si="36"/>
        <v>0</v>
      </c>
      <c r="BP58" s="38">
        <f t="shared" ca="1" si="36"/>
        <v>0.66666666666666663</v>
      </c>
      <c r="BQ58" s="38">
        <f t="shared" ca="1" si="36"/>
        <v>0.17857142857142858</v>
      </c>
      <c r="BR58" s="38">
        <f t="shared" ca="1" si="36"/>
        <v>2.2671232876712328</v>
      </c>
      <c r="BS58" s="38">
        <f t="shared" ca="1" si="36"/>
        <v>0.71111111111111114</v>
      </c>
      <c r="BT58" s="38">
        <f t="shared" ca="1" si="36"/>
        <v>0</v>
      </c>
      <c r="BU58" s="38">
        <f t="shared" ca="1" si="36"/>
        <v>0</v>
      </c>
      <c r="BV58" s="38">
        <f t="shared" ca="1" si="36"/>
        <v>0</v>
      </c>
      <c r="BW58" s="38">
        <f t="shared" ca="1" si="36"/>
        <v>0</v>
      </c>
      <c r="BX58" s="38">
        <f t="shared" ca="1" si="36"/>
        <v>0</v>
      </c>
      <c r="BY58" s="38">
        <f t="shared" ca="1" si="36"/>
        <v>0</v>
      </c>
      <c r="BZ58" s="38">
        <f t="shared" ca="1" si="36"/>
        <v>0</v>
      </c>
      <c r="CE58" s="1" t="s">
        <v>1073</v>
      </c>
      <c r="CF58" s="1" t="s">
        <v>1141</v>
      </c>
      <c r="CG58" s="2">
        <v>76</v>
      </c>
      <c r="CH58">
        <v>9</v>
      </c>
      <c r="CI58" s="1">
        <v>2021</v>
      </c>
    </row>
    <row r="59" spans="1:87">
      <c r="A59" s="1" t="s">
        <v>1075</v>
      </c>
      <c r="B59">
        <v>121</v>
      </c>
      <c r="C59">
        <v>9</v>
      </c>
      <c r="D59">
        <v>2021</v>
      </c>
      <c r="E59"/>
      <c r="G59" s="3"/>
      <c r="Q59" s="2"/>
      <c r="AQ59" s="20"/>
      <c r="BB59"/>
      <c r="BL59" s="6" t="str">
        <f t="shared" si="35"/>
        <v>DO NGOC HA</v>
      </c>
      <c r="BM59" s="7">
        <f t="shared" ca="1" si="37"/>
        <v>57</v>
      </c>
      <c r="BN59" s="7"/>
      <c r="BO59" s="38">
        <f t="shared" ca="1" si="36"/>
        <v>0</v>
      </c>
      <c r="BP59" s="38">
        <f t="shared" ca="1" si="36"/>
        <v>9</v>
      </c>
      <c r="BQ59" s="38">
        <f t="shared" ca="1" si="36"/>
        <v>48</v>
      </c>
      <c r="BR59" s="38">
        <f t="shared" ca="1" si="36"/>
        <v>0</v>
      </c>
      <c r="BS59" s="38">
        <f t="shared" ca="1" si="36"/>
        <v>0</v>
      </c>
      <c r="BT59" s="38">
        <f t="shared" ca="1" si="36"/>
        <v>0</v>
      </c>
      <c r="BU59" s="38">
        <f t="shared" ca="1" si="36"/>
        <v>0</v>
      </c>
      <c r="BV59" s="38">
        <f t="shared" ca="1" si="36"/>
        <v>0</v>
      </c>
      <c r="BW59" s="38">
        <f t="shared" ca="1" si="36"/>
        <v>0</v>
      </c>
      <c r="BX59" s="38">
        <f t="shared" ca="1" si="36"/>
        <v>0</v>
      </c>
      <c r="BY59" s="38">
        <f t="shared" ca="1" si="36"/>
        <v>0</v>
      </c>
      <c r="BZ59" s="38">
        <f t="shared" ca="1" si="36"/>
        <v>0</v>
      </c>
      <c r="CE59" s="1" t="s">
        <v>1073</v>
      </c>
      <c r="CF59" s="1" t="s">
        <v>1151</v>
      </c>
      <c r="CG59" s="2">
        <v>8</v>
      </c>
      <c r="CH59">
        <v>1</v>
      </c>
      <c r="CI59" s="1">
        <v>2021</v>
      </c>
    </row>
    <row r="60" spans="1:87">
      <c r="A60" s="1" t="s">
        <v>1074</v>
      </c>
      <c r="B60">
        <v>39</v>
      </c>
      <c r="C60">
        <v>9</v>
      </c>
      <c r="D60">
        <v>2021</v>
      </c>
      <c r="E60"/>
      <c r="G60" s="3"/>
      <c r="Q60" s="2"/>
      <c r="AQ60" s="20"/>
      <c r="BB60"/>
      <c r="BL60" s="21" t="s">
        <v>134</v>
      </c>
      <c r="BM60" s="7">
        <f ca="1">SUM(BO60:BZ60)</f>
        <v>269.5803655390331</v>
      </c>
      <c r="BN60" s="7"/>
      <c r="BO60" s="38">
        <f t="shared" ref="BO60:BZ60" ca="1" si="38">SUM(BO53:BO59)</f>
        <v>4.4844058185404343</v>
      </c>
      <c r="BP60" s="38">
        <f t="shared" ca="1" si="38"/>
        <v>16.444888069888069</v>
      </c>
      <c r="BQ60" s="38">
        <f t="shared" ca="1" si="38"/>
        <v>102.13250972258231</v>
      </c>
      <c r="BR60" s="38">
        <f t="shared" ca="1" si="38"/>
        <v>36.100630393015685</v>
      </c>
      <c r="BS60" s="38">
        <f t="shared" ca="1" si="38"/>
        <v>54.214345693293062</v>
      </c>
      <c r="BT60" s="38">
        <f t="shared" ca="1" si="38"/>
        <v>16.34246086240044</v>
      </c>
      <c r="BU60" s="38">
        <f t="shared" ca="1" si="38"/>
        <v>18.850517652916281</v>
      </c>
      <c r="BV60" s="38">
        <f t="shared" ca="1" si="38"/>
        <v>12.049568365357839</v>
      </c>
      <c r="BW60" s="38">
        <f t="shared" ca="1" si="38"/>
        <v>8.9610389610389607</v>
      </c>
      <c r="BX60" s="38">
        <f t="shared" ca="1" si="38"/>
        <v>0</v>
      </c>
      <c r="BY60" s="38">
        <f t="shared" ca="1" si="38"/>
        <v>0</v>
      </c>
      <c r="BZ60" s="38">
        <f t="shared" ca="1" si="38"/>
        <v>0</v>
      </c>
      <c r="CE60" s="1" t="s">
        <v>1073</v>
      </c>
      <c r="CF60" s="1" t="s">
        <v>1151</v>
      </c>
      <c r="CG60" s="2">
        <v>9</v>
      </c>
      <c r="CH60">
        <v>2</v>
      </c>
      <c r="CI60" s="1">
        <v>2021</v>
      </c>
    </row>
    <row r="61" spans="1:87">
      <c r="A61" s="1" t="s">
        <v>1079</v>
      </c>
      <c r="B61">
        <v>7</v>
      </c>
      <c r="C61">
        <v>9</v>
      </c>
      <c r="D61">
        <v>2021</v>
      </c>
      <c r="E61"/>
      <c r="G61" s="3"/>
      <c r="Q61" s="2"/>
      <c r="AQ61" s="20"/>
      <c r="BB61"/>
      <c r="CE61" s="1" t="s">
        <v>1073</v>
      </c>
      <c r="CF61" s="1" t="s">
        <v>1151</v>
      </c>
      <c r="CG61" s="2">
        <v>1</v>
      </c>
      <c r="CH61">
        <v>3</v>
      </c>
      <c r="CI61" s="1">
        <v>2021</v>
      </c>
    </row>
    <row r="62" spans="1:87">
      <c r="A62" s="1" t="s">
        <v>1073</v>
      </c>
      <c r="B62">
        <v>124</v>
      </c>
      <c r="C62">
        <v>9</v>
      </c>
      <c r="D62">
        <v>2021</v>
      </c>
      <c r="E62"/>
      <c r="G62" s="3"/>
      <c r="Q62" s="2"/>
      <c r="AQ62" s="20"/>
      <c r="BB62"/>
      <c r="CE62" s="1" t="s">
        <v>1073</v>
      </c>
      <c r="CF62" s="1" t="s">
        <v>1151</v>
      </c>
      <c r="CG62" s="2">
        <v>1</v>
      </c>
      <c r="CH62">
        <v>4</v>
      </c>
      <c r="CI62" s="1">
        <v>2021</v>
      </c>
    </row>
    <row r="63" spans="1:87">
      <c r="B63"/>
      <c r="C63"/>
      <c r="D63"/>
      <c r="E63"/>
      <c r="G63" s="3"/>
      <c r="Q63" s="2"/>
      <c r="AQ63" s="20"/>
      <c r="BB63"/>
      <c r="BL63" s="44" t="s">
        <v>1107</v>
      </c>
      <c r="BM63" s="42"/>
      <c r="BN63" s="42"/>
      <c r="BO63" s="43"/>
      <c r="BP63" s="43"/>
      <c r="BQ63" s="43"/>
      <c r="BR63" s="43"/>
      <c r="BS63" s="43"/>
      <c r="BT63" s="43"/>
      <c r="BU63" s="43"/>
      <c r="BV63" s="43"/>
      <c r="BW63" s="43"/>
      <c r="BX63" s="42"/>
      <c r="BY63" s="42"/>
      <c r="BZ63" s="42"/>
      <c r="CE63" s="1" t="s">
        <v>1073</v>
      </c>
      <c r="CF63" s="1" t="s">
        <v>1151</v>
      </c>
      <c r="CG63" s="2">
        <v>4</v>
      </c>
      <c r="CH63">
        <v>5</v>
      </c>
      <c r="CI63" s="1">
        <v>2021</v>
      </c>
    </row>
    <row r="64" spans="1:87">
      <c r="B64"/>
      <c r="C64"/>
      <c r="D64"/>
      <c r="E64"/>
      <c r="G64" s="3"/>
      <c r="Q64" s="2"/>
      <c r="AQ64" s="20"/>
      <c r="BB64"/>
      <c r="BL64" s="7" t="s">
        <v>1080</v>
      </c>
      <c r="BM64" s="7" t="s">
        <v>1128</v>
      </c>
      <c r="BN64" s="7"/>
      <c r="BO64" s="13">
        <v>44197</v>
      </c>
      <c r="BP64" s="13">
        <v>44228</v>
      </c>
      <c r="BQ64" s="13">
        <v>44256</v>
      </c>
      <c r="BR64" s="13">
        <v>44287</v>
      </c>
      <c r="BS64" s="13">
        <v>44317</v>
      </c>
      <c r="BT64" s="13">
        <v>44348</v>
      </c>
      <c r="BU64" s="13">
        <v>44378</v>
      </c>
      <c r="BV64" s="13">
        <v>44409</v>
      </c>
      <c r="BW64" s="13">
        <v>44440</v>
      </c>
      <c r="BX64" s="13">
        <v>44470</v>
      </c>
      <c r="BY64" s="13">
        <v>44501</v>
      </c>
      <c r="BZ64" s="13">
        <v>44531</v>
      </c>
      <c r="CE64" s="1" t="s">
        <v>1073</v>
      </c>
      <c r="CF64" s="1" t="s">
        <v>1151</v>
      </c>
      <c r="CG64" s="2">
        <v>27</v>
      </c>
      <c r="CH64">
        <v>6</v>
      </c>
      <c r="CI64" s="1">
        <v>2021</v>
      </c>
    </row>
    <row r="65" spans="2:87">
      <c r="B65"/>
      <c r="C65"/>
      <c r="D65"/>
      <c r="E65"/>
      <c r="G65" s="3"/>
      <c r="Q65" s="2"/>
      <c r="AQ65" s="20"/>
      <c r="BB65"/>
      <c r="BL65" s="10" t="str">
        <f t="shared" ref="BL65:BL71" si="39">AJ4</f>
        <v>DO TRUC LAM</v>
      </c>
      <c r="BM65" s="7">
        <f t="shared" ref="BM65:BM72" ca="1" si="40">SUM(BO65:BZ65)</f>
        <v>57</v>
      </c>
      <c r="BN65" s="7"/>
      <c r="BO65" s="7">
        <f t="shared" ref="BO65:BZ71" ca="1" si="41">SUMIFS(PR_Urgent_Total,PR_Urgen_pro,$BL65,PR_Urgent_Mon,MONTH(BO$64),PR_Urgent_Yea,YEAR(BO$64))</f>
        <v>0</v>
      </c>
      <c r="BP65" s="7">
        <f t="shared" ca="1" si="41"/>
        <v>0</v>
      </c>
      <c r="BQ65" s="7">
        <f t="shared" ca="1" si="41"/>
        <v>0</v>
      </c>
      <c r="BR65" s="7">
        <f t="shared" ca="1" si="41"/>
        <v>0</v>
      </c>
      <c r="BS65" s="7">
        <f t="shared" ca="1" si="41"/>
        <v>0</v>
      </c>
      <c r="BT65" s="7">
        <f t="shared" ca="1" si="41"/>
        <v>24</v>
      </c>
      <c r="BU65" s="7">
        <f t="shared" ca="1" si="41"/>
        <v>20</v>
      </c>
      <c r="BV65" s="7">
        <f t="shared" ca="1" si="41"/>
        <v>9</v>
      </c>
      <c r="BW65" s="7">
        <f t="shared" ca="1" si="41"/>
        <v>4</v>
      </c>
      <c r="BX65" s="7">
        <f t="shared" ca="1" si="41"/>
        <v>0</v>
      </c>
      <c r="BY65" s="7">
        <f t="shared" ca="1" si="41"/>
        <v>0</v>
      </c>
      <c r="BZ65" s="7">
        <f t="shared" ca="1" si="41"/>
        <v>0</v>
      </c>
      <c r="CE65" s="1" t="s">
        <v>1073</v>
      </c>
      <c r="CF65" s="1" t="s">
        <v>1151</v>
      </c>
      <c r="CG65" s="2">
        <v>12</v>
      </c>
      <c r="CH65">
        <v>7</v>
      </c>
      <c r="CI65" s="1">
        <v>2021</v>
      </c>
    </row>
    <row r="66" spans="2:87">
      <c r="B66"/>
      <c r="C66"/>
      <c r="D66"/>
      <c r="E66"/>
      <c r="G66" s="3"/>
      <c r="Q66" s="2"/>
      <c r="AQ66" s="20"/>
      <c r="BB66"/>
      <c r="BL66" s="10" t="str">
        <f t="shared" si="39"/>
        <v>DO MAI HA</v>
      </c>
      <c r="BM66" s="7">
        <f t="shared" ca="1" si="40"/>
        <v>41</v>
      </c>
      <c r="BN66" s="7"/>
      <c r="BO66" s="7">
        <f t="shared" ca="1" si="41"/>
        <v>0</v>
      </c>
      <c r="BP66" s="7">
        <f t="shared" ca="1" si="41"/>
        <v>0</v>
      </c>
      <c r="BQ66" s="7">
        <f t="shared" ca="1" si="41"/>
        <v>0</v>
      </c>
      <c r="BR66" s="7">
        <f t="shared" ca="1" si="41"/>
        <v>0</v>
      </c>
      <c r="BS66" s="7">
        <f t="shared" ca="1" si="41"/>
        <v>0</v>
      </c>
      <c r="BT66" s="7">
        <f t="shared" ca="1" si="41"/>
        <v>0</v>
      </c>
      <c r="BU66" s="7">
        <f t="shared" ca="1" si="41"/>
        <v>4</v>
      </c>
      <c r="BV66" s="7">
        <f t="shared" ca="1" si="41"/>
        <v>29</v>
      </c>
      <c r="BW66" s="7">
        <f t="shared" ca="1" si="41"/>
        <v>8</v>
      </c>
      <c r="BX66" s="7">
        <f t="shared" ca="1" si="41"/>
        <v>0</v>
      </c>
      <c r="BY66" s="7">
        <f t="shared" ca="1" si="41"/>
        <v>0</v>
      </c>
      <c r="BZ66" s="7">
        <f t="shared" ca="1" si="41"/>
        <v>0</v>
      </c>
      <c r="CE66" s="1" t="s">
        <v>1073</v>
      </c>
      <c r="CF66" s="1" t="s">
        <v>1151</v>
      </c>
      <c r="CG66" s="2">
        <v>23</v>
      </c>
      <c r="CH66">
        <v>8</v>
      </c>
      <c r="CI66" s="1">
        <v>2021</v>
      </c>
    </row>
    <row r="67" spans="2:87">
      <c r="B67"/>
      <c r="C67"/>
      <c r="D67"/>
      <c r="E67"/>
      <c r="G67" s="3"/>
      <c r="Q67" s="2"/>
      <c r="AQ67" s="20"/>
      <c r="BB67"/>
      <c r="BL67" s="10" t="str">
        <f t="shared" si="39"/>
        <v>BUI NHU BAO</v>
      </c>
      <c r="BM67" s="7">
        <f t="shared" ca="1" si="40"/>
        <v>8</v>
      </c>
      <c r="BN67" s="7"/>
      <c r="BO67" s="7">
        <f t="shared" ca="1" si="41"/>
        <v>0</v>
      </c>
      <c r="BP67" s="7">
        <f t="shared" ca="1" si="41"/>
        <v>0</v>
      </c>
      <c r="BQ67" s="7">
        <f t="shared" ca="1" si="41"/>
        <v>0</v>
      </c>
      <c r="BR67" s="7">
        <f t="shared" ca="1" si="41"/>
        <v>0</v>
      </c>
      <c r="BS67" s="7">
        <f t="shared" ca="1" si="41"/>
        <v>0</v>
      </c>
      <c r="BT67" s="7">
        <f t="shared" ca="1" si="41"/>
        <v>0</v>
      </c>
      <c r="BU67" s="7">
        <f t="shared" ca="1" si="41"/>
        <v>1</v>
      </c>
      <c r="BV67" s="7">
        <f t="shared" ca="1" si="41"/>
        <v>5</v>
      </c>
      <c r="BW67" s="7">
        <f t="shared" ca="1" si="41"/>
        <v>2</v>
      </c>
      <c r="BX67" s="7">
        <f t="shared" ca="1" si="41"/>
        <v>0</v>
      </c>
      <c r="BY67" s="7">
        <f t="shared" ca="1" si="41"/>
        <v>0</v>
      </c>
      <c r="BZ67" s="7">
        <f t="shared" ca="1" si="41"/>
        <v>0</v>
      </c>
      <c r="CE67" s="1" t="s">
        <v>1073</v>
      </c>
      <c r="CF67" s="1" t="s">
        <v>1151</v>
      </c>
      <c r="CG67" s="2">
        <v>29</v>
      </c>
      <c r="CH67">
        <v>9</v>
      </c>
      <c r="CI67" s="1">
        <v>2021</v>
      </c>
    </row>
    <row r="68" spans="2:87">
      <c r="B68"/>
      <c r="C68"/>
      <c r="D68"/>
      <c r="E68"/>
      <c r="G68" s="3"/>
      <c r="Q68" s="2"/>
      <c r="AQ68" s="20"/>
      <c r="BB68"/>
      <c r="BL68" s="10" t="str">
        <f t="shared" si="39"/>
        <v>DO MINH AN</v>
      </c>
      <c r="BM68" s="7">
        <f t="shared" ca="1" si="40"/>
        <v>21</v>
      </c>
      <c r="BN68" s="7"/>
      <c r="BO68" s="7">
        <f t="shared" ca="1" si="41"/>
        <v>0</v>
      </c>
      <c r="BP68" s="7">
        <f t="shared" ca="1" si="41"/>
        <v>0</v>
      </c>
      <c r="BQ68" s="7">
        <f t="shared" ca="1" si="41"/>
        <v>0</v>
      </c>
      <c r="BR68" s="7">
        <f t="shared" ca="1" si="41"/>
        <v>0</v>
      </c>
      <c r="BS68" s="7">
        <f t="shared" ca="1" si="41"/>
        <v>17</v>
      </c>
      <c r="BT68" s="7">
        <f t="shared" ca="1" si="41"/>
        <v>0</v>
      </c>
      <c r="BU68" s="7">
        <f t="shared" ca="1" si="41"/>
        <v>4</v>
      </c>
      <c r="BV68" s="7">
        <f t="shared" ca="1" si="41"/>
        <v>0</v>
      </c>
      <c r="BW68" s="7">
        <f t="shared" ca="1" si="41"/>
        <v>0</v>
      </c>
      <c r="BX68" s="7">
        <f t="shared" ca="1" si="41"/>
        <v>0</v>
      </c>
      <c r="BY68" s="7">
        <f t="shared" ca="1" si="41"/>
        <v>0</v>
      </c>
      <c r="BZ68" s="7">
        <f t="shared" ca="1" si="41"/>
        <v>0</v>
      </c>
      <c r="CE68" s="1" t="s">
        <v>1078</v>
      </c>
      <c r="CF68" s="1" t="s">
        <v>1129</v>
      </c>
      <c r="CG68" s="2">
        <v>61</v>
      </c>
      <c r="CH68">
        <v>1</v>
      </c>
      <c r="CI68" s="1">
        <v>2021</v>
      </c>
    </row>
    <row r="69" spans="2:87">
      <c r="B69"/>
      <c r="C69"/>
      <c r="D69"/>
      <c r="E69"/>
      <c r="G69" s="3"/>
      <c r="Q69" s="2"/>
      <c r="AQ69" s="20"/>
      <c r="BB69"/>
      <c r="BL69" s="10" t="str">
        <f t="shared" si="39"/>
        <v>BUI BICH HAI</v>
      </c>
      <c r="BM69" s="7">
        <f t="shared" ca="1" si="40"/>
        <v>1</v>
      </c>
      <c r="BN69" s="7"/>
      <c r="BO69" s="7">
        <f t="shared" ca="1" si="41"/>
        <v>0</v>
      </c>
      <c r="BP69" s="7">
        <f t="shared" ca="1" si="41"/>
        <v>0</v>
      </c>
      <c r="BQ69" s="7">
        <f t="shared" ca="1" si="41"/>
        <v>0</v>
      </c>
      <c r="BR69" s="7">
        <f t="shared" ca="1" si="41"/>
        <v>0</v>
      </c>
      <c r="BS69" s="7">
        <f t="shared" ca="1" si="41"/>
        <v>1</v>
      </c>
      <c r="BT69" s="7">
        <f t="shared" ca="1" si="41"/>
        <v>0</v>
      </c>
      <c r="BU69" s="7">
        <f t="shared" ca="1" si="41"/>
        <v>0</v>
      </c>
      <c r="BV69" s="7">
        <f t="shared" ca="1" si="41"/>
        <v>0</v>
      </c>
      <c r="BW69" s="7">
        <f t="shared" ca="1" si="41"/>
        <v>0</v>
      </c>
      <c r="BX69" s="7">
        <f t="shared" ca="1" si="41"/>
        <v>0</v>
      </c>
      <c r="BY69" s="7">
        <f t="shared" ca="1" si="41"/>
        <v>0</v>
      </c>
      <c r="BZ69" s="7">
        <f t="shared" ca="1" si="41"/>
        <v>0</v>
      </c>
      <c r="CE69" s="1" t="s">
        <v>1078</v>
      </c>
      <c r="CF69" s="1" t="s">
        <v>1129</v>
      </c>
      <c r="CG69" s="2">
        <v>25</v>
      </c>
      <c r="CH69">
        <v>2</v>
      </c>
      <c r="CI69" s="1">
        <v>2021</v>
      </c>
    </row>
    <row r="70" spans="2:87">
      <c r="B70"/>
      <c r="C70"/>
      <c r="D70"/>
      <c r="E70"/>
      <c r="G70" s="3"/>
      <c r="Q70" s="2"/>
      <c r="AQ70" s="20"/>
      <c r="BB70"/>
      <c r="BL70" s="10" t="str">
        <f t="shared" si="39"/>
        <v>TRAN BICH HANG</v>
      </c>
      <c r="BM70" s="7">
        <f t="shared" ca="1" si="40"/>
        <v>1</v>
      </c>
      <c r="BN70" s="7"/>
      <c r="BO70" s="7">
        <f t="shared" ca="1" si="41"/>
        <v>0</v>
      </c>
      <c r="BP70" s="7">
        <f t="shared" ca="1" si="41"/>
        <v>0</v>
      </c>
      <c r="BQ70" s="7">
        <f t="shared" ca="1" si="41"/>
        <v>0</v>
      </c>
      <c r="BR70" s="7">
        <f t="shared" ca="1" si="41"/>
        <v>0</v>
      </c>
      <c r="BS70" s="7">
        <f t="shared" ca="1" si="41"/>
        <v>0</v>
      </c>
      <c r="BT70" s="7">
        <f t="shared" ca="1" si="41"/>
        <v>1</v>
      </c>
      <c r="BU70" s="7">
        <f t="shared" ca="1" si="41"/>
        <v>0</v>
      </c>
      <c r="BV70" s="7">
        <f t="shared" ca="1" si="41"/>
        <v>0</v>
      </c>
      <c r="BW70" s="7">
        <f t="shared" ca="1" si="41"/>
        <v>0</v>
      </c>
      <c r="BX70" s="7">
        <f t="shared" ca="1" si="41"/>
        <v>0</v>
      </c>
      <c r="BY70" s="7">
        <f t="shared" ca="1" si="41"/>
        <v>0</v>
      </c>
      <c r="BZ70" s="7">
        <f t="shared" ca="1" si="41"/>
        <v>0</v>
      </c>
      <c r="CE70" s="1" t="s">
        <v>1078</v>
      </c>
      <c r="CF70" s="1" t="s">
        <v>1129</v>
      </c>
      <c r="CG70" s="2">
        <v>13</v>
      </c>
      <c r="CH70">
        <v>3</v>
      </c>
      <c r="CI70" s="1">
        <v>2021</v>
      </c>
    </row>
    <row r="71" spans="2:87">
      <c r="B71"/>
      <c r="C71"/>
      <c r="D71"/>
      <c r="E71"/>
      <c r="G71" s="3"/>
      <c r="Q71" s="2"/>
      <c r="AQ71" s="20"/>
      <c r="BB71"/>
      <c r="BL71" s="10" t="str">
        <f t="shared" si="39"/>
        <v>DO NGOC HA</v>
      </c>
      <c r="BM71" s="7">
        <f t="shared" ca="1" si="40"/>
        <v>5</v>
      </c>
      <c r="BN71" s="7"/>
      <c r="BO71" s="7">
        <f t="shared" ca="1" si="41"/>
        <v>0</v>
      </c>
      <c r="BP71" s="7">
        <f t="shared" ca="1" si="41"/>
        <v>0</v>
      </c>
      <c r="BQ71" s="7">
        <f t="shared" ca="1" si="41"/>
        <v>0</v>
      </c>
      <c r="BR71" s="7">
        <f t="shared" ca="1" si="41"/>
        <v>0</v>
      </c>
      <c r="BS71" s="7">
        <f t="shared" ca="1" si="41"/>
        <v>0</v>
      </c>
      <c r="BT71" s="7">
        <f t="shared" ca="1" si="41"/>
        <v>0</v>
      </c>
      <c r="BU71" s="7">
        <f t="shared" ca="1" si="41"/>
        <v>5</v>
      </c>
      <c r="BV71" s="7">
        <f t="shared" ca="1" si="41"/>
        <v>0</v>
      </c>
      <c r="BW71" s="7">
        <f t="shared" ca="1" si="41"/>
        <v>0</v>
      </c>
      <c r="BX71" s="7">
        <f t="shared" ca="1" si="41"/>
        <v>0</v>
      </c>
      <c r="BY71" s="7">
        <f t="shared" ca="1" si="41"/>
        <v>0</v>
      </c>
      <c r="BZ71" s="7">
        <f t="shared" ca="1" si="41"/>
        <v>0</v>
      </c>
      <c r="CE71" s="1" t="s">
        <v>1078</v>
      </c>
      <c r="CF71" s="1" t="s">
        <v>1129</v>
      </c>
      <c r="CG71" s="2">
        <v>8</v>
      </c>
      <c r="CH71">
        <v>4</v>
      </c>
      <c r="CI71" s="1">
        <v>2021</v>
      </c>
    </row>
    <row r="72" spans="2:87">
      <c r="B72"/>
      <c r="C72"/>
      <c r="D72"/>
      <c r="E72"/>
      <c r="G72" s="3"/>
      <c r="Q72" s="2"/>
      <c r="AQ72" s="20"/>
      <c r="BB72"/>
      <c r="BL72" s="7" t="s">
        <v>134</v>
      </c>
      <c r="BM72" s="7">
        <f t="shared" ca="1" si="40"/>
        <v>134</v>
      </c>
      <c r="BN72" s="7"/>
      <c r="BO72" s="7">
        <f ca="1">SUM(BO65:BO71)</f>
        <v>0</v>
      </c>
      <c r="BP72" s="7">
        <f t="shared" ref="BP72:BZ72" ca="1" si="42">SUM(BP65:BP71)</f>
        <v>0</v>
      </c>
      <c r="BQ72" s="7">
        <f t="shared" ca="1" si="42"/>
        <v>0</v>
      </c>
      <c r="BR72" s="7">
        <f t="shared" ca="1" si="42"/>
        <v>0</v>
      </c>
      <c r="BS72" s="7">
        <f t="shared" ca="1" si="42"/>
        <v>18</v>
      </c>
      <c r="BT72" s="7">
        <f t="shared" ca="1" si="42"/>
        <v>25</v>
      </c>
      <c r="BU72" s="7">
        <f t="shared" ca="1" si="42"/>
        <v>34</v>
      </c>
      <c r="BV72" s="7">
        <f t="shared" ca="1" si="42"/>
        <v>43</v>
      </c>
      <c r="BW72" s="7">
        <f t="shared" ca="1" si="42"/>
        <v>14</v>
      </c>
      <c r="BX72" s="7">
        <f t="shared" ca="1" si="42"/>
        <v>0</v>
      </c>
      <c r="BY72" s="7">
        <f t="shared" ca="1" si="42"/>
        <v>0</v>
      </c>
      <c r="BZ72" s="7">
        <f t="shared" ca="1" si="42"/>
        <v>0</v>
      </c>
      <c r="CE72" s="1" t="s">
        <v>1078</v>
      </c>
      <c r="CF72" s="1" t="s">
        <v>1129</v>
      </c>
      <c r="CG72" s="2">
        <v>4</v>
      </c>
      <c r="CH72">
        <v>12</v>
      </c>
      <c r="CI72" s="1">
        <v>2020</v>
      </c>
    </row>
    <row r="73" spans="2:87">
      <c r="B73"/>
      <c r="C73"/>
      <c r="D73"/>
      <c r="E73"/>
      <c r="G73" s="3"/>
      <c r="Q73" s="2"/>
      <c r="AQ73" s="20"/>
      <c r="BB73"/>
      <c r="CE73" s="1" t="s">
        <v>1078</v>
      </c>
      <c r="CF73" s="1" t="s">
        <v>1141</v>
      </c>
      <c r="CG73" s="2">
        <v>9</v>
      </c>
      <c r="CH73">
        <v>1</v>
      </c>
      <c r="CI73" s="1">
        <v>2021</v>
      </c>
    </row>
    <row r="74" spans="2:87">
      <c r="B74"/>
      <c r="C74"/>
      <c r="D74"/>
      <c r="E74"/>
      <c r="G74" s="3"/>
      <c r="Q74" s="2"/>
      <c r="AQ74" s="20"/>
      <c r="BB74"/>
      <c r="CE74" s="1" t="s">
        <v>1078</v>
      </c>
      <c r="CF74" s="1" t="s">
        <v>1135</v>
      </c>
      <c r="CG74" s="2">
        <v>9</v>
      </c>
      <c r="CH74">
        <v>2</v>
      </c>
      <c r="CI74" s="1">
        <v>2021</v>
      </c>
    </row>
    <row r="75" spans="2:87">
      <c r="B75"/>
      <c r="C75"/>
      <c r="D75"/>
      <c r="E75"/>
      <c r="G75" s="3"/>
      <c r="Q75" s="2"/>
      <c r="AQ75" s="20"/>
      <c r="BB75"/>
      <c r="BL75" s="44" t="s">
        <v>1153</v>
      </c>
      <c r="BM75" s="42"/>
      <c r="BN75" s="42"/>
      <c r="BO75" s="43"/>
      <c r="BP75" s="43"/>
      <c r="BQ75" s="43"/>
      <c r="BR75" s="43"/>
      <c r="BS75" s="43"/>
      <c r="BT75" s="43"/>
      <c r="BU75" s="43"/>
      <c r="BV75" s="43"/>
      <c r="BW75" s="43"/>
      <c r="BX75" s="42"/>
      <c r="BY75" s="42"/>
      <c r="BZ75" s="42"/>
      <c r="CE75" s="1" t="s">
        <v>1078</v>
      </c>
      <c r="CF75" s="1" t="s">
        <v>1135</v>
      </c>
      <c r="CG75" s="2">
        <v>41</v>
      </c>
      <c r="CH75">
        <v>3</v>
      </c>
      <c r="CI75" s="1">
        <v>2021</v>
      </c>
    </row>
    <row r="76" spans="2:87">
      <c r="B76"/>
      <c r="C76"/>
      <c r="D76"/>
      <c r="E76"/>
      <c r="G76" s="3"/>
      <c r="Q76" s="2"/>
      <c r="AQ76" s="20"/>
      <c r="BB76"/>
      <c r="BL76" s="7" t="s">
        <v>1080</v>
      </c>
      <c r="BM76" s="7" t="s">
        <v>1128</v>
      </c>
      <c r="BN76" s="7"/>
      <c r="BO76" s="13">
        <v>44197</v>
      </c>
      <c r="BP76" s="13">
        <v>44228</v>
      </c>
      <c r="BQ76" s="13">
        <v>44256</v>
      </c>
      <c r="BR76" s="13">
        <v>44287</v>
      </c>
      <c r="BS76" s="13">
        <v>44317</v>
      </c>
      <c r="BT76" s="13">
        <v>44348</v>
      </c>
      <c r="BU76" s="13">
        <v>44378</v>
      </c>
      <c r="BV76" s="13">
        <v>44409</v>
      </c>
      <c r="BW76" s="13">
        <v>44440</v>
      </c>
      <c r="BX76" s="13">
        <v>44470</v>
      </c>
      <c r="BY76" s="13">
        <v>44501</v>
      </c>
      <c r="BZ76" s="13">
        <v>44531</v>
      </c>
      <c r="CE76" s="1" t="s">
        <v>1078</v>
      </c>
      <c r="CF76" s="1" t="s">
        <v>1135</v>
      </c>
      <c r="CG76" s="2">
        <v>61</v>
      </c>
      <c r="CH76">
        <v>4</v>
      </c>
      <c r="CI76" s="1">
        <v>2021</v>
      </c>
    </row>
    <row r="77" spans="2:87">
      <c r="B77"/>
      <c r="C77"/>
      <c r="D77"/>
      <c r="E77"/>
      <c r="G77" s="3"/>
      <c r="Q77" s="2"/>
      <c r="AQ77" s="20"/>
      <c r="BB77"/>
      <c r="BL77" s="10" t="str">
        <f t="shared" ref="BL77:BL83" si="43">AJ4</f>
        <v>DO TRUC LAM</v>
      </c>
      <c r="BM77" s="7">
        <f t="shared" ref="BM77:BM84" ca="1" si="44">SUM(BO77:BZ77)</f>
        <v>53</v>
      </c>
      <c r="BN77" s="7"/>
      <c r="BO77" s="7">
        <f t="shared" ref="BO77:BZ83" ca="1" si="45">SUMIFS(PR_Urgent_Com_line,PR_Urgent_Com_pro,$BL77,PR_Urgent_Com_M,MONTH(BO$76),PR_Urgent_Com_Y,YEAR(BO$76))</f>
        <v>0</v>
      </c>
      <c r="BP77" s="7">
        <f t="shared" ca="1" si="45"/>
        <v>0</v>
      </c>
      <c r="BQ77" s="7">
        <f t="shared" ca="1" si="45"/>
        <v>0</v>
      </c>
      <c r="BR77" s="7">
        <f t="shared" ca="1" si="45"/>
        <v>0</v>
      </c>
      <c r="BS77" s="7">
        <f t="shared" ca="1" si="45"/>
        <v>0</v>
      </c>
      <c r="BT77" s="7">
        <f t="shared" ca="1" si="45"/>
        <v>24</v>
      </c>
      <c r="BU77" s="7">
        <f t="shared" ca="1" si="45"/>
        <v>20</v>
      </c>
      <c r="BV77" s="7">
        <f t="shared" ca="1" si="45"/>
        <v>9</v>
      </c>
      <c r="BW77" s="7">
        <f t="shared" ca="1" si="45"/>
        <v>0</v>
      </c>
      <c r="BX77" s="7">
        <f t="shared" ca="1" si="45"/>
        <v>0</v>
      </c>
      <c r="BY77" s="7">
        <f t="shared" ca="1" si="45"/>
        <v>0</v>
      </c>
      <c r="BZ77" s="7">
        <f t="shared" ca="1" si="45"/>
        <v>0</v>
      </c>
      <c r="CE77" s="1" t="s">
        <v>1078</v>
      </c>
      <c r="CF77" s="1" t="s">
        <v>1135</v>
      </c>
      <c r="CG77" s="2">
        <v>49</v>
      </c>
      <c r="CH77">
        <v>5</v>
      </c>
      <c r="CI77" s="1">
        <v>2021</v>
      </c>
    </row>
    <row r="78" spans="2:87">
      <c r="B78"/>
      <c r="C78"/>
      <c r="D78"/>
      <c r="E78"/>
      <c r="G78" s="3"/>
      <c r="Q78" s="2"/>
      <c r="AQ78" s="20"/>
      <c r="BB78"/>
      <c r="BL78" s="10" t="str">
        <f t="shared" si="43"/>
        <v>DO MAI HA</v>
      </c>
      <c r="BM78" s="7">
        <f t="shared" ca="1" si="44"/>
        <v>5</v>
      </c>
      <c r="BN78" s="7"/>
      <c r="BO78" s="7">
        <f t="shared" ca="1" si="45"/>
        <v>0</v>
      </c>
      <c r="BP78" s="7">
        <f t="shared" ca="1" si="45"/>
        <v>0</v>
      </c>
      <c r="BQ78" s="7">
        <f t="shared" ca="1" si="45"/>
        <v>0</v>
      </c>
      <c r="BR78" s="7">
        <f t="shared" ca="1" si="45"/>
        <v>0</v>
      </c>
      <c r="BS78" s="7">
        <f t="shared" ca="1" si="45"/>
        <v>0</v>
      </c>
      <c r="BT78" s="7">
        <f t="shared" ca="1" si="45"/>
        <v>0</v>
      </c>
      <c r="BU78" s="7">
        <f t="shared" ca="1" si="45"/>
        <v>5</v>
      </c>
      <c r="BV78" s="7">
        <f t="shared" ca="1" si="45"/>
        <v>0</v>
      </c>
      <c r="BW78" s="7">
        <f t="shared" ca="1" si="45"/>
        <v>0</v>
      </c>
      <c r="BX78" s="7">
        <f t="shared" ca="1" si="45"/>
        <v>0</v>
      </c>
      <c r="BY78" s="7">
        <f t="shared" ca="1" si="45"/>
        <v>0</v>
      </c>
      <c r="BZ78" s="7">
        <f t="shared" ca="1" si="45"/>
        <v>0</v>
      </c>
      <c r="CE78" s="1" t="s">
        <v>1078</v>
      </c>
      <c r="CF78" s="1" t="s">
        <v>1135</v>
      </c>
      <c r="CG78" s="2">
        <v>1</v>
      </c>
      <c r="CH78">
        <v>6</v>
      </c>
      <c r="CI78" s="1">
        <v>2021</v>
      </c>
    </row>
    <row r="79" spans="2:87">
      <c r="B79"/>
      <c r="C79"/>
      <c r="D79"/>
      <c r="Q79"/>
      <c r="AQ79" s="20"/>
      <c r="BB79"/>
      <c r="BL79" s="10" t="str">
        <f t="shared" si="43"/>
        <v>BUI NHU BAO</v>
      </c>
      <c r="BM79" s="7">
        <f t="shared" ca="1" si="44"/>
        <v>0</v>
      </c>
      <c r="BN79" s="7"/>
      <c r="BO79" s="7">
        <f t="shared" ca="1" si="45"/>
        <v>0</v>
      </c>
      <c r="BP79" s="7">
        <f t="shared" ca="1" si="45"/>
        <v>0</v>
      </c>
      <c r="BQ79" s="7">
        <f t="shared" ca="1" si="45"/>
        <v>0</v>
      </c>
      <c r="BR79" s="7">
        <f t="shared" ca="1" si="45"/>
        <v>0</v>
      </c>
      <c r="BS79" s="7">
        <f t="shared" ca="1" si="45"/>
        <v>0</v>
      </c>
      <c r="BT79" s="7">
        <f t="shared" ca="1" si="45"/>
        <v>0</v>
      </c>
      <c r="BU79" s="7">
        <f t="shared" ca="1" si="45"/>
        <v>0</v>
      </c>
      <c r="BV79" s="7">
        <f t="shared" ca="1" si="45"/>
        <v>0</v>
      </c>
      <c r="BW79" s="7">
        <f t="shared" ca="1" si="45"/>
        <v>0</v>
      </c>
      <c r="BX79" s="7">
        <f t="shared" ca="1" si="45"/>
        <v>0</v>
      </c>
      <c r="BY79" s="7">
        <f t="shared" ca="1" si="45"/>
        <v>0</v>
      </c>
      <c r="BZ79" s="7">
        <f t="shared" ca="1" si="45"/>
        <v>0</v>
      </c>
    </row>
    <row r="80" spans="2:87">
      <c r="B80"/>
      <c r="C80"/>
      <c r="D80"/>
      <c r="Q80"/>
      <c r="AQ80" s="20"/>
      <c r="BB80"/>
      <c r="BL80" s="10" t="str">
        <f t="shared" si="43"/>
        <v>DO MINH AN</v>
      </c>
      <c r="BM80" s="7">
        <f t="shared" ca="1" si="44"/>
        <v>13</v>
      </c>
      <c r="BN80" s="7"/>
      <c r="BO80" s="7">
        <f t="shared" ca="1" si="45"/>
        <v>0</v>
      </c>
      <c r="BP80" s="7">
        <f t="shared" ca="1" si="45"/>
        <v>0</v>
      </c>
      <c r="BQ80" s="7">
        <f t="shared" ca="1" si="45"/>
        <v>0</v>
      </c>
      <c r="BR80" s="7">
        <f t="shared" ca="1" si="45"/>
        <v>0</v>
      </c>
      <c r="BS80" s="7">
        <f t="shared" ca="1" si="45"/>
        <v>9</v>
      </c>
      <c r="BT80" s="7">
        <f t="shared" ca="1" si="45"/>
        <v>0</v>
      </c>
      <c r="BU80" s="7">
        <f t="shared" ca="1" si="45"/>
        <v>4</v>
      </c>
      <c r="BV80" s="7">
        <f t="shared" ca="1" si="45"/>
        <v>0</v>
      </c>
      <c r="BW80" s="7">
        <f t="shared" ca="1" si="45"/>
        <v>0</v>
      </c>
      <c r="BX80" s="7">
        <f t="shared" ca="1" si="45"/>
        <v>0</v>
      </c>
      <c r="BY80" s="7">
        <f t="shared" ca="1" si="45"/>
        <v>0</v>
      </c>
      <c r="BZ80" s="7">
        <f t="shared" ca="1" si="45"/>
        <v>0</v>
      </c>
    </row>
    <row r="81" spans="2:80">
      <c r="B81"/>
      <c r="C81"/>
      <c r="D81"/>
      <c r="Q81"/>
      <c r="AQ81" s="20"/>
      <c r="BB81"/>
      <c r="BL81" s="10" t="str">
        <f t="shared" si="43"/>
        <v>BUI BICH HAI</v>
      </c>
      <c r="BM81" s="7">
        <f t="shared" ca="1" si="44"/>
        <v>0</v>
      </c>
      <c r="BN81" s="7"/>
      <c r="BO81" s="7">
        <f t="shared" ca="1" si="45"/>
        <v>0</v>
      </c>
      <c r="BP81" s="7">
        <f t="shared" ca="1" si="45"/>
        <v>0</v>
      </c>
      <c r="BQ81" s="7">
        <f t="shared" ca="1" si="45"/>
        <v>0</v>
      </c>
      <c r="BR81" s="7">
        <f t="shared" ca="1" si="45"/>
        <v>0</v>
      </c>
      <c r="BS81" s="7">
        <f t="shared" ca="1" si="45"/>
        <v>0</v>
      </c>
      <c r="BT81" s="7">
        <f t="shared" ca="1" si="45"/>
        <v>0</v>
      </c>
      <c r="BU81" s="7">
        <f t="shared" ca="1" si="45"/>
        <v>0</v>
      </c>
      <c r="BV81" s="7">
        <f t="shared" ca="1" si="45"/>
        <v>0</v>
      </c>
      <c r="BW81" s="7">
        <f t="shared" ca="1" si="45"/>
        <v>0</v>
      </c>
      <c r="BX81" s="7">
        <f t="shared" ca="1" si="45"/>
        <v>0</v>
      </c>
      <c r="BY81" s="7">
        <f t="shared" ca="1" si="45"/>
        <v>0</v>
      </c>
      <c r="BZ81" s="7">
        <f t="shared" ca="1" si="45"/>
        <v>0</v>
      </c>
    </row>
    <row r="82" spans="2:80">
      <c r="B82"/>
      <c r="C82"/>
      <c r="D82"/>
      <c r="Q82"/>
      <c r="AQ82" s="20"/>
      <c r="BB82"/>
      <c r="BL82" s="10" t="str">
        <f t="shared" si="43"/>
        <v>TRAN BICH HANG</v>
      </c>
      <c r="BM82" s="7">
        <f t="shared" ca="1" si="44"/>
        <v>1</v>
      </c>
      <c r="BN82" s="7"/>
      <c r="BO82" s="7">
        <f t="shared" ca="1" si="45"/>
        <v>0</v>
      </c>
      <c r="BP82" s="7">
        <f t="shared" ca="1" si="45"/>
        <v>0</v>
      </c>
      <c r="BQ82" s="7">
        <f t="shared" ca="1" si="45"/>
        <v>0</v>
      </c>
      <c r="BR82" s="7">
        <f t="shared" ca="1" si="45"/>
        <v>0</v>
      </c>
      <c r="BS82" s="7">
        <f t="shared" ca="1" si="45"/>
        <v>0</v>
      </c>
      <c r="BT82" s="7">
        <f t="shared" ca="1" si="45"/>
        <v>1</v>
      </c>
      <c r="BU82" s="7">
        <f t="shared" ca="1" si="45"/>
        <v>0</v>
      </c>
      <c r="BV82" s="7">
        <f t="shared" ca="1" si="45"/>
        <v>0</v>
      </c>
      <c r="BW82" s="7">
        <f t="shared" ca="1" si="45"/>
        <v>0</v>
      </c>
      <c r="BX82" s="7">
        <f t="shared" ca="1" si="45"/>
        <v>0</v>
      </c>
      <c r="BY82" s="7">
        <f t="shared" ca="1" si="45"/>
        <v>0</v>
      </c>
      <c r="BZ82" s="7">
        <f t="shared" ca="1" si="45"/>
        <v>0</v>
      </c>
    </row>
    <row r="83" spans="2:80">
      <c r="B83"/>
      <c r="C83"/>
      <c r="D83"/>
      <c r="Q83"/>
      <c r="AQ83" s="20"/>
      <c r="BB83"/>
      <c r="BL83" s="10" t="str">
        <f t="shared" si="43"/>
        <v>DO NGOC HA</v>
      </c>
      <c r="BM83" s="7">
        <f t="shared" ca="1" si="44"/>
        <v>0</v>
      </c>
      <c r="BN83" s="7"/>
      <c r="BO83" s="7">
        <f t="shared" ca="1" si="45"/>
        <v>0</v>
      </c>
      <c r="BP83" s="7">
        <f t="shared" ca="1" si="45"/>
        <v>0</v>
      </c>
      <c r="BQ83" s="7">
        <f t="shared" ca="1" si="45"/>
        <v>0</v>
      </c>
      <c r="BR83" s="7">
        <f t="shared" ca="1" si="45"/>
        <v>0</v>
      </c>
      <c r="BS83" s="7">
        <f t="shared" ca="1" si="45"/>
        <v>0</v>
      </c>
      <c r="BT83" s="7">
        <f t="shared" ca="1" si="45"/>
        <v>0</v>
      </c>
      <c r="BU83" s="7">
        <f t="shared" ca="1" si="45"/>
        <v>0</v>
      </c>
      <c r="BV83" s="7">
        <f t="shared" ca="1" si="45"/>
        <v>0</v>
      </c>
      <c r="BW83" s="7">
        <f t="shared" ca="1" si="45"/>
        <v>0</v>
      </c>
      <c r="BX83" s="7">
        <f t="shared" ca="1" si="45"/>
        <v>0</v>
      </c>
      <c r="BY83" s="7">
        <f t="shared" ca="1" si="45"/>
        <v>0</v>
      </c>
      <c r="BZ83" s="7">
        <f t="shared" ca="1" si="45"/>
        <v>0</v>
      </c>
    </row>
    <row r="84" spans="2:80">
      <c r="B84"/>
      <c r="C84"/>
      <c r="D84"/>
      <c r="Q84"/>
      <c r="AQ84" s="20"/>
      <c r="BB84"/>
      <c r="BL84" s="7" t="s">
        <v>134</v>
      </c>
      <c r="BM84" s="7">
        <f t="shared" ca="1" si="44"/>
        <v>72</v>
      </c>
      <c r="BN84" s="7"/>
      <c r="BO84" s="7">
        <f ca="1">SUM(BO77:BO83)</f>
        <v>0</v>
      </c>
      <c r="BP84" s="7">
        <f t="shared" ref="BP84:BZ84" ca="1" si="46">SUM(BP77:BP83)</f>
        <v>0</v>
      </c>
      <c r="BQ84" s="7">
        <f t="shared" ca="1" si="46"/>
        <v>0</v>
      </c>
      <c r="BR84" s="7">
        <f t="shared" ca="1" si="46"/>
        <v>0</v>
      </c>
      <c r="BS84" s="7">
        <f t="shared" ca="1" si="46"/>
        <v>9</v>
      </c>
      <c r="BT84" s="7">
        <f t="shared" ca="1" si="46"/>
        <v>25</v>
      </c>
      <c r="BU84" s="7">
        <f t="shared" ca="1" si="46"/>
        <v>29</v>
      </c>
      <c r="BV84" s="7">
        <f t="shared" ca="1" si="46"/>
        <v>9</v>
      </c>
      <c r="BW84" s="7">
        <f t="shared" ca="1" si="46"/>
        <v>0</v>
      </c>
      <c r="BX84" s="7">
        <f t="shared" ca="1" si="46"/>
        <v>0</v>
      </c>
      <c r="BY84" s="7">
        <f t="shared" ca="1" si="46"/>
        <v>0</v>
      </c>
      <c r="BZ84" s="7">
        <f t="shared" ca="1" si="46"/>
        <v>0</v>
      </c>
    </row>
    <row r="85" spans="2:80">
      <c r="B85"/>
      <c r="C85"/>
      <c r="D85"/>
      <c r="Q85"/>
      <c r="AQ85" s="20"/>
      <c r="BB85"/>
    </row>
    <row r="86" spans="2:80">
      <c r="B86"/>
      <c r="C86"/>
      <c r="D86"/>
      <c r="Q86"/>
      <c r="AQ86" s="20"/>
      <c r="BB86"/>
    </row>
    <row r="87" spans="2:80">
      <c r="B87"/>
      <c r="C87"/>
      <c r="D87"/>
      <c r="Q87"/>
      <c r="AQ87" s="20"/>
      <c r="BB87"/>
    </row>
    <row r="88" spans="2:80">
      <c r="B88"/>
      <c r="C88"/>
      <c r="D88"/>
      <c r="Q88"/>
      <c r="AQ88" s="20"/>
      <c r="BB88"/>
      <c r="BK88" s="40"/>
      <c r="BL88" s="41" t="s">
        <v>1139</v>
      </c>
      <c r="BM88" s="40"/>
      <c r="BN88" s="40"/>
      <c r="BO88" s="40"/>
      <c r="BP88" s="40"/>
      <c r="BQ88" s="40"/>
      <c r="BR88" s="40"/>
      <c r="BS88" s="40"/>
      <c r="BT88" s="40"/>
      <c r="BU88" s="40"/>
      <c r="BV88" s="40"/>
      <c r="BW88" s="40"/>
      <c r="BX88" s="40"/>
      <c r="BY88" s="40"/>
      <c r="BZ88" s="40"/>
      <c r="CA88" s="40"/>
      <c r="CB88" s="40"/>
    </row>
    <row r="89" spans="2:80">
      <c r="B89"/>
      <c r="C89"/>
      <c r="D89"/>
      <c r="Q89"/>
      <c r="AQ89" s="20"/>
      <c r="BB89"/>
    </row>
    <row r="90" spans="2:80">
      <c r="B90"/>
      <c r="C90"/>
      <c r="D90"/>
      <c r="Q90"/>
      <c r="AQ90" s="20"/>
      <c r="BB90"/>
      <c r="BL90" s="44" t="s">
        <v>48</v>
      </c>
      <c r="BM90" s="42"/>
      <c r="BN90" s="42"/>
      <c r="BO90" s="43"/>
      <c r="BP90" s="43"/>
      <c r="BQ90" s="43"/>
      <c r="BR90" s="43"/>
      <c r="BS90" s="43"/>
      <c r="BT90" s="43"/>
      <c r="BU90" s="43"/>
      <c r="BV90" s="43"/>
      <c r="BW90" s="43"/>
      <c r="BX90" s="42"/>
      <c r="BY90" s="42"/>
      <c r="BZ90" s="42"/>
    </row>
    <row r="91" spans="2:80">
      <c r="B91"/>
      <c r="C91"/>
      <c r="D91"/>
      <c r="Q91"/>
      <c r="AQ91" s="20"/>
      <c r="BB91"/>
      <c r="BL91" s="32" t="str">
        <f>AJ4</f>
        <v>DO TRUC LAM</v>
      </c>
      <c r="BM91" s="15"/>
      <c r="BN91" s="15"/>
      <c r="BO91" s="15">
        <f t="shared" ref="BO91:BZ91" ca="1" si="47">IF(BO5-BO17&gt;0,BO5-BO17,NA())</f>
        <v>36</v>
      </c>
      <c r="BP91" s="15">
        <f t="shared" ca="1" si="47"/>
        <v>28</v>
      </c>
      <c r="BQ91" s="15">
        <f t="shared" ca="1" si="47"/>
        <v>65</v>
      </c>
      <c r="BR91" s="15">
        <f t="shared" ca="1" si="47"/>
        <v>187</v>
      </c>
      <c r="BS91" s="15">
        <f t="shared" ca="1" si="47"/>
        <v>158</v>
      </c>
      <c r="BT91" s="15">
        <f t="shared" ca="1" si="47"/>
        <v>233</v>
      </c>
      <c r="BU91" s="15">
        <f t="shared" ca="1" si="47"/>
        <v>172</v>
      </c>
      <c r="BV91" s="15">
        <f t="shared" ca="1" si="47"/>
        <v>204</v>
      </c>
      <c r="BW91" s="15">
        <f t="shared" ca="1" si="47"/>
        <v>94</v>
      </c>
      <c r="BX91" s="15" t="e">
        <f t="shared" ca="1" si="47"/>
        <v>#N/A</v>
      </c>
      <c r="BY91" s="15" t="e">
        <f t="shared" ca="1" si="47"/>
        <v>#N/A</v>
      </c>
      <c r="BZ91" s="33" t="e">
        <f t="shared" ca="1" si="47"/>
        <v>#N/A</v>
      </c>
    </row>
    <row r="92" spans="2:80">
      <c r="B92"/>
      <c r="C92"/>
      <c r="D92"/>
      <c r="Q92"/>
      <c r="AQ92" s="20"/>
      <c r="BB92"/>
      <c r="BL92" s="24"/>
      <c r="BM92" s="16"/>
      <c r="BN92" s="16"/>
      <c r="BO92" s="16" t="e">
        <f t="shared" ref="BO92:BZ92" ca="1" si="48">IF(BO17-BO5&gt;0,BO17-BO5,NA())</f>
        <v>#N/A</v>
      </c>
      <c r="BP92" s="16" t="e">
        <f t="shared" ca="1" si="48"/>
        <v>#N/A</v>
      </c>
      <c r="BQ92" s="16" t="e">
        <f t="shared" ca="1" si="48"/>
        <v>#N/A</v>
      </c>
      <c r="BR92" s="16" t="e">
        <f t="shared" ca="1" si="48"/>
        <v>#N/A</v>
      </c>
      <c r="BS92" s="16" t="e">
        <f t="shared" ca="1" si="48"/>
        <v>#N/A</v>
      </c>
      <c r="BT92" s="16" t="e">
        <f t="shared" ca="1" si="48"/>
        <v>#N/A</v>
      </c>
      <c r="BU92" s="16" t="e">
        <f t="shared" ca="1" si="48"/>
        <v>#N/A</v>
      </c>
      <c r="BV92" s="16" t="e">
        <f t="shared" ca="1" si="48"/>
        <v>#N/A</v>
      </c>
      <c r="BW92" s="16" t="e">
        <f t="shared" ca="1" si="48"/>
        <v>#N/A</v>
      </c>
      <c r="BX92" s="16" t="e">
        <f t="shared" ca="1" si="48"/>
        <v>#N/A</v>
      </c>
      <c r="BY92" s="16" t="e">
        <f t="shared" ca="1" si="48"/>
        <v>#N/A</v>
      </c>
      <c r="BZ92" s="34" t="e">
        <f t="shared" ca="1" si="48"/>
        <v>#N/A</v>
      </c>
    </row>
    <row r="93" spans="2:80">
      <c r="B93"/>
      <c r="C93"/>
      <c r="D93"/>
      <c r="Q93"/>
      <c r="AQ93" s="20"/>
      <c r="BB93"/>
      <c r="BL93" s="32" t="str">
        <f>AJ5</f>
        <v>DO MAI HA</v>
      </c>
      <c r="BM93" s="15"/>
      <c r="BN93" s="15"/>
      <c r="BO93" s="15" t="e">
        <f t="shared" ref="BO93:BZ93" ca="1" si="49">IF(BO6-BO18&gt;0,BO6-BO18,NA())</f>
        <v>#N/A</v>
      </c>
      <c r="BP93" s="15" t="e">
        <f t="shared" ca="1" si="49"/>
        <v>#N/A</v>
      </c>
      <c r="BQ93" s="15" t="e">
        <f t="shared" ca="1" si="49"/>
        <v>#N/A</v>
      </c>
      <c r="BR93" s="15" t="e">
        <f t="shared" ca="1" si="49"/>
        <v>#N/A</v>
      </c>
      <c r="BS93" s="15" t="e">
        <f t="shared" ca="1" si="49"/>
        <v>#N/A</v>
      </c>
      <c r="BT93" s="15" t="e">
        <f t="shared" ca="1" si="49"/>
        <v>#N/A</v>
      </c>
      <c r="BU93" s="15" t="e">
        <f t="shared" ca="1" si="49"/>
        <v>#N/A</v>
      </c>
      <c r="BV93" s="15" t="e">
        <f t="shared" ca="1" si="49"/>
        <v>#N/A</v>
      </c>
      <c r="BW93" s="15" t="e">
        <f t="shared" ca="1" si="49"/>
        <v>#N/A</v>
      </c>
      <c r="BX93" s="15" t="e">
        <f t="shared" ca="1" si="49"/>
        <v>#N/A</v>
      </c>
      <c r="BY93" s="15" t="e">
        <f t="shared" ca="1" si="49"/>
        <v>#N/A</v>
      </c>
      <c r="BZ93" s="33" t="e">
        <f t="shared" ca="1" si="49"/>
        <v>#N/A</v>
      </c>
    </row>
    <row r="94" spans="2:80">
      <c r="B94"/>
      <c r="C94"/>
      <c r="D94"/>
      <c r="Q94"/>
      <c r="AQ94" s="20"/>
      <c r="BB94"/>
      <c r="BL94" s="46"/>
      <c r="BO94">
        <f t="shared" ref="BO94:BZ94" ca="1" si="50">IF(BO18-BO6&gt;0,BO18-BO6,NA())</f>
        <v>61</v>
      </c>
      <c r="BP94">
        <f t="shared" ca="1" si="50"/>
        <v>30</v>
      </c>
      <c r="BQ94">
        <f t="shared" ca="1" si="50"/>
        <v>115</v>
      </c>
      <c r="BR94">
        <f t="shared" ca="1" si="50"/>
        <v>219</v>
      </c>
      <c r="BS94">
        <f t="shared" ca="1" si="50"/>
        <v>171</v>
      </c>
      <c r="BT94">
        <f t="shared" ca="1" si="50"/>
        <v>264</v>
      </c>
      <c r="BU94">
        <f t="shared" ca="1" si="50"/>
        <v>156</v>
      </c>
      <c r="BV94">
        <f t="shared" ca="1" si="50"/>
        <v>133</v>
      </c>
      <c r="BW94">
        <f t="shared" ca="1" si="50"/>
        <v>38</v>
      </c>
      <c r="BX94" t="e">
        <f t="shared" ca="1" si="50"/>
        <v>#N/A</v>
      </c>
      <c r="BY94" t="e">
        <f t="shared" ca="1" si="50"/>
        <v>#N/A</v>
      </c>
      <c r="BZ94" s="47" t="e">
        <f t="shared" ca="1" si="50"/>
        <v>#N/A</v>
      </c>
    </row>
    <row r="95" spans="2:80">
      <c r="B95"/>
      <c r="C95"/>
      <c r="D95"/>
      <c r="Q95"/>
      <c r="AQ95" s="20"/>
      <c r="BB95"/>
      <c r="BL95" s="32" t="str">
        <f>AJ6</f>
        <v>BUI NHU BAO</v>
      </c>
      <c r="BM95" s="15" t="s">
        <v>1154</v>
      </c>
      <c r="BN95" s="15"/>
      <c r="BO95" s="15">
        <f t="shared" ref="BO95:BZ95" ca="1" si="51">IF(BO7-BO19&gt;0,BO19,BO7)</f>
        <v>30</v>
      </c>
      <c r="BP95" s="15">
        <f t="shared" ca="1" si="51"/>
        <v>13</v>
      </c>
      <c r="BQ95" s="15">
        <f t="shared" ca="1" si="51"/>
        <v>14</v>
      </c>
      <c r="BR95" s="15">
        <f t="shared" ca="1" si="51"/>
        <v>15</v>
      </c>
      <c r="BS95" s="15">
        <f t="shared" ca="1" si="51"/>
        <v>2</v>
      </c>
      <c r="BT95" s="15">
        <f t="shared" ca="1" si="51"/>
        <v>1</v>
      </c>
      <c r="BU95" s="15">
        <f t="shared" ca="1" si="51"/>
        <v>0</v>
      </c>
      <c r="BV95" s="15">
        <f t="shared" ca="1" si="51"/>
        <v>0</v>
      </c>
      <c r="BW95" s="15">
        <f t="shared" ca="1" si="51"/>
        <v>0</v>
      </c>
      <c r="BX95" s="15">
        <f t="shared" ca="1" si="51"/>
        <v>0</v>
      </c>
      <c r="BY95" s="15">
        <f t="shared" ca="1" si="51"/>
        <v>0</v>
      </c>
      <c r="BZ95" s="33">
        <f t="shared" ca="1" si="51"/>
        <v>0</v>
      </c>
    </row>
    <row r="96" spans="2:80">
      <c r="B96"/>
      <c r="C96"/>
      <c r="D96"/>
      <c r="Q96"/>
      <c r="AQ96" s="20"/>
      <c r="BB96"/>
      <c r="BL96" s="46"/>
      <c r="BO96" t="e">
        <f t="shared" ref="BO96:BZ96" ca="1" si="52">IF(BO7-BO19&gt;0,BO7-BO19,NA())</f>
        <v>#N/A</v>
      </c>
      <c r="BP96" t="e">
        <f t="shared" ca="1" si="52"/>
        <v>#N/A</v>
      </c>
      <c r="BQ96" t="e">
        <f t="shared" ca="1" si="52"/>
        <v>#N/A</v>
      </c>
      <c r="BR96" t="e">
        <f t="shared" ca="1" si="52"/>
        <v>#N/A</v>
      </c>
      <c r="BS96">
        <f t="shared" ca="1" si="52"/>
        <v>10</v>
      </c>
      <c r="BT96">
        <f t="shared" ca="1" si="52"/>
        <v>82</v>
      </c>
      <c r="BU96">
        <f t="shared" ca="1" si="52"/>
        <v>238</v>
      </c>
      <c r="BV96">
        <f t="shared" ca="1" si="52"/>
        <v>270</v>
      </c>
      <c r="BW96">
        <f t="shared" ca="1" si="52"/>
        <v>121</v>
      </c>
      <c r="BX96" t="e">
        <f t="shared" ca="1" si="52"/>
        <v>#N/A</v>
      </c>
      <c r="BY96" t="e">
        <f t="shared" ca="1" si="52"/>
        <v>#N/A</v>
      </c>
      <c r="BZ96" s="47" t="e">
        <f t="shared" ca="1" si="52"/>
        <v>#N/A</v>
      </c>
    </row>
    <row r="97" spans="2:78">
      <c r="B97"/>
      <c r="C97"/>
      <c r="D97"/>
      <c r="Q97"/>
      <c r="AQ97" s="20"/>
      <c r="BB97"/>
      <c r="BL97" s="24"/>
      <c r="BM97" s="16"/>
      <c r="BN97" s="16"/>
      <c r="BO97" s="16">
        <f t="shared" ref="BO97:BZ97" ca="1" si="53">IF(BO19-BO7&gt;0,BO19-BO7,NA())</f>
        <v>144</v>
      </c>
      <c r="BP97" s="16">
        <f t="shared" ca="1" si="53"/>
        <v>26</v>
      </c>
      <c r="BQ97" s="16">
        <f t="shared" ca="1" si="53"/>
        <v>18</v>
      </c>
      <c r="BR97" s="16">
        <f t="shared" ca="1" si="53"/>
        <v>1</v>
      </c>
      <c r="BS97" s="16" t="e">
        <f t="shared" ca="1" si="53"/>
        <v>#N/A</v>
      </c>
      <c r="BT97" s="16" t="e">
        <f t="shared" ca="1" si="53"/>
        <v>#N/A</v>
      </c>
      <c r="BU97" s="16" t="e">
        <f t="shared" ca="1" si="53"/>
        <v>#N/A</v>
      </c>
      <c r="BV97" s="16" t="e">
        <f t="shared" ca="1" si="53"/>
        <v>#N/A</v>
      </c>
      <c r="BW97" s="16" t="e">
        <f t="shared" ca="1" si="53"/>
        <v>#N/A</v>
      </c>
      <c r="BX97" s="16" t="e">
        <f t="shared" ca="1" si="53"/>
        <v>#N/A</v>
      </c>
      <c r="BY97" s="16" t="e">
        <f t="shared" ca="1" si="53"/>
        <v>#N/A</v>
      </c>
      <c r="BZ97" s="34" t="e">
        <f t="shared" ca="1" si="53"/>
        <v>#N/A</v>
      </c>
    </row>
    <row r="98" spans="2:78">
      <c r="B98"/>
      <c r="C98"/>
      <c r="D98"/>
      <c r="Q98"/>
      <c r="AQ98" s="20"/>
      <c r="BB98"/>
    </row>
    <row r="99" spans="2:78">
      <c r="B99"/>
      <c r="C99"/>
      <c r="D99"/>
      <c r="Q99"/>
      <c r="AQ99" s="20"/>
      <c r="BB99"/>
    </row>
    <row r="100" spans="2:78">
      <c r="B100"/>
      <c r="C100"/>
      <c r="D100"/>
      <c r="Q100"/>
      <c r="AQ100" s="20"/>
      <c r="BB100"/>
      <c r="BK100" s="50" t="s">
        <v>1104</v>
      </c>
      <c r="BL100" s="44" t="s">
        <v>1155</v>
      </c>
      <c r="BM100" s="42"/>
      <c r="BN100" s="42"/>
      <c r="BO100" s="43"/>
      <c r="BP100" s="43"/>
      <c r="BQ100" s="43"/>
      <c r="BR100" s="43"/>
      <c r="BS100" s="43"/>
      <c r="BT100" s="43"/>
      <c r="BU100" s="43"/>
      <c r="BV100" s="43"/>
      <c r="BW100" s="43"/>
      <c r="BX100" s="42"/>
      <c r="BY100" s="42"/>
      <c r="BZ100" s="42"/>
    </row>
    <row r="101" spans="2:78">
      <c r="B101"/>
      <c r="C101"/>
      <c r="D101"/>
      <c r="Q101"/>
      <c r="AQ101" s="20"/>
      <c r="BB101"/>
      <c r="BL101" s="10" t="s">
        <v>1156</v>
      </c>
      <c r="BM101" s="7"/>
      <c r="BN101" s="7">
        <v>1</v>
      </c>
      <c r="BO101" s="7">
        <v>1</v>
      </c>
      <c r="BP101" s="7">
        <v>1</v>
      </c>
      <c r="BQ101" s="7">
        <v>1</v>
      </c>
      <c r="BR101" s="7">
        <v>1</v>
      </c>
      <c r="BS101" s="7">
        <v>1</v>
      </c>
      <c r="BT101" s="7">
        <v>1</v>
      </c>
      <c r="BU101" s="7">
        <v>1</v>
      </c>
      <c r="BV101" s="7">
        <v>1</v>
      </c>
      <c r="BW101" s="7">
        <v>1</v>
      </c>
      <c r="BX101" s="7">
        <v>1</v>
      </c>
      <c r="BY101" s="7">
        <v>1</v>
      </c>
      <c r="BZ101" s="7">
        <v>1</v>
      </c>
    </row>
    <row r="102" spans="2:78">
      <c r="B102"/>
      <c r="C102"/>
      <c r="D102"/>
      <c r="Q102"/>
      <c r="AQ102" s="20"/>
      <c r="BB102"/>
      <c r="BL102" s="10" t="s">
        <v>1157</v>
      </c>
      <c r="BM102" s="7"/>
      <c r="BN102" s="7">
        <v>2</v>
      </c>
      <c r="BO102" s="7">
        <v>2</v>
      </c>
      <c r="BP102" s="7">
        <v>2</v>
      </c>
      <c r="BQ102" s="7">
        <v>2</v>
      </c>
      <c r="BR102" s="7">
        <v>2</v>
      </c>
      <c r="BS102" s="7">
        <v>2</v>
      </c>
      <c r="BT102" s="7">
        <v>2</v>
      </c>
      <c r="BU102" s="7">
        <v>2</v>
      </c>
      <c r="BV102" s="7">
        <v>2</v>
      </c>
      <c r="BW102" s="7">
        <v>2</v>
      </c>
      <c r="BX102" s="7">
        <v>2</v>
      </c>
      <c r="BY102" s="7">
        <v>2</v>
      </c>
      <c r="BZ102" s="7">
        <v>2</v>
      </c>
    </row>
    <row r="103" spans="2:78">
      <c r="B103"/>
      <c r="C103"/>
      <c r="D103"/>
      <c r="Q103"/>
      <c r="AQ103" s="20"/>
      <c r="BB103"/>
      <c r="BL103" s="10" t="s">
        <v>1158</v>
      </c>
      <c r="BM103" s="7"/>
      <c r="BN103" s="7">
        <v>3</v>
      </c>
      <c r="BO103" s="7">
        <v>3</v>
      </c>
      <c r="BP103" s="7">
        <v>3</v>
      </c>
      <c r="BQ103" s="7">
        <v>3</v>
      </c>
      <c r="BR103" s="7">
        <v>3</v>
      </c>
      <c r="BS103" s="7">
        <v>3</v>
      </c>
      <c r="BT103" s="7">
        <v>3</v>
      </c>
      <c r="BU103" s="7">
        <v>3</v>
      </c>
      <c r="BV103" s="7">
        <v>3</v>
      </c>
      <c r="BW103" s="7">
        <v>3</v>
      </c>
      <c r="BX103" s="7">
        <v>3</v>
      </c>
      <c r="BY103" s="7">
        <v>3</v>
      </c>
      <c r="BZ103" s="7">
        <v>3</v>
      </c>
    </row>
    <row r="104" spans="2:78">
      <c r="B104"/>
      <c r="C104"/>
      <c r="D104"/>
      <c r="Q104"/>
      <c r="AQ104" s="20"/>
      <c r="BB104"/>
    </row>
    <row r="105" spans="2:78">
      <c r="B105"/>
      <c r="C105"/>
      <c r="D105"/>
      <c r="Q105"/>
      <c r="AQ105" s="20"/>
      <c r="BB105"/>
    </row>
    <row r="106" spans="2:78">
      <c r="B106"/>
      <c r="C106"/>
      <c r="D106"/>
      <c r="Q106"/>
      <c r="AQ106" s="20"/>
      <c r="BB106"/>
      <c r="BL106" s="44" t="s">
        <v>1146</v>
      </c>
      <c r="BM106" s="42"/>
      <c r="BN106" s="42"/>
      <c r="BO106" s="43"/>
      <c r="BP106" s="43"/>
      <c r="BQ106" s="43"/>
      <c r="BR106" s="43"/>
      <c r="BS106" s="43"/>
      <c r="BT106" s="43"/>
      <c r="BU106" s="43"/>
      <c r="BV106" s="43"/>
      <c r="BW106" s="43"/>
      <c r="BX106" s="42"/>
      <c r="BY106" s="42"/>
      <c r="BZ106" s="42"/>
    </row>
    <row r="107" spans="2:78">
      <c r="B107"/>
      <c r="C107"/>
      <c r="D107"/>
      <c r="Q107"/>
      <c r="AQ107" s="20"/>
      <c r="BB107"/>
      <c r="BL107" s="32" t="str">
        <f>AJ4</f>
        <v>DO TRUC LAM</v>
      </c>
      <c r="BM107" s="15"/>
      <c r="BN107" s="15"/>
      <c r="BO107" s="15">
        <f ca="1">IF(BO29&lt;&gt;0,BO29,NA())</f>
        <v>1</v>
      </c>
      <c r="BP107" s="15" t="e">
        <f t="shared" ref="BP107:BZ107" ca="1" si="54">IF(BP29-BO29&lt;&gt;0,BP29-BO29,NA())</f>
        <v>#N/A</v>
      </c>
      <c r="BQ107" s="15">
        <f t="shared" ca="1" si="54"/>
        <v>-1</v>
      </c>
      <c r="BR107" s="15">
        <f t="shared" ca="1" si="54"/>
        <v>1</v>
      </c>
      <c r="BS107" s="15">
        <f t="shared" ca="1" si="54"/>
        <v>8</v>
      </c>
      <c r="BT107" s="15">
        <f t="shared" ca="1" si="54"/>
        <v>-2</v>
      </c>
      <c r="BU107" s="15">
        <f t="shared" ca="1" si="54"/>
        <v>19</v>
      </c>
      <c r="BV107" s="15">
        <f t="shared" ca="1" si="54"/>
        <v>-14</v>
      </c>
      <c r="BW107" s="15">
        <f t="shared" ca="1" si="54"/>
        <v>32</v>
      </c>
      <c r="BX107" s="15">
        <f t="shared" ca="1" si="54"/>
        <v>-44</v>
      </c>
      <c r="BY107" s="15" t="e">
        <f t="shared" ca="1" si="54"/>
        <v>#N/A</v>
      </c>
      <c r="BZ107" s="33" t="e">
        <f t="shared" ca="1" si="54"/>
        <v>#N/A</v>
      </c>
    </row>
    <row r="108" spans="2:78">
      <c r="B108"/>
      <c r="C108"/>
      <c r="D108"/>
      <c r="Q108"/>
      <c r="AQ108" s="20"/>
      <c r="BB108"/>
      <c r="BL108" s="24"/>
      <c r="BM108" s="16"/>
      <c r="BN108" s="16"/>
      <c r="BO108" s="16">
        <f ca="1">-BO107+5</f>
        <v>4</v>
      </c>
      <c r="BP108" s="16" t="e">
        <f ca="1">-BP107+5</f>
        <v>#N/A</v>
      </c>
      <c r="BQ108" s="16">
        <f t="shared" ref="BQ108:BZ108" ca="1" si="55">-BQ107+5</f>
        <v>6</v>
      </c>
      <c r="BR108" s="16">
        <f t="shared" ca="1" si="55"/>
        <v>4</v>
      </c>
      <c r="BS108" s="16">
        <f t="shared" ca="1" si="55"/>
        <v>-3</v>
      </c>
      <c r="BT108" s="16">
        <f t="shared" ca="1" si="55"/>
        <v>7</v>
      </c>
      <c r="BU108" s="16">
        <f t="shared" ca="1" si="55"/>
        <v>-14</v>
      </c>
      <c r="BV108" s="16">
        <f t="shared" ca="1" si="55"/>
        <v>19</v>
      </c>
      <c r="BW108" s="16">
        <f t="shared" ca="1" si="55"/>
        <v>-27</v>
      </c>
      <c r="BX108" s="16">
        <f t="shared" ca="1" si="55"/>
        <v>49</v>
      </c>
      <c r="BY108" s="16" t="e">
        <f t="shared" ca="1" si="55"/>
        <v>#N/A</v>
      </c>
      <c r="BZ108" s="34" t="e">
        <f t="shared" ca="1" si="55"/>
        <v>#N/A</v>
      </c>
    </row>
    <row r="109" spans="2:78">
      <c r="B109"/>
      <c r="C109"/>
      <c r="D109"/>
      <c r="Q109"/>
      <c r="AQ109" s="20"/>
      <c r="BB109"/>
      <c r="BL109" s="32" t="str">
        <f>AJ5</f>
        <v>DO MAI HA</v>
      </c>
      <c r="BM109" s="15"/>
      <c r="BN109" s="15"/>
      <c r="BO109" s="15" t="e">
        <f ca="1">IF(BO30&lt;&gt;0,BO30,NA())</f>
        <v>#N/A</v>
      </c>
      <c r="BP109" s="15" t="e">
        <f t="shared" ref="BP109:BZ109" ca="1" si="56">IF(BP30-BO30&lt;&gt;0,BP30-BO30,NA())</f>
        <v>#N/A</v>
      </c>
      <c r="BQ109" s="15" t="e">
        <f t="shared" ca="1" si="56"/>
        <v>#N/A</v>
      </c>
      <c r="BR109" s="15" t="e">
        <f t="shared" ca="1" si="56"/>
        <v>#N/A</v>
      </c>
      <c r="BS109" s="15" t="e">
        <f t="shared" ca="1" si="56"/>
        <v>#N/A</v>
      </c>
      <c r="BT109" s="15" t="e">
        <f t="shared" ca="1" si="56"/>
        <v>#N/A</v>
      </c>
      <c r="BU109" s="15" t="e">
        <f t="shared" ca="1" si="56"/>
        <v>#N/A</v>
      </c>
      <c r="BV109" s="15">
        <f t="shared" ca="1" si="56"/>
        <v>66</v>
      </c>
      <c r="BW109" s="15">
        <f t="shared" ca="1" si="56"/>
        <v>-29</v>
      </c>
      <c r="BX109" s="15">
        <f t="shared" ca="1" si="56"/>
        <v>-37</v>
      </c>
      <c r="BY109" s="15" t="e">
        <f t="shared" ca="1" si="56"/>
        <v>#N/A</v>
      </c>
      <c r="BZ109" s="33" t="e">
        <f t="shared" ca="1" si="56"/>
        <v>#N/A</v>
      </c>
    </row>
    <row r="110" spans="2:78">
      <c r="B110"/>
      <c r="C110"/>
      <c r="D110"/>
      <c r="Q110"/>
      <c r="AQ110" s="20"/>
      <c r="BB110"/>
      <c r="BL110" s="24"/>
      <c r="BM110" s="16"/>
      <c r="BN110" s="16"/>
      <c r="BO110" s="16" t="e">
        <f ca="1">-BO109</f>
        <v>#N/A</v>
      </c>
      <c r="BP110" s="16" t="e">
        <f ca="1">-BP109</f>
        <v>#N/A</v>
      </c>
      <c r="BQ110" s="16" t="e">
        <f t="shared" ref="BQ110:BY110" ca="1" si="57">-BQ109</f>
        <v>#N/A</v>
      </c>
      <c r="BR110" s="16" t="e">
        <f t="shared" ca="1" si="57"/>
        <v>#N/A</v>
      </c>
      <c r="BS110" s="16" t="e">
        <f t="shared" ca="1" si="57"/>
        <v>#N/A</v>
      </c>
      <c r="BT110" s="16" t="e">
        <f t="shared" ca="1" si="57"/>
        <v>#N/A</v>
      </c>
      <c r="BU110" s="16" t="e">
        <f t="shared" ca="1" si="57"/>
        <v>#N/A</v>
      </c>
      <c r="BV110" s="16">
        <f t="shared" ca="1" si="57"/>
        <v>-66</v>
      </c>
      <c r="BW110" s="16">
        <f t="shared" ca="1" si="57"/>
        <v>29</v>
      </c>
      <c r="BX110" s="16">
        <f t="shared" ca="1" si="57"/>
        <v>37</v>
      </c>
      <c r="BY110" s="16" t="e">
        <f t="shared" ca="1" si="57"/>
        <v>#N/A</v>
      </c>
      <c r="BZ110" s="34" t="e">
        <f ca="1">-BZ109</f>
        <v>#N/A</v>
      </c>
    </row>
    <row r="111" spans="2:78">
      <c r="B111"/>
      <c r="C111"/>
      <c r="D111"/>
      <c r="Q111"/>
      <c r="AQ111" s="20"/>
      <c r="BB111"/>
      <c r="BL111" s="32" t="str">
        <f>AJ6</f>
        <v>BUI NHU BAO</v>
      </c>
      <c r="BM111" s="15"/>
      <c r="BN111" s="15"/>
      <c r="BO111" s="15" t="e">
        <f ca="1">IF(BO31&lt;&gt;0,BO31,NA())</f>
        <v>#N/A</v>
      </c>
      <c r="BP111" s="15" t="e">
        <f t="shared" ref="BP111:BZ111" ca="1" si="58">IF(BP31-BO31&lt;&gt;0,BP31-BO31,NA())</f>
        <v>#N/A</v>
      </c>
      <c r="BQ111" s="15" t="e">
        <f t="shared" ca="1" si="58"/>
        <v>#N/A</v>
      </c>
      <c r="BR111" s="15">
        <f t="shared" ca="1" si="58"/>
        <v>2</v>
      </c>
      <c r="BS111" s="15">
        <f t="shared" ca="1" si="58"/>
        <v>-2</v>
      </c>
      <c r="BT111" s="15">
        <f t="shared" ca="1" si="58"/>
        <v>79</v>
      </c>
      <c r="BU111" s="15">
        <f t="shared" ca="1" si="58"/>
        <v>159</v>
      </c>
      <c r="BV111" s="15">
        <f t="shared" ca="1" si="58"/>
        <v>32</v>
      </c>
      <c r="BW111" s="15">
        <f t="shared" ca="1" si="58"/>
        <v>-149</v>
      </c>
      <c r="BX111" s="15">
        <f t="shared" ca="1" si="58"/>
        <v>-121</v>
      </c>
      <c r="BY111" s="15" t="e">
        <f t="shared" ca="1" si="58"/>
        <v>#N/A</v>
      </c>
      <c r="BZ111" s="33" t="e">
        <f t="shared" ca="1" si="58"/>
        <v>#N/A</v>
      </c>
    </row>
    <row r="112" spans="2:78">
      <c r="B112"/>
      <c r="C112"/>
      <c r="D112"/>
      <c r="Q112"/>
      <c r="AQ112" s="20"/>
      <c r="BB112"/>
      <c r="BL112" s="24"/>
      <c r="BM112" s="16"/>
      <c r="BN112" s="16"/>
      <c r="BO112" s="48" t="e">
        <f ca="1">-BO111</f>
        <v>#N/A</v>
      </c>
      <c r="BP112" s="16" t="e">
        <f ca="1">-BP111</f>
        <v>#N/A</v>
      </c>
      <c r="BQ112" s="16" t="e">
        <f t="shared" ref="BQ112:BZ112" ca="1" si="59">-BQ111</f>
        <v>#N/A</v>
      </c>
      <c r="BR112" s="16">
        <f t="shared" ca="1" si="59"/>
        <v>-2</v>
      </c>
      <c r="BS112" s="16">
        <f t="shared" ca="1" si="59"/>
        <v>2</v>
      </c>
      <c r="BT112" s="16">
        <f t="shared" ca="1" si="59"/>
        <v>-79</v>
      </c>
      <c r="BU112" s="16">
        <f t="shared" ca="1" si="59"/>
        <v>-159</v>
      </c>
      <c r="BV112" s="16">
        <f t="shared" ca="1" si="59"/>
        <v>-32</v>
      </c>
      <c r="BW112" s="16">
        <f t="shared" ca="1" si="59"/>
        <v>149</v>
      </c>
      <c r="BX112" s="16">
        <f t="shared" ca="1" si="59"/>
        <v>121</v>
      </c>
      <c r="BY112" s="16" t="e">
        <f t="shared" ca="1" si="59"/>
        <v>#N/A</v>
      </c>
      <c r="BZ112" s="34" t="e">
        <f t="shared" ca="1" si="59"/>
        <v>#N/A</v>
      </c>
    </row>
    <row r="113" spans="2:78">
      <c r="B113"/>
      <c r="C113"/>
      <c r="D113"/>
      <c r="Q113"/>
      <c r="AQ113" s="20"/>
      <c r="BB113"/>
    </row>
    <row r="114" spans="2:78">
      <c r="B114"/>
      <c r="C114"/>
      <c r="D114"/>
      <c r="Q114"/>
      <c r="AQ114" s="20"/>
      <c r="BB114"/>
    </row>
    <row r="115" spans="2:78">
      <c r="B115"/>
      <c r="C115"/>
      <c r="D115"/>
      <c r="Q115"/>
      <c r="AQ115" s="20"/>
      <c r="BB115"/>
      <c r="BK115" s="50" t="s">
        <v>1105</v>
      </c>
      <c r="BL115" s="44" t="s">
        <v>1159</v>
      </c>
      <c r="BM115" s="42"/>
      <c r="BN115" s="42"/>
      <c r="BO115" s="43"/>
      <c r="BP115" s="43"/>
      <c r="BQ115" s="43"/>
      <c r="BR115" s="43"/>
      <c r="BS115" s="43"/>
      <c r="BT115" s="43"/>
      <c r="BU115" s="43"/>
      <c r="BV115" s="43"/>
      <c r="BW115" s="43"/>
      <c r="BX115" s="42"/>
      <c r="BY115" s="42"/>
      <c r="BZ115" s="42"/>
    </row>
    <row r="116" spans="2:78">
      <c r="B116"/>
      <c r="C116"/>
      <c r="D116"/>
      <c r="Q116"/>
      <c r="AQ116" s="20"/>
      <c r="BB116"/>
      <c r="BL116" s="10" t="s">
        <v>1156</v>
      </c>
      <c r="BM116" s="7"/>
      <c r="BN116" s="7">
        <v>1</v>
      </c>
      <c r="BO116" s="7">
        <v>1</v>
      </c>
      <c r="BP116" s="7">
        <v>1</v>
      </c>
      <c r="BQ116" s="7">
        <v>1</v>
      </c>
      <c r="BR116" s="7">
        <v>1</v>
      </c>
      <c r="BS116" s="7">
        <v>1</v>
      </c>
      <c r="BT116" s="7">
        <v>1</v>
      </c>
      <c r="BU116" s="7">
        <v>1</v>
      </c>
      <c r="BV116" s="7">
        <v>1</v>
      </c>
      <c r="BW116" s="7">
        <v>1</v>
      </c>
      <c r="BX116" s="7">
        <v>1</v>
      </c>
      <c r="BY116" s="7">
        <v>1</v>
      </c>
      <c r="BZ116" s="7">
        <v>1</v>
      </c>
    </row>
    <row r="117" spans="2:78">
      <c r="B117"/>
      <c r="C117"/>
      <c r="D117"/>
      <c r="Q117"/>
      <c r="AQ117" s="20"/>
      <c r="BB117"/>
      <c r="BL117" s="10" t="s">
        <v>1157</v>
      </c>
      <c r="BM117" s="7"/>
      <c r="BN117" s="7">
        <v>2</v>
      </c>
      <c r="BO117" s="7">
        <v>2</v>
      </c>
      <c r="BP117" s="7">
        <v>2</v>
      </c>
      <c r="BQ117" s="7">
        <v>2</v>
      </c>
      <c r="BR117" s="7">
        <v>2</v>
      </c>
      <c r="BS117" s="7">
        <v>2</v>
      </c>
      <c r="BT117" s="7">
        <v>2</v>
      </c>
      <c r="BU117" s="7">
        <v>2</v>
      </c>
      <c r="BV117" s="7">
        <v>2</v>
      </c>
      <c r="BW117" s="7">
        <v>2</v>
      </c>
      <c r="BX117" s="7">
        <v>2</v>
      </c>
      <c r="BY117" s="7">
        <v>2</v>
      </c>
      <c r="BZ117" s="7">
        <v>2</v>
      </c>
    </row>
    <row r="118" spans="2:78">
      <c r="B118"/>
      <c r="C118"/>
      <c r="D118"/>
      <c r="Q118"/>
      <c r="AQ118" s="20"/>
      <c r="BB118"/>
      <c r="BL118" s="10" t="s">
        <v>1158</v>
      </c>
      <c r="BM118" s="7"/>
      <c r="BN118" s="7">
        <v>3</v>
      </c>
      <c r="BO118" s="7">
        <v>3</v>
      </c>
      <c r="BP118" s="7">
        <v>3</v>
      </c>
      <c r="BQ118" s="7">
        <v>3</v>
      </c>
      <c r="BR118" s="7">
        <v>3</v>
      </c>
      <c r="BS118" s="7">
        <v>3</v>
      </c>
      <c r="BT118" s="7">
        <v>3</v>
      </c>
      <c r="BU118" s="7">
        <v>3</v>
      </c>
      <c r="BV118" s="7">
        <v>3</v>
      </c>
      <c r="BW118" s="7">
        <v>3</v>
      </c>
      <c r="BX118" s="7">
        <v>3</v>
      </c>
      <c r="BY118" s="7">
        <v>3</v>
      </c>
      <c r="BZ118" s="7">
        <v>3</v>
      </c>
    </row>
    <row r="119" spans="2:78">
      <c r="B119"/>
      <c r="C119"/>
      <c r="D119"/>
      <c r="Q119"/>
      <c r="AQ119" s="20"/>
      <c r="BB119"/>
    </row>
    <row r="120" spans="2:78">
      <c r="B120"/>
      <c r="C120"/>
      <c r="D120"/>
      <c r="Q120"/>
      <c r="AQ120" s="20"/>
      <c r="BB120"/>
    </row>
    <row r="121" spans="2:78">
      <c r="B121"/>
      <c r="C121"/>
      <c r="D121"/>
      <c r="Q121"/>
      <c r="AQ121" s="20"/>
      <c r="BB121"/>
      <c r="BL121" s="44" t="s">
        <v>1146</v>
      </c>
      <c r="BM121" s="42"/>
      <c r="BN121" s="42"/>
      <c r="BO121" s="43"/>
      <c r="BP121" s="43"/>
      <c r="BQ121" s="43"/>
      <c r="BR121" s="43"/>
      <c r="BS121" s="43"/>
      <c r="BT121" s="43"/>
      <c r="BU121" s="43"/>
      <c r="BV121" s="43"/>
      <c r="BW121" s="43"/>
      <c r="BX121" s="42"/>
      <c r="BY121" s="42"/>
      <c r="BZ121" s="42"/>
    </row>
    <row r="122" spans="2:78">
      <c r="B122"/>
      <c r="C122"/>
      <c r="D122"/>
      <c r="Q122"/>
      <c r="AQ122" s="20"/>
      <c r="BB122"/>
      <c r="BL122" s="32" t="str">
        <f>AJ4</f>
        <v>DO TRUC LAM</v>
      </c>
      <c r="BM122" s="15"/>
      <c r="BN122" s="15"/>
      <c r="BO122" s="15" t="e">
        <f ca="1">IF(BO41&lt;&gt;0,BO41,NA())</f>
        <v>#N/A</v>
      </c>
      <c r="BP122" s="15" t="e">
        <f t="shared" ref="BP122:BZ122" ca="1" si="60">IF(BP41-BO41&lt;&gt;0,BP41-BO41,NA())</f>
        <v>#N/A</v>
      </c>
      <c r="BQ122" s="15">
        <f t="shared" ca="1" si="60"/>
        <v>2</v>
      </c>
      <c r="BR122" s="15">
        <f t="shared" ca="1" si="60"/>
        <v>3</v>
      </c>
      <c r="BS122" s="15">
        <f t="shared" ca="1" si="60"/>
        <v>5</v>
      </c>
      <c r="BT122" s="15">
        <f t="shared" ca="1" si="60"/>
        <v>2</v>
      </c>
      <c r="BU122" s="15">
        <f t="shared" ca="1" si="60"/>
        <v>2</v>
      </c>
      <c r="BV122" s="15">
        <f t="shared" ca="1" si="60"/>
        <v>-5</v>
      </c>
      <c r="BW122" s="15">
        <f t="shared" ca="1" si="60"/>
        <v>13</v>
      </c>
      <c r="BX122" s="15">
        <f t="shared" ca="1" si="60"/>
        <v>-22</v>
      </c>
      <c r="BY122" s="15" t="e">
        <f t="shared" ca="1" si="60"/>
        <v>#N/A</v>
      </c>
      <c r="BZ122" s="33" t="e">
        <f t="shared" ca="1" si="60"/>
        <v>#N/A</v>
      </c>
    </row>
    <row r="123" spans="2:78">
      <c r="B123"/>
      <c r="C123"/>
      <c r="D123"/>
      <c r="Q123"/>
      <c r="AQ123" s="20"/>
      <c r="BB123"/>
      <c r="BL123" s="24"/>
      <c r="BM123" s="16"/>
      <c r="BN123" s="16"/>
      <c r="BO123" s="16" t="e">
        <f ca="1">-BO122+5</f>
        <v>#N/A</v>
      </c>
      <c r="BP123" s="16" t="e">
        <f ca="1">-BP122+5</f>
        <v>#N/A</v>
      </c>
      <c r="BQ123" s="16">
        <f t="shared" ref="BQ123:BZ123" ca="1" si="61">-BQ122+5</f>
        <v>3</v>
      </c>
      <c r="BR123" s="16">
        <f t="shared" ca="1" si="61"/>
        <v>2</v>
      </c>
      <c r="BS123" s="16">
        <f t="shared" ca="1" si="61"/>
        <v>0</v>
      </c>
      <c r="BT123" s="16">
        <f t="shared" ca="1" si="61"/>
        <v>3</v>
      </c>
      <c r="BU123" s="16">
        <f t="shared" ca="1" si="61"/>
        <v>3</v>
      </c>
      <c r="BV123" s="16">
        <f t="shared" ca="1" si="61"/>
        <v>10</v>
      </c>
      <c r="BW123" s="16">
        <f t="shared" ca="1" si="61"/>
        <v>-8</v>
      </c>
      <c r="BX123" s="16">
        <f t="shared" ca="1" si="61"/>
        <v>27</v>
      </c>
      <c r="BY123" s="16" t="e">
        <f t="shared" ca="1" si="61"/>
        <v>#N/A</v>
      </c>
      <c r="BZ123" s="34" t="e">
        <f t="shared" ca="1" si="61"/>
        <v>#N/A</v>
      </c>
    </row>
    <row r="124" spans="2:78">
      <c r="B124"/>
      <c r="C124"/>
      <c r="D124"/>
      <c r="Q124"/>
      <c r="AQ124" s="20"/>
      <c r="BB124"/>
      <c r="BL124" s="32" t="str">
        <f>AJ5</f>
        <v>DO MAI HA</v>
      </c>
      <c r="BM124" s="15"/>
      <c r="BN124" s="15"/>
      <c r="BO124" s="15" t="e">
        <f ca="1">IF(BO42&lt;&gt;0,BO42,NA())</f>
        <v>#N/A</v>
      </c>
      <c r="BP124" s="15" t="e">
        <f t="shared" ref="BP124:BZ124" ca="1" si="62">IF(BP42-BO42&lt;&gt;0,BP42-BO42,NA())</f>
        <v>#N/A</v>
      </c>
      <c r="BQ124" s="15" t="e">
        <f t="shared" ca="1" si="62"/>
        <v>#N/A</v>
      </c>
      <c r="BR124" s="15" t="e">
        <f t="shared" ca="1" si="62"/>
        <v>#N/A</v>
      </c>
      <c r="BS124" s="15" t="e">
        <f t="shared" ca="1" si="62"/>
        <v>#N/A</v>
      </c>
      <c r="BT124" s="15">
        <f t="shared" ca="1" si="62"/>
        <v>13</v>
      </c>
      <c r="BU124" s="15">
        <f t="shared" ca="1" si="62"/>
        <v>19</v>
      </c>
      <c r="BV124" s="15">
        <f t="shared" ca="1" si="62"/>
        <v>78</v>
      </c>
      <c r="BW124" s="15">
        <f t="shared" ca="1" si="62"/>
        <v>-34</v>
      </c>
      <c r="BX124" s="15">
        <f t="shared" ca="1" si="62"/>
        <v>-76</v>
      </c>
      <c r="BY124" s="15" t="e">
        <f t="shared" ca="1" si="62"/>
        <v>#N/A</v>
      </c>
      <c r="BZ124" s="33" t="e">
        <f t="shared" ca="1" si="62"/>
        <v>#N/A</v>
      </c>
    </row>
    <row r="125" spans="2:78">
      <c r="B125"/>
      <c r="C125"/>
      <c r="D125"/>
      <c r="Q125"/>
      <c r="AQ125" s="20"/>
      <c r="BB125"/>
      <c r="BL125" s="24"/>
      <c r="BM125" s="16"/>
      <c r="BN125" s="16"/>
      <c r="BO125" s="16" t="e">
        <f ca="1">-BO124</f>
        <v>#N/A</v>
      </c>
      <c r="BP125" s="16" t="e">
        <f t="shared" ref="BP125:BZ125" ca="1" si="63">-BP124</f>
        <v>#N/A</v>
      </c>
      <c r="BQ125" s="16" t="e">
        <f t="shared" ca="1" si="63"/>
        <v>#N/A</v>
      </c>
      <c r="BR125" s="16" t="e">
        <f t="shared" ca="1" si="63"/>
        <v>#N/A</v>
      </c>
      <c r="BS125" s="16" t="e">
        <f t="shared" ca="1" si="63"/>
        <v>#N/A</v>
      </c>
      <c r="BT125" s="16">
        <f t="shared" ca="1" si="63"/>
        <v>-13</v>
      </c>
      <c r="BU125" s="16">
        <f t="shared" ca="1" si="63"/>
        <v>-19</v>
      </c>
      <c r="BV125" s="16">
        <f t="shared" ca="1" si="63"/>
        <v>-78</v>
      </c>
      <c r="BW125" s="16">
        <f t="shared" ca="1" si="63"/>
        <v>34</v>
      </c>
      <c r="BX125" s="16">
        <f t="shared" ca="1" si="63"/>
        <v>76</v>
      </c>
      <c r="BY125" s="16" t="e">
        <f t="shared" ca="1" si="63"/>
        <v>#N/A</v>
      </c>
      <c r="BZ125" s="34" t="e">
        <f t="shared" ca="1" si="63"/>
        <v>#N/A</v>
      </c>
    </row>
    <row r="126" spans="2:78">
      <c r="B126"/>
      <c r="C126"/>
      <c r="D126"/>
      <c r="Q126"/>
      <c r="AQ126" s="20"/>
      <c r="BB126"/>
      <c r="BL126" s="49" t="str">
        <f>AJ6</f>
        <v>BUI NHU BAO</v>
      </c>
      <c r="BO126" t="e">
        <f ca="1">IF(BO43&lt;&gt;0,BO43,NA())</f>
        <v>#N/A</v>
      </c>
      <c r="BP126" t="e">
        <f t="shared" ref="BP126:BZ126" ca="1" si="64">IF(BP43-BO43&lt;&gt;0,BP43-BO43,NA())</f>
        <v>#N/A</v>
      </c>
      <c r="BQ126" t="e">
        <f t="shared" ca="1" si="64"/>
        <v>#N/A</v>
      </c>
      <c r="BR126" t="e">
        <f t="shared" ca="1" si="64"/>
        <v>#N/A</v>
      </c>
      <c r="BS126">
        <f t="shared" ca="1" si="64"/>
        <v>1</v>
      </c>
      <c r="BT126">
        <f t="shared" ca="1" si="64"/>
        <v>-1</v>
      </c>
      <c r="BU126" t="e">
        <f t="shared" ca="1" si="64"/>
        <v>#N/A</v>
      </c>
      <c r="BV126" t="e">
        <f t="shared" ca="1" si="64"/>
        <v>#N/A</v>
      </c>
      <c r="BW126" t="e">
        <f t="shared" ca="1" si="64"/>
        <v>#N/A</v>
      </c>
      <c r="BX126" t="e">
        <f t="shared" ca="1" si="64"/>
        <v>#N/A</v>
      </c>
      <c r="BY126" t="e">
        <f t="shared" ca="1" si="64"/>
        <v>#N/A</v>
      </c>
      <c r="BZ126" s="47" t="e">
        <f t="shared" ca="1" si="64"/>
        <v>#N/A</v>
      </c>
    </row>
    <row r="127" spans="2:78">
      <c r="B127"/>
      <c r="C127"/>
      <c r="D127"/>
      <c r="Q127"/>
      <c r="AQ127" s="20"/>
      <c r="BB127"/>
      <c r="BL127" s="24"/>
      <c r="BM127" s="16"/>
      <c r="BN127" s="16"/>
      <c r="BO127" s="16" t="e">
        <f ca="1">-BO126</f>
        <v>#N/A</v>
      </c>
      <c r="BP127" s="16" t="e">
        <f t="shared" ref="BP127:BZ127" ca="1" si="65">-BP126</f>
        <v>#N/A</v>
      </c>
      <c r="BQ127" s="16" t="e">
        <f t="shared" ca="1" si="65"/>
        <v>#N/A</v>
      </c>
      <c r="BR127" s="16" t="e">
        <f t="shared" ca="1" si="65"/>
        <v>#N/A</v>
      </c>
      <c r="BS127" s="16">
        <f t="shared" ca="1" si="65"/>
        <v>-1</v>
      </c>
      <c r="BT127" s="16">
        <f t="shared" ca="1" si="65"/>
        <v>1</v>
      </c>
      <c r="BU127" s="16" t="e">
        <f t="shared" ca="1" si="65"/>
        <v>#N/A</v>
      </c>
      <c r="BV127" s="16" t="e">
        <f t="shared" ca="1" si="65"/>
        <v>#N/A</v>
      </c>
      <c r="BW127" s="16" t="e">
        <f t="shared" ca="1" si="65"/>
        <v>#N/A</v>
      </c>
      <c r="BX127" s="16" t="e">
        <f t="shared" ca="1" si="65"/>
        <v>#N/A</v>
      </c>
      <c r="BY127" s="16" t="e">
        <f t="shared" ca="1" si="65"/>
        <v>#N/A</v>
      </c>
      <c r="BZ127" s="34" t="e">
        <f t="shared" ca="1" si="65"/>
        <v>#N/A</v>
      </c>
    </row>
    <row r="128" spans="2:78">
      <c r="B128"/>
      <c r="C128"/>
      <c r="D128"/>
      <c r="Q128"/>
      <c r="AQ128" s="20"/>
      <c r="BB128"/>
    </row>
    <row r="129" spans="2:78">
      <c r="B129"/>
      <c r="C129"/>
      <c r="D129"/>
      <c r="Q129"/>
      <c r="AQ129" s="20"/>
      <c r="BB129"/>
    </row>
    <row r="130" spans="2:78">
      <c r="B130"/>
      <c r="C130"/>
      <c r="D130"/>
      <c r="Q130"/>
      <c r="AQ130" s="20"/>
      <c r="BB130"/>
      <c r="BL130" s="44" t="s">
        <v>1160</v>
      </c>
      <c r="BM130" s="42"/>
      <c r="BN130" s="42"/>
      <c r="BO130" s="43"/>
      <c r="BP130" s="43"/>
      <c r="BQ130" s="43"/>
      <c r="BR130" s="43"/>
      <c r="BS130" s="43"/>
      <c r="BT130" s="43"/>
      <c r="BU130" s="43"/>
      <c r="BV130" s="43"/>
      <c r="BW130" s="43"/>
      <c r="BX130" s="42"/>
      <c r="BY130" s="42"/>
      <c r="BZ130" s="42"/>
    </row>
    <row r="131" spans="2:78">
      <c r="B131"/>
      <c r="C131"/>
      <c r="D131"/>
      <c r="Q131"/>
      <c r="AQ131" s="20"/>
      <c r="BB131"/>
      <c r="BK131" s="50" t="s">
        <v>1161</v>
      </c>
      <c r="BL131" s="22" t="s">
        <v>1162</v>
      </c>
      <c r="BM131" s="15"/>
      <c r="BN131" s="15"/>
      <c r="BO131" s="55">
        <f ca="1">IF(BO60&lt;&gt;0,MAX(BO53:BO55),9999)</f>
        <v>1.75</v>
      </c>
      <c r="BP131" s="55">
        <f t="shared" ref="BP131:BZ131" ca="1" si="66">IF(BP60&lt;&gt;0,MAX(BP53:BP55),-1)</f>
        <v>1.375</v>
      </c>
      <c r="BQ131" s="55">
        <f t="shared" ca="1" si="66"/>
        <v>12.333333333333334</v>
      </c>
      <c r="BR131" s="55">
        <f t="shared" ca="1" si="66"/>
        <v>13</v>
      </c>
      <c r="BS131" s="55">
        <f t="shared" ca="1" si="66"/>
        <v>16.214285714285715</v>
      </c>
      <c r="BT131" s="55">
        <f t="shared" ca="1" si="66"/>
        <v>14.5</v>
      </c>
      <c r="BU131" s="55">
        <f t="shared" ca="1" si="66"/>
        <v>16.705882352941178</v>
      </c>
      <c r="BV131" s="55">
        <f t="shared" ca="1" si="66"/>
        <v>9.8333333333333339</v>
      </c>
      <c r="BW131" s="55">
        <f t="shared" ca="1" si="66"/>
        <v>8</v>
      </c>
      <c r="BX131" s="55">
        <f t="shared" ca="1" si="66"/>
        <v>-1</v>
      </c>
      <c r="BY131" s="55">
        <f t="shared" ca="1" si="66"/>
        <v>-1</v>
      </c>
      <c r="BZ131" s="56">
        <f t="shared" ca="1" si="66"/>
        <v>-1</v>
      </c>
    </row>
    <row r="132" spans="2:78">
      <c r="B132"/>
      <c r="C132"/>
      <c r="D132"/>
      <c r="Q132"/>
      <c r="AQ132" s="20"/>
      <c r="BB132"/>
      <c r="BL132" s="24" t="s">
        <v>1163</v>
      </c>
      <c r="BM132" s="16"/>
      <c r="BN132" s="16"/>
      <c r="BO132" s="53">
        <f t="shared" ref="BO132:BZ132" ca="1" si="67">IF(BO60&lt;&gt;0,MIN(BO53:BO55),9999)</f>
        <v>0.53125</v>
      </c>
      <c r="BP132" s="53">
        <f t="shared" ca="1" si="67"/>
        <v>0.55555555555555558</v>
      </c>
      <c r="BQ132" s="53">
        <f t="shared" ca="1" si="67"/>
        <v>0.78666666666666663</v>
      </c>
      <c r="BR132" s="53">
        <f t="shared" ca="1" si="67"/>
        <v>0.8125</v>
      </c>
      <c r="BS132" s="53">
        <f t="shared" ca="1" si="67"/>
        <v>0.69635627530364375</v>
      </c>
      <c r="BT132" s="53">
        <f t="shared" ca="1" si="67"/>
        <v>0</v>
      </c>
      <c r="BU132" s="53">
        <f t="shared" ca="1" si="67"/>
        <v>0</v>
      </c>
      <c r="BV132" s="53">
        <f t="shared" ca="1" si="67"/>
        <v>0</v>
      </c>
      <c r="BW132" s="53">
        <f t="shared" ca="1" si="67"/>
        <v>0</v>
      </c>
      <c r="BX132" s="53">
        <f t="shared" ca="1" si="67"/>
        <v>9999</v>
      </c>
      <c r="BY132" s="53">
        <f t="shared" ca="1" si="67"/>
        <v>9999</v>
      </c>
      <c r="BZ132" s="54">
        <f t="shared" ca="1" si="67"/>
        <v>9999</v>
      </c>
    </row>
    <row r="133" spans="2:78">
      <c r="B133"/>
      <c r="C133"/>
      <c r="D133"/>
      <c r="Q133"/>
      <c r="AQ133" s="20"/>
      <c r="BB133"/>
      <c r="BL133" s="23" t="s">
        <v>1162</v>
      </c>
      <c r="BM133" s="15"/>
      <c r="BN133" s="15"/>
      <c r="BO133" s="55">
        <f t="shared" ref="BO133:BZ133" ca="1" si="68">IF(BO131=MAX($BO$131:$BZ$131),BO131,-1)</f>
        <v>-1</v>
      </c>
      <c r="BP133" s="55">
        <f t="shared" ca="1" si="68"/>
        <v>-1</v>
      </c>
      <c r="BQ133" s="55">
        <f t="shared" ca="1" si="68"/>
        <v>-1</v>
      </c>
      <c r="BR133" s="55">
        <f t="shared" ca="1" si="68"/>
        <v>-1</v>
      </c>
      <c r="BS133" s="55">
        <f t="shared" ca="1" si="68"/>
        <v>-1</v>
      </c>
      <c r="BT133" s="55">
        <f t="shared" ca="1" si="68"/>
        <v>-1</v>
      </c>
      <c r="BU133" s="55">
        <f t="shared" ca="1" si="68"/>
        <v>16.705882352941178</v>
      </c>
      <c r="BV133" s="55">
        <f t="shared" ca="1" si="68"/>
        <v>-1</v>
      </c>
      <c r="BW133" s="55">
        <f t="shared" ca="1" si="68"/>
        <v>-1</v>
      </c>
      <c r="BX133" s="55">
        <f t="shared" ca="1" si="68"/>
        <v>-1</v>
      </c>
      <c r="BY133" s="55">
        <f t="shared" ca="1" si="68"/>
        <v>-1</v>
      </c>
      <c r="BZ133" s="56">
        <f t="shared" ca="1" si="68"/>
        <v>-1</v>
      </c>
    </row>
    <row r="134" spans="2:78">
      <c r="B134"/>
      <c r="C134"/>
      <c r="D134"/>
      <c r="Q134"/>
      <c r="AQ134" s="20"/>
      <c r="BB134"/>
      <c r="BL134" s="24" t="s">
        <v>1163</v>
      </c>
      <c r="BM134" s="16"/>
      <c r="BN134" s="16"/>
      <c r="BO134" s="53">
        <f t="shared" ref="BO134:BZ134" ca="1" si="69">IF(AND(BO132=MIN($BO$132:$BZ$132),BO132&lt;&gt;9999),BO132,-1)</f>
        <v>-1</v>
      </c>
      <c r="BP134" s="53">
        <f t="shared" ca="1" si="69"/>
        <v>-1</v>
      </c>
      <c r="BQ134" s="53">
        <f t="shared" ca="1" si="69"/>
        <v>-1</v>
      </c>
      <c r="BR134" s="53">
        <f t="shared" ca="1" si="69"/>
        <v>-1</v>
      </c>
      <c r="BS134" s="53">
        <f t="shared" ca="1" si="69"/>
        <v>-1</v>
      </c>
      <c r="BT134" s="53">
        <f t="shared" ca="1" si="69"/>
        <v>0</v>
      </c>
      <c r="BU134" s="53">
        <f t="shared" ca="1" si="69"/>
        <v>0</v>
      </c>
      <c r="BV134" s="53">
        <f t="shared" ca="1" si="69"/>
        <v>0</v>
      </c>
      <c r="BW134" s="53">
        <f t="shared" ca="1" si="69"/>
        <v>0</v>
      </c>
      <c r="BX134" s="53">
        <f t="shared" ca="1" si="69"/>
        <v>-1</v>
      </c>
      <c r="BY134" s="53">
        <f t="shared" ca="1" si="69"/>
        <v>-1</v>
      </c>
      <c r="BZ134" s="54">
        <f t="shared" ca="1" si="69"/>
        <v>-1</v>
      </c>
    </row>
    <row r="135" spans="2:78">
      <c r="B135"/>
      <c r="C135"/>
      <c r="D135"/>
      <c r="Q135"/>
      <c r="AQ135" s="20"/>
      <c r="BB135"/>
      <c r="BL135" s="23" t="s">
        <v>1162</v>
      </c>
      <c r="BM135" s="15"/>
      <c r="BN135" s="15"/>
      <c r="BO135" s="55" t="e">
        <f ca="1">IF(BO133=-1,NA(),BO133)</f>
        <v>#N/A</v>
      </c>
      <c r="BP135" s="55" t="e">
        <f t="shared" ref="BP135:BZ135" ca="1" si="70">IF(BP133=-1,NA(),BP133)</f>
        <v>#N/A</v>
      </c>
      <c r="BQ135" s="55" t="e">
        <f t="shared" ca="1" si="70"/>
        <v>#N/A</v>
      </c>
      <c r="BR135" s="55" t="e">
        <f t="shared" ca="1" si="70"/>
        <v>#N/A</v>
      </c>
      <c r="BS135" s="55" t="e">
        <f t="shared" ca="1" si="70"/>
        <v>#N/A</v>
      </c>
      <c r="BT135" s="55" t="e">
        <f t="shared" ca="1" si="70"/>
        <v>#N/A</v>
      </c>
      <c r="BU135" s="55">
        <f t="shared" ca="1" si="70"/>
        <v>16.705882352941178</v>
      </c>
      <c r="BV135" s="55" t="e">
        <f t="shared" ca="1" si="70"/>
        <v>#N/A</v>
      </c>
      <c r="BW135" s="55" t="e">
        <f t="shared" ca="1" si="70"/>
        <v>#N/A</v>
      </c>
      <c r="BX135" s="55" t="e">
        <f t="shared" ca="1" si="70"/>
        <v>#N/A</v>
      </c>
      <c r="BY135" s="55" t="e">
        <f t="shared" ca="1" si="70"/>
        <v>#N/A</v>
      </c>
      <c r="BZ135" s="56" t="e">
        <f t="shared" ca="1" si="70"/>
        <v>#N/A</v>
      </c>
    </row>
    <row r="136" spans="2:78">
      <c r="B136"/>
      <c r="C136"/>
      <c r="D136"/>
      <c r="Q136"/>
      <c r="AQ136" s="20"/>
      <c r="BB136"/>
      <c r="BL136" s="24" t="s">
        <v>1163</v>
      </c>
      <c r="BM136" s="16"/>
      <c r="BN136" s="16"/>
      <c r="BO136" s="53" t="e">
        <f ca="1">IF(BO134=-1,NA(),BO134)</f>
        <v>#N/A</v>
      </c>
      <c r="BP136" s="53" t="e">
        <f t="shared" ref="BP136:BZ136" ca="1" si="71">IF(BP134=-1,NA(),BP134)</f>
        <v>#N/A</v>
      </c>
      <c r="BQ136" s="53" t="e">
        <f t="shared" ca="1" si="71"/>
        <v>#N/A</v>
      </c>
      <c r="BR136" s="53" t="e">
        <f t="shared" ca="1" si="71"/>
        <v>#N/A</v>
      </c>
      <c r="BS136" s="53" t="e">
        <f t="shared" ca="1" si="71"/>
        <v>#N/A</v>
      </c>
      <c r="BT136" s="53">
        <f t="shared" ca="1" si="71"/>
        <v>0</v>
      </c>
      <c r="BU136" s="53">
        <f t="shared" ca="1" si="71"/>
        <v>0</v>
      </c>
      <c r="BV136" s="53">
        <f t="shared" ca="1" si="71"/>
        <v>0</v>
      </c>
      <c r="BW136" s="53">
        <f t="shared" ca="1" si="71"/>
        <v>0</v>
      </c>
      <c r="BX136" s="53" t="e">
        <f t="shared" ca="1" si="71"/>
        <v>#N/A</v>
      </c>
      <c r="BY136" s="53" t="e">
        <f t="shared" ca="1" si="71"/>
        <v>#N/A</v>
      </c>
      <c r="BZ136" s="54" t="e">
        <f t="shared" ca="1" si="71"/>
        <v>#N/A</v>
      </c>
    </row>
    <row r="137" spans="2:78">
      <c r="B137"/>
      <c r="C137"/>
      <c r="D137"/>
      <c r="Q137"/>
      <c r="AQ137" s="20"/>
      <c r="BB137"/>
    </row>
    <row r="138" spans="2:78">
      <c r="B138"/>
      <c r="C138"/>
      <c r="D138"/>
      <c r="Q138"/>
      <c r="AQ138" s="20"/>
      <c r="BB138"/>
      <c r="BL138" s="59" t="s">
        <v>1143</v>
      </c>
      <c r="BM138" s="48"/>
      <c r="BN138" s="48"/>
      <c r="BO138" s="48">
        <f t="array" aca="1" ref="BO138" ca="1">IF(BO53:BO55&gt;12,1,0)</f>
        <v>0</v>
      </c>
      <c r="BP138" s="48">
        <f t="array" aca="1" ref="BP138" ca="1">IF(BP53:BP55&gt;12,1,0)</f>
        <v>0</v>
      </c>
      <c r="BQ138" s="48">
        <f t="array" aca="1" ref="BQ138" ca="1">IF(BQ53:BQ55&gt;12,1,0)</f>
        <v>1</v>
      </c>
      <c r="BR138" s="48">
        <f t="array" aca="1" ref="BR138" ca="1">IF(BR53:BR55&gt;12,1,0)</f>
        <v>1</v>
      </c>
      <c r="BS138" s="48">
        <f t="array" aca="1" ref="BS138" ca="1">IF(BS53:BS55&gt;12,1,0)</f>
        <v>1</v>
      </c>
      <c r="BT138" s="48">
        <f t="array" aca="1" ref="BT138" ca="1">IF(BT53:BT55&gt;12,1,0)</f>
        <v>1</v>
      </c>
      <c r="BU138" s="48">
        <f t="array" aca="1" ref="BU138" ca="1">IF(BU53:BU55&gt;12,1,0)</f>
        <v>1</v>
      </c>
      <c r="BV138" s="48">
        <f t="array" aca="1" ref="BV138" ca="1">IF(BV53:BV55&gt;12,1,0)</f>
        <v>0</v>
      </c>
      <c r="BW138" s="48">
        <f t="array" aca="1" ref="BW138" ca="1">IF(BW53:BW55&gt;12,1,0)</f>
        <v>0</v>
      </c>
      <c r="BX138" s="48">
        <f t="array" aca="1" ref="BX138" ca="1">IF(BX53:BX55&gt;12,1,0)</f>
        <v>0</v>
      </c>
      <c r="BY138" s="48">
        <f t="array" aca="1" ref="BY138" ca="1">IF(BY53:BY55&gt;12,1,0)</f>
        <v>0</v>
      </c>
      <c r="BZ138" s="58">
        <f t="array" aca="1" ref="BZ138" ca="1">IF(BZ53:BZ55&gt;12,1,0)</f>
        <v>0</v>
      </c>
    </row>
    <row r="139" spans="2:78">
      <c r="B139"/>
      <c r="C139"/>
      <c r="D139"/>
      <c r="Q139"/>
      <c r="AQ139" s="20"/>
      <c r="BB139"/>
      <c r="BL139" s="49" t="str">
        <f>AJ4</f>
        <v>DO TRUC LAM</v>
      </c>
      <c r="BO139">
        <f t="shared" ref="BO139:BZ139" ca="1" si="72">IF(BO53&gt;12,1,0)</f>
        <v>0</v>
      </c>
      <c r="BP139">
        <f t="shared" ca="1" si="72"/>
        <v>0</v>
      </c>
      <c r="BQ139">
        <f t="shared" ca="1" si="72"/>
        <v>1</v>
      </c>
      <c r="BR139">
        <f t="shared" ca="1" si="72"/>
        <v>1</v>
      </c>
      <c r="BS139">
        <f t="shared" ca="1" si="72"/>
        <v>1</v>
      </c>
      <c r="BT139">
        <f t="shared" ca="1" si="72"/>
        <v>1</v>
      </c>
      <c r="BU139">
        <f t="shared" ca="1" si="72"/>
        <v>1</v>
      </c>
      <c r="BV139">
        <f t="shared" ca="1" si="72"/>
        <v>0</v>
      </c>
      <c r="BW139">
        <f t="shared" ca="1" si="72"/>
        <v>0</v>
      </c>
      <c r="BX139">
        <f t="shared" ca="1" si="72"/>
        <v>0</v>
      </c>
      <c r="BY139">
        <f t="shared" ca="1" si="72"/>
        <v>0</v>
      </c>
      <c r="BZ139" s="47">
        <f t="shared" ca="1" si="72"/>
        <v>0</v>
      </c>
    </row>
    <row r="140" spans="2:78">
      <c r="B140"/>
      <c r="C140"/>
      <c r="D140"/>
      <c r="Q140"/>
      <c r="AQ140" s="20"/>
      <c r="BB140"/>
      <c r="BL140" s="49" t="str">
        <f>AJ5</f>
        <v>DO MAI HA</v>
      </c>
      <c r="BO140">
        <f t="shared" ref="BO140:BZ140" ca="1" si="73">IF(BO54&gt;12,1,0)</f>
        <v>0</v>
      </c>
      <c r="BP140">
        <f t="shared" ca="1" si="73"/>
        <v>0</v>
      </c>
      <c r="BQ140">
        <f t="shared" ca="1" si="73"/>
        <v>0</v>
      </c>
      <c r="BR140">
        <f t="shared" ca="1" si="73"/>
        <v>0</v>
      </c>
      <c r="BS140">
        <f t="shared" ca="1" si="73"/>
        <v>0</v>
      </c>
      <c r="BT140">
        <f t="shared" ca="1" si="73"/>
        <v>0</v>
      </c>
      <c r="BU140">
        <f t="shared" ca="1" si="73"/>
        <v>0</v>
      </c>
      <c r="BV140">
        <f t="shared" ca="1" si="73"/>
        <v>0</v>
      </c>
      <c r="BW140">
        <f t="shared" ca="1" si="73"/>
        <v>0</v>
      </c>
      <c r="BX140">
        <f t="shared" ca="1" si="73"/>
        <v>0</v>
      </c>
      <c r="BY140">
        <f t="shared" ca="1" si="73"/>
        <v>0</v>
      </c>
      <c r="BZ140" s="47">
        <f t="shared" ca="1" si="73"/>
        <v>0</v>
      </c>
    </row>
    <row r="141" spans="2:78">
      <c r="B141"/>
      <c r="C141"/>
      <c r="D141"/>
      <c r="Q141"/>
      <c r="AQ141" s="20"/>
      <c r="BB141"/>
      <c r="BL141" s="57" t="str">
        <f>AJ6</f>
        <v>BUI NHU BAO</v>
      </c>
      <c r="BM141" s="16"/>
      <c r="BN141" s="16"/>
      <c r="BO141" s="16">
        <f t="shared" ref="BO141:BZ141" ca="1" si="74">IF(BO55&gt;12,1,0)</f>
        <v>0</v>
      </c>
      <c r="BP141" s="16">
        <f t="shared" ca="1" si="74"/>
        <v>0</v>
      </c>
      <c r="BQ141" s="16">
        <f t="shared" ca="1" si="74"/>
        <v>0</v>
      </c>
      <c r="BR141" s="16">
        <f t="shared" ca="1" si="74"/>
        <v>0</v>
      </c>
      <c r="BS141" s="16">
        <f t="shared" ca="1" si="74"/>
        <v>0</v>
      </c>
      <c r="BT141" s="16">
        <f t="shared" ca="1" si="74"/>
        <v>0</v>
      </c>
      <c r="BU141" s="16">
        <f t="shared" ca="1" si="74"/>
        <v>0</v>
      </c>
      <c r="BV141" s="16">
        <f t="shared" ca="1" si="74"/>
        <v>0</v>
      </c>
      <c r="BW141" s="16">
        <f t="shared" ca="1" si="74"/>
        <v>0</v>
      </c>
      <c r="BX141" s="16">
        <f t="shared" ca="1" si="74"/>
        <v>0</v>
      </c>
      <c r="BY141" s="16">
        <f t="shared" ca="1" si="74"/>
        <v>0</v>
      </c>
      <c r="BZ141" s="34">
        <f t="shared" ca="1" si="74"/>
        <v>0</v>
      </c>
    </row>
    <row r="142" spans="2:78">
      <c r="B142"/>
      <c r="C142"/>
      <c r="D142"/>
      <c r="Q142"/>
      <c r="AQ142" s="20"/>
      <c r="BB142"/>
    </row>
    <row r="143" spans="2:78">
      <c r="B143"/>
      <c r="C143"/>
      <c r="D143"/>
      <c r="Q143"/>
      <c r="AQ143" s="20"/>
      <c r="BB143"/>
      <c r="BK143" s="50" t="s">
        <v>1162</v>
      </c>
      <c r="BL143" s="32" t="str">
        <f>AJ4</f>
        <v>DO TRUC LAM</v>
      </c>
      <c r="BM143" s="15"/>
      <c r="BN143" s="15"/>
      <c r="BO143" s="55" t="e">
        <f t="shared" ref="BO143:BZ143" ca="1" si="75">IF(BO53=MAX($BO$53:$BZ$53),BO53,NA())</f>
        <v>#N/A</v>
      </c>
      <c r="BP143" s="55" t="e">
        <f t="shared" ca="1" si="75"/>
        <v>#N/A</v>
      </c>
      <c r="BQ143" s="55" t="e">
        <f t="shared" ca="1" si="75"/>
        <v>#N/A</v>
      </c>
      <c r="BR143" s="55" t="e">
        <f t="shared" ca="1" si="75"/>
        <v>#N/A</v>
      </c>
      <c r="BS143" s="55" t="e">
        <f t="shared" ca="1" si="75"/>
        <v>#N/A</v>
      </c>
      <c r="BT143" s="55" t="e">
        <f t="shared" ca="1" si="75"/>
        <v>#N/A</v>
      </c>
      <c r="BU143" s="55">
        <f t="shared" ca="1" si="75"/>
        <v>16.705882352941178</v>
      </c>
      <c r="BV143" s="55" t="e">
        <f t="shared" ca="1" si="75"/>
        <v>#N/A</v>
      </c>
      <c r="BW143" s="55" t="e">
        <f t="shared" ca="1" si="75"/>
        <v>#N/A</v>
      </c>
      <c r="BX143" s="55" t="e">
        <f t="shared" ca="1" si="75"/>
        <v>#N/A</v>
      </c>
      <c r="BY143" s="55" t="e">
        <f t="shared" ca="1" si="75"/>
        <v>#N/A</v>
      </c>
      <c r="BZ143" s="56" t="e">
        <f t="shared" ca="1" si="75"/>
        <v>#N/A</v>
      </c>
    </row>
    <row r="144" spans="2:78">
      <c r="B144"/>
      <c r="C144"/>
      <c r="D144"/>
      <c r="Q144"/>
      <c r="AQ144" s="20"/>
      <c r="BB144"/>
      <c r="BL144" s="49" t="str">
        <f>AJ5</f>
        <v>DO MAI HA</v>
      </c>
      <c r="BO144" s="51" t="e">
        <f t="shared" ref="BO144:BZ144" ca="1" si="76">IF(BO54=MAX($BO$54:$BZ$54),BO54,NA())</f>
        <v>#N/A</v>
      </c>
      <c r="BP144" s="51">
        <f t="shared" ca="1" si="76"/>
        <v>1.375</v>
      </c>
      <c r="BQ144" s="51" t="e">
        <f t="shared" ca="1" si="76"/>
        <v>#N/A</v>
      </c>
      <c r="BR144" s="51" t="e">
        <f t="shared" ca="1" si="76"/>
        <v>#N/A</v>
      </c>
      <c r="BS144" s="51" t="e">
        <f t="shared" ca="1" si="76"/>
        <v>#N/A</v>
      </c>
      <c r="BT144" s="51" t="e">
        <f t="shared" ca="1" si="76"/>
        <v>#N/A</v>
      </c>
      <c r="BU144" s="51" t="e">
        <f t="shared" ca="1" si="76"/>
        <v>#N/A</v>
      </c>
      <c r="BV144" s="51" t="e">
        <f t="shared" ca="1" si="76"/>
        <v>#N/A</v>
      </c>
      <c r="BW144" s="51" t="e">
        <f t="shared" ca="1" si="76"/>
        <v>#N/A</v>
      </c>
      <c r="BX144" s="51" t="e">
        <f t="shared" ca="1" si="76"/>
        <v>#N/A</v>
      </c>
      <c r="BY144" s="51" t="e">
        <f t="shared" ca="1" si="76"/>
        <v>#N/A</v>
      </c>
      <c r="BZ144" s="52" t="e">
        <f t="shared" ca="1" si="76"/>
        <v>#N/A</v>
      </c>
    </row>
    <row r="145" spans="2:78">
      <c r="B145"/>
      <c r="C145"/>
      <c r="D145"/>
      <c r="Q145"/>
      <c r="AQ145" s="20"/>
      <c r="BB145"/>
      <c r="BL145" s="57" t="str">
        <f>AJ6</f>
        <v>BUI NHU BAO</v>
      </c>
      <c r="BM145" s="16"/>
      <c r="BN145" s="16"/>
      <c r="BO145" s="53" t="e">
        <f t="shared" ref="BO145:BZ145" ca="1" si="77">IF(BO55=MAX($BO$55:$BZ$55),BO55,NA())</f>
        <v>#N/A</v>
      </c>
      <c r="BP145" s="53" t="e">
        <f t="shared" ca="1" si="77"/>
        <v>#N/A</v>
      </c>
      <c r="BQ145" s="53" t="e">
        <f t="shared" ca="1" si="77"/>
        <v>#N/A</v>
      </c>
      <c r="BR145" s="53" t="e">
        <f t="shared" ca="1" si="77"/>
        <v>#N/A</v>
      </c>
      <c r="BS145" s="53">
        <f t="shared" ca="1" si="77"/>
        <v>11.333333333333334</v>
      </c>
      <c r="BT145" s="53" t="e">
        <f t="shared" ca="1" si="77"/>
        <v>#N/A</v>
      </c>
      <c r="BU145" s="53" t="e">
        <f t="shared" ca="1" si="77"/>
        <v>#N/A</v>
      </c>
      <c r="BV145" s="53" t="e">
        <f t="shared" ca="1" si="77"/>
        <v>#N/A</v>
      </c>
      <c r="BW145" s="53" t="e">
        <f t="shared" ca="1" si="77"/>
        <v>#N/A</v>
      </c>
      <c r="BX145" s="53" t="e">
        <f t="shared" ca="1" si="77"/>
        <v>#N/A</v>
      </c>
      <c r="BY145" s="53" t="e">
        <f t="shared" ca="1" si="77"/>
        <v>#N/A</v>
      </c>
      <c r="BZ145" s="54" t="e">
        <f t="shared" ca="1" si="77"/>
        <v>#N/A</v>
      </c>
    </row>
    <row r="146" spans="2:78">
      <c r="B146"/>
      <c r="C146"/>
      <c r="D146"/>
      <c r="Q146"/>
      <c r="AQ146" s="20"/>
      <c r="BB146"/>
    </row>
    <row r="147" spans="2:78">
      <c r="B147"/>
      <c r="C147"/>
      <c r="D147"/>
      <c r="Q147"/>
      <c r="AQ147" s="20"/>
      <c r="BB147"/>
    </row>
    <row r="148" spans="2:78">
      <c r="B148"/>
      <c r="C148"/>
      <c r="D148"/>
      <c r="Q148"/>
      <c r="AQ148" s="20"/>
      <c r="BB148"/>
      <c r="BL148" s="44" t="s">
        <v>1164</v>
      </c>
      <c r="BM148" s="42"/>
      <c r="BN148" s="42"/>
      <c r="BO148" s="43"/>
      <c r="BP148" s="43"/>
      <c r="BQ148" s="43"/>
      <c r="BR148" s="43"/>
      <c r="BS148" s="43"/>
      <c r="BT148" s="43"/>
      <c r="BU148" s="43"/>
      <c r="BV148" s="43"/>
      <c r="BW148" s="43"/>
      <c r="BX148" s="42"/>
      <c r="BY148" s="42"/>
      <c r="BZ148" s="42"/>
    </row>
    <row r="149" spans="2:78">
      <c r="B149"/>
      <c r="C149"/>
      <c r="D149"/>
      <c r="Q149"/>
      <c r="AQ149" s="20"/>
      <c r="BB149"/>
      <c r="BL149" s="32" t="str">
        <f>AJ4</f>
        <v>DO TRUC LAM</v>
      </c>
      <c r="BM149" s="15"/>
      <c r="BN149" s="15"/>
      <c r="BO149" s="15" t="e">
        <f t="shared" ref="BO149:BZ149" ca="1" si="78">IF(BO65-BO77&lt;&gt;0,BO65-BO77,NA())</f>
        <v>#N/A</v>
      </c>
      <c r="BP149" s="15" t="e">
        <f t="shared" ca="1" si="78"/>
        <v>#N/A</v>
      </c>
      <c r="BQ149" s="15" t="e">
        <f t="shared" ca="1" si="78"/>
        <v>#N/A</v>
      </c>
      <c r="BR149" s="15" t="e">
        <f t="shared" ca="1" si="78"/>
        <v>#N/A</v>
      </c>
      <c r="BS149" s="15" t="e">
        <f t="shared" ca="1" si="78"/>
        <v>#N/A</v>
      </c>
      <c r="BT149" s="15" t="e">
        <f t="shared" ca="1" si="78"/>
        <v>#N/A</v>
      </c>
      <c r="BU149" s="15" t="e">
        <f t="shared" ca="1" si="78"/>
        <v>#N/A</v>
      </c>
      <c r="BV149" s="15" t="e">
        <f t="shared" ca="1" si="78"/>
        <v>#N/A</v>
      </c>
      <c r="BW149" s="15">
        <f t="shared" ca="1" si="78"/>
        <v>4</v>
      </c>
      <c r="BX149" s="15" t="e">
        <f t="shared" ca="1" si="78"/>
        <v>#N/A</v>
      </c>
      <c r="BY149" s="15" t="e">
        <f t="shared" ca="1" si="78"/>
        <v>#N/A</v>
      </c>
      <c r="BZ149" s="33" t="e">
        <f t="shared" ca="1" si="78"/>
        <v>#N/A</v>
      </c>
    </row>
    <row r="150" spans="2:78">
      <c r="B150"/>
      <c r="C150"/>
      <c r="D150"/>
      <c r="Q150"/>
      <c r="AQ150" s="20"/>
      <c r="BB150"/>
      <c r="BL150" s="49" t="str">
        <f>AJ5</f>
        <v>DO MAI HA</v>
      </c>
      <c r="BO150" t="e">
        <f t="shared" ref="BO150:BZ150" ca="1" si="79">IF(BO66-BO78&lt;&gt;0,BO66-BO78,NA())</f>
        <v>#N/A</v>
      </c>
      <c r="BP150" t="e">
        <f t="shared" ca="1" si="79"/>
        <v>#N/A</v>
      </c>
      <c r="BQ150" t="e">
        <f t="shared" ca="1" si="79"/>
        <v>#N/A</v>
      </c>
      <c r="BR150" t="e">
        <f t="shared" ca="1" si="79"/>
        <v>#N/A</v>
      </c>
      <c r="BS150" t="e">
        <f t="shared" ca="1" si="79"/>
        <v>#N/A</v>
      </c>
      <c r="BT150" t="e">
        <f t="shared" ca="1" si="79"/>
        <v>#N/A</v>
      </c>
      <c r="BU150">
        <f t="shared" ca="1" si="79"/>
        <v>-1</v>
      </c>
      <c r="BV150">
        <f t="shared" ca="1" si="79"/>
        <v>29</v>
      </c>
      <c r="BW150">
        <f t="shared" ca="1" si="79"/>
        <v>8</v>
      </c>
      <c r="BX150" t="e">
        <f t="shared" ca="1" si="79"/>
        <v>#N/A</v>
      </c>
      <c r="BY150" t="e">
        <f t="shared" ca="1" si="79"/>
        <v>#N/A</v>
      </c>
      <c r="BZ150" s="47" t="e">
        <f t="shared" ca="1" si="79"/>
        <v>#N/A</v>
      </c>
    </row>
    <row r="151" spans="2:78">
      <c r="B151"/>
      <c r="C151"/>
      <c r="D151"/>
      <c r="Q151"/>
      <c r="AQ151" s="20"/>
      <c r="BB151"/>
      <c r="BL151" s="57" t="str">
        <f>AJ6</f>
        <v>BUI NHU BAO</v>
      </c>
      <c r="BM151" s="16"/>
      <c r="BN151" s="16"/>
      <c r="BO151" s="16" t="e">
        <f t="shared" ref="BO151:BZ151" ca="1" si="80">IF(BO67-BO79&lt;&gt;0,BO67-BO79,NA())</f>
        <v>#N/A</v>
      </c>
      <c r="BP151" s="16" t="e">
        <f t="shared" ca="1" si="80"/>
        <v>#N/A</v>
      </c>
      <c r="BQ151" s="16" t="e">
        <f t="shared" ca="1" si="80"/>
        <v>#N/A</v>
      </c>
      <c r="BR151" s="16" t="e">
        <f t="shared" ca="1" si="80"/>
        <v>#N/A</v>
      </c>
      <c r="BS151" s="16" t="e">
        <f t="shared" ca="1" si="80"/>
        <v>#N/A</v>
      </c>
      <c r="BT151" s="16" t="e">
        <f t="shared" ca="1" si="80"/>
        <v>#N/A</v>
      </c>
      <c r="BU151" s="16">
        <f t="shared" ca="1" si="80"/>
        <v>1</v>
      </c>
      <c r="BV151" s="16">
        <f t="shared" ca="1" si="80"/>
        <v>5</v>
      </c>
      <c r="BW151" s="16">
        <f t="shared" ca="1" si="80"/>
        <v>2</v>
      </c>
      <c r="BX151" s="16" t="e">
        <f t="shared" ca="1" si="80"/>
        <v>#N/A</v>
      </c>
      <c r="BY151" s="16" t="e">
        <f t="shared" ca="1" si="80"/>
        <v>#N/A</v>
      </c>
      <c r="BZ151" s="34" t="e">
        <f t="shared" ca="1" si="80"/>
        <v>#N/A</v>
      </c>
    </row>
    <row r="152" spans="2:78">
      <c r="B152"/>
      <c r="C152"/>
      <c r="D152"/>
      <c r="Q152"/>
      <c r="AQ152" s="20"/>
      <c r="BB152"/>
    </row>
    <row r="153" spans="2:78">
      <c r="B153"/>
      <c r="C153"/>
      <c r="D153"/>
      <c r="Q153"/>
      <c r="AQ153" s="20"/>
      <c r="BB153"/>
    </row>
    <row r="154" spans="2:78">
      <c r="B154"/>
      <c r="C154"/>
      <c r="D154"/>
      <c r="Q154"/>
      <c r="AQ154" s="20"/>
      <c r="BB154"/>
      <c r="BL154" s="44" t="s">
        <v>1165</v>
      </c>
      <c r="BM154" s="42"/>
      <c r="BN154" s="42"/>
      <c r="BO154" s="43"/>
      <c r="BP154" s="43"/>
      <c r="BQ154" s="43"/>
      <c r="BR154" s="43"/>
      <c r="BS154" s="43"/>
      <c r="BT154" s="43"/>
      <c r="BU154" s="43"/>
      <c r="BV154" s="43"/>
      <c r="BW154" s="43"/>
      <c r="BX154" s="42"/>
      <c r="BY154" s="42"/>
      <c r="BZ154" s="42"/>
    </row>
    <row r="155" spans="2:78">
      <c r="B155"/>
      <c r="C155"/>
      <c r="D155"/>
      <c r="Q155"/>
      <c r="AQ155" s="20"/>
      <c r="BB155"/>
      <c r="BL155" s="7" t="s">
        <v>1080</v>
      </c>
      <c r="BM155" s="7" t="s">
        <v>1166</v>
      </c>
      <c r="BN155" s="7"/>
      <c r="BO155" s="7" t="s">
        <v>1167</v>
      </c>
      <c r="BP155" s="7" t="s">
        <v>1168</v>
      </c>
    </row>
    <row r="156" spans="2:78">
      <c r="B156"/>
      <c r="C156"/>
      <c r="D156"/>
      <c r="Q156"/>
      <c r="AQ156" s="20"/>
      <c r="BB156"/>
      <c r="BL156" s="10" t="str">
        <f t="shared" ref="BL156:BM162" si="81">AJ4</f>
        <v>DO TRUC LAM</v>
      </c>
      <c r="BM156" s="25">
        <f t="shared" si="81"/>
        <v>2583</v>
      </c>
      <c r="BN156" s="7"/>
      <c r="BO156" s="11">
        <f t="shared" ref="BO156:BO162" si="82">BM156/$BM$163</f>
        <v>0.382553317535545</v>
      </c>
      <c r="BP156" s="12">
        <f>BO156</f>
        <v>0.382553317535545</v>
      </c>
    </row>
    <row r="157" spans="2:78">
      <c r="B157"/>
      <c r="C157"/>
      <c r="D157"/>
      <c r="Q157"/>
      <c r="AQ157" s="20"/>
      <c r="BB157"/>
      <c r="BL157" s="10" t="str">
        <f t="shared" si="81"/>
        <v>DO MAI HA</v>
      </c>
      <c r="BM157" s="25">
        <f t="shared" si="81"/>
        <v>1061</v>
      </c>
      <c r="BN157" s="7"/>
      <c r="BO157" s="11">
        <f t="shared" si="82"/>
        <v>0.15713862559241706</v>
      </c>
      <c r="BP157" s="12">
        <f>BO157+BP156</f>
        <v>0.53969194312796209</v>
      </c>
    </row>
    <row r="158" spans="2:78">
      <c r="B158"/>
      <c r="C158"/>
      <c r="D158"/>
      <c r="Q158"/>
      <c r="AQ158" s="20"/>
      <c r="BB158"/>
      <c r="BL158" s="10" t="str">
        <f t="shared" si="81"/>
        <v>BUI NHU BAO</v>
      </c>
      <c r="BM158" s="25">
        <f t="shared" si="81"/>
        <v>882</v>
      </c>
      <c r="BN158" s="7"/>
      <c r="BO158" s="11">
        <f t="shared" si="82"/>
        <v>0.13062796208530805</v>
      </c>
      <c r="BP158" s="12">
        <f t="shared" ref="BP158:BP162" si="83">BO158+BP157</f>
        <v>0.67031990521327012</v>
      </c>
    </row>
    <row r="159" spans="2:78">
      <c r="B159"/>
      <c r="C159"/>
      <c r="D159"/>
      <c r="Q159"/>
      <c r="AQ159" s="20"/>
      <c r="BB159"/>
      <c r="BL159" s="10" t="str">
        <f t="shared" si="81"/>
        <v>DO MINH AN</v>
      </c>
      <c r="BM159" s="25">
        <f t="shared" si="81"/>
        <v>652</v>
      </c>
      <c r="BN159" s="7"/>
      <c r="BO159" s="11">
        <f t="shared" si="82"/>
        <v>9.6563981042654026E-2</v>
      </c>
      <c r="BP159" s="12">
        <f t="shared" si="83"/>
        <v>0.76688388625592419</v>
      </c>
    </row>
    <row r="160" spans="2:78">
      <c r="B160"/>
      <c r="C160"/>
      <c r="D160"/>
      <c r="Q160"/>
      <c r="AQ160" s="20"/>
      <c r="BB160"/>
      <c r="BL160" s="10" t="str">
        <f t="shared" si="81"/>
        <v>BUI BICH HAI</v>
      </c>
      <c r="BM160" s="25">
        <f t="shared" si="81"/>
        <v>637</v>
      </c>
      <c r="BN160" s="7"/>
      <c r="BO160" s="11">
        <f t="shared" si="82"/>
        <v>9.4342417061611381E-2</v>
      </c>
      <c r="BP160" s="12">
        <f t="shared" si="83"/>
        <v>0.86122630331753558</v>
      </c>
    </row>
    <row r="161" spans="2:78">
      <c r="B161"/>
      <c r="C161"/>
      <c r="D161"/>
      <c r="Q161"/>
      <c r="AQ161" s="20"/>
      <c r="BB161"/>
      <c r="BL161" s="10" t="str">
        <f t="shared" si="81"/>
        <v>TRAN BICH HANG</v>
      </c>
      <c r="BM161" s="25">
        <f t="shared" si="81"/>
        <v>597</v>
      </c>
      <c r="BN161" s="7"/>
      <c r="BO161" s="11">
        <f t="shared" si="82"/>
        <v>8.8418246445497631E-2</v>
      </c>
      <c r="BP161" s="12">
        <f t="shared" si="83"/>
        <v>0.94964454976303325</v>
      </c>
    </row>
    <row r="162" spans="2:78">
      <c r="B162"/>
      <c r="C162"/>
      <c r="D162"/>
      <c r="Q162"/>
      <c r="AQ162" s="20"/>
      <c r="BB162"/>
      <c r="BL162" s="10" t="str">
        <f t="shared" si="81"/>
        <v>DO NGOC HA</v>
      </c>
      <c r="BM162" s="25">
        <f t="shared" si="81"/>
        <v>340</v>
      </c>
      <c r="BN162" s="7"/>
      <c r="BO162" s="11">
        <f t="shared" si="82"/>
        <v>5.0355450236966824E-2</v>
      </c>
      <c r="BP162" s="12">
        <f t="shared" si="83"/>
        <v>1</v>
      </c>
    </row>
    <row r="163" spans="2:78">
      <c r="B163"/>
      <c r="C163"/>
      <c r="D163"/>
      <c r="Q163"/>
      <c r="AQ163" s="20"/>
      <c r="BB163"/>
      <c r="BL163" s="7" t="s">
        <v>134</v>
      </c>
      <c r="BM163" s="7">
        <f>SUM(BM156:BM162)</f>
        <v>6752</v>
      </c>
    </row>
    <row r="164" spans="2:78">
      <c r="B164"/>
      <c r="C164"/>
      <c r="D164"/>
      <c r="Q164"/>
      <c r="AQ164" s="20"/>
      <c r="BB164"/>
    </row>
    <row r="165" spans="2:78" ht="17.25" customHeight="1">
      <c r="B165"/>
      <c r="C165"/>
      <c r="D165"/>
      <c r="Q165"/>
      <c r="AQ165" s="20"/>
      <c r="BB165"/>
      <c r="BL165" s="44" t="s">
        <v>1054</v>
      </c>
      <c r="BM165" s="42"/>
      <c r="BN165" s="42"/>
      <c r="BO165" s="43"/>
      <c r="BP165" s="43"/>
      <c r="BQ165" s="43"/>
      <c r="BR165" s="43"/>
      <c r="BS165" s="43"/>
      <c r="BT165" s="43"/>
      <c r="BU165" s="43"/>
      <c r="BV165" s="43"/>
      <c r="BW165" s="43"/>
      <c r="BX165" s="42"/>
      <c r="BY165" s="42"/>
      <c r="BZ165" s="42"/>
    </row>
    <row r="166" spans="2:78">
      <c r="B166"/>
      <c r="C166"/>
      <c r="D166"/>
      <c r="Q166"/>
      <c r="AQ166" s="20"/>
      <c r="BB166"/>
      <c r="BM166" s="8"/>
      <c r="BN166" s="8"/>
      <c r="BO166" s="8"/>
      <c r="BP166" s="183" t="s">
        <v>1068</v>
      </c>
      <c r="BQ166" s="183"/>
      <c r="BR166" s="183"/>
      <c r="BS166" s="183"/>
      <c r="BT166" s="183"/>
      <c r="BU166" s="183"/>
      <c r="BV166" s="183"/>
      <c r="BW166" s="8"/>
      <c r="BX166" s="7" t="s">
        <v>134</v>
      </c>
    </row>
    <row r="167" spans="2:78" ht="15" thickBot="1">
      <c r="B167"/>
      <c r="C167"/>
      <c r="D167"/>
      <c r="Q167"/>
      <c r="AQ167" s="20"/>
      <c r="BB167"/>
      <c r="BM167" s="8"/>
      <c r="BN167" s="8"/>
      <c r="BP167" s="85" t="str">
        <f>AJ4</f>
        <v>DO TRUC LAM</v>
      </c>
      <c r="BQ167" s="85" t="str">
        <f>AJ5</f>
        <v>DO MAI HA</v>
      </c>
      <c r="BR167" s="85" t="str">
        <f>AJ6</f>
        <v>BUI NHU BAO</v>
      </c>
      <c r="BS167" s="85" t="str">
        <f>AJ7</f>
        <v>DO MINH AN</v>
      </c>
      <c r="BT167" s="85" t="str">
        <f>AJ8</f>
        <v>BUI BICH HAI</v>
      </c>
      <c r="BU167" s="85" t="str">
        <f>AJ9</f>
        <v>TRAN BICH HANG</v>
      </c>
      <c r="BV167" s="85" t="str">
        <f>AJ10</f>
        <v>DO NGOC HA</v>
      </c>
      <c r="BW167" s="8"/>
      <c r="BX167" s="81" cm="1">
        <f t="array" aca="1" ref="BX167" ca="1">SUMIFS(PRPOcheck_quantity,PRPOcheck_Pro,$BO168)</f>
        <v>1255</v>
      </c>
    </row>
    <row r="168" spans="2:78" ht="15.6" thickTop="1" thickBot="1">
      <c r="B168"/>
      <c r="C168"/>
      <c r="D168"/>
      <c r="Q168"/>
      <c r="AQ168" s="20"/>
      <c r="BB168"/>
      <c r="BM168" s="184" t="s">
        <v>1082</v>
      </c>
      <c r="BN168" s="8"/>
      <c r="BO168" s="95" t="str">
        <f t="shared" ref="BO168:BO174" si="84">AJ4</f>
        <v>DO TRUC LAM</v>
      </c>
      <c r="BP168" s="82">
        <v>0.09</v>
      </c>
      <c r="BQ168" s="83">
        <v>0.91</v>
      </c>
      <c r="BR168" s="83"/>
      <c r="BS168" s="83"/>
      <c r="BT168" s="83"/>
      <c r="BU168" s="83"/>
      <c r="BV168" s="83"/>
      <c r="BW168" s="8"/>
      <c r="BX168" s="81" cm="1">
        <f t="array" aca="1" ref="BX168" ca="1">SUMIFS(PRPOcheck_quantity,PRPOcheck_Pro,$BO169)</f>
        <v>527</v>
      </c>
    </row>
    <row r="169" spans="2:78" ht="15.6" thickTop="1" thickBot="1">
      <c r="B169"/>
      <c r="C169"/>
      <c r="D169"/>
      <c r="Q169"/>
      <c r="AQ169" s="20"/>
      <c r="BB169"/>
      <c r="BM169" s="184"/>
      <c r="BN169" s="8"/>
      <c r="BO169" s="85" t="str">
        <f t="shared" si="84"/>
        <v>DO MAI HA</v>
      </c>
      <c r="BP169" s="83"/>
      <c r="BQ169" s="82">
        <v>1</v>
      </c>
      <c r="BR169" s="83"/>
      <c r="BS169" s="83"/>
      <c r="BT169" s="83"/>
      <c r="BU169" s="83"/>
      <c r="BV169" s="83"/>
      <c r="BW169" s="8"/>
      <c r="BX169" s="81" cm="1">
        <f t="array" aca="1" ref="BX169" ca="1">SUMIFS(PRPOcheck_quantity,PRPOcheck_Pro,$BO170)</f>
        <v>87</v>
      </c>
    </row>
    <row r="170" spans="2:78" ht="15.6" thickTop="1" thickBot="1">
      <c r="B170"/>
      <c r="C170"/>
      <c r="D170"/>
      <c r="Q170"/>
      <c r="AQ170" s="20"/>
      <c r="BB170"/>
      <c r="BM170" s="184"/>
      <c r="BN170" s="8"/>
      <c r="BO170" s="96" t="str">
        <f t="shared" si="84"/>
        <v>BUI NHU BAO</v>
      </c>
      <c r="BP170" s="83"/>
      <c r="BQ170" s="83">
        <v>0.01</v>
      </c>
      <c r="BR170" s="82">
        <v>0.53</v>
      </c>
      <c r="BS170" s="83"/>
      <c r="BT170" s="83"/>
      <c r="BU170" s="83">
        <v>0.46</v>
      </c>
      <c r="BV170" s="83"/>
      <c r="BW170" s="8"/>
      <c r="BX170" s="81" cm="1">
        <f t="array" aca="1" ref="BX170" ca="1">SUMIFS(PRPOcheck_quantity,PRPOcheck_Pro,$BO171)</f>
        <v>348</v>
      </c>
    </row>
    <row r="171" spans="2:78" ht="15.6" thickTop="1" thickBot="1">
      <c r="B171"/>
      <c r="C171"/>
      <c r="D171"/>
      <c r="Q171"/>
      <c r="AQ171" s="20"/>
      <c r="BB171"/>
      <c r="BM171" s="184"/>
      <c r="BN171" s="8"/>
      <c r="BO171" s="89" t="str">
        <f t="shared" si="84"/>
        <v>DO MINH AN</v>
      </c>
      <c r="BP171" s="83">
        <v>0</v>
      </c>
      <c r="BQ171" s="83">
        <v>0.01</v>
      </c>
      <c r="BR171" s="83">
        <v>0</v>
      </c>
      <c r="BS171" s="82">
        <v>0.99</v>
      </c>
      <c r="BT171" s="83"/>
      <c r="BU171" s="83"/>
      <c r="BV171" s="83"/>
      <c r="BW171" s="8"/>
      <c r="BX171" s="81" cm="1">
        <f t="array" aca="1" ref="BX171" ca="1">SUMIFS(PRPOcheck_quantity,PRPOcheck_Pro,$BO172)</f>
        <v>225</v>
      </c>
    </row>
    <row r="172" spans="2:78" ht="15.6" thickTop="1" thickBot="1">
      <c r="B172"/>
      <c r="C172"/>
      <c r="D172"/>
      <c r="Q172"/>
      <c r="AQ172" s="20"/>
      <c r="BB172"/>
      <c r="BM172" s="184"/>
      <c r="BN172" s="8"/>
      <c r="BO172" s="86" t="str">
        <f t="shared" si="84"/>
        <v>BUI BICH HAI</v>
      </c>
      <c r="BP172" s="83"/>
      <c r="BQ172" s="83"/>
      <c r="BR172" s="83">
        <v>0.51</v>
      </c>
      <c r="BS172" s="83"/>
      <c r="BT172" s="82"/>
      <c r="BU172" s="83">
        <v>0.49</v>
      </c>
      <c r="BV172" s="83"/>
      <c r="BW172" s="8"/>
      <c r="BX172" s="81" cm="1">
        <f t="array" aca="1" ref="BX172" ca="1">SUMIFS(PRPOcheck_quantity,PRPOcheck_Pro,$BO173)</f>
        <v>281</v>
      </c>
    </row>
    <row r="173" spans="2:78" ht="15.6" thickTop="1" thickBot="1">
      <c r="B173"/>
      <c r="C173"/>
      <c r="D173"/>
      <c r="Q173"/>
      <c r="AQ173" s="20"/>
      <c r="BB173"/>
      <c r="BM173" s="184"/>
      <c r="BN173" s="8"/>
      <c r="BO173" s="88" t="str">
        <f t="shared" si="84"/>
        <v>TRAN BICH HANG</v>
      </c>
      <c r="BP173" s="83"/>
      <c r="BQ173" s="83">
        <v>0.03</v>
      </c>
      <c r="BR173" s="83">
        <v>0.4</v>
      </c>
      <c r="BS173" s="83"/>
      <c r="BT173" s="83"/>
      <c r="BU173" s="82">
        <v>0.56999999999999995</v>
      </c>
      <c r="BV173" s="83"/>
      <c r="BW173" s="8"/>
      <c r="BX173" s="81" cm="1">
        <f t="array" aca="1" ref="BX173" ca="1">SUMIFS(PRPOcheck_quantity,PRPOcheck_Pro,$BO174)</f>
        <v>131</v>
      </c>
    </row>
    <row r="174" spans="2:78" ht="15.6" thickTop="1" thickBot="1">
      <c r="B174"/>
      <c r="C174"/>
      <c r="D174"/>
      <c r="Q174"/>
      <c r="AQ174" s="20"/>
      <c r="BB174"/>
      <c r="BL174" s="80"/>
      <c r="BM174" s="184"/>
      <c r="BN174" s="8"/>
      <c r="BO174" s="87" t="str">
        <f t="shared" si="84"/>
        <v>DO NGOC HA</v>
      </c>
      <c r="BP174" s="83"/>
      <c r="BQ174" s="83">
        <v>0.95</v>
      </c>
      <c r="BR174" s="83"/>
      <c r="BS174" s="83"/>
      <c r="BT174" s="83"/>
      <c r="BU174" s="83"/>
      <c r="BV174" s="82">
        <v>0.05</v>
      </c>
      <c r="BW174" s="8"/>
    </row>
    <row r="175" spans="2:78" ht="15" thickTop="1">
      <c r="B175"/>
      <c r="C175"/>
      <c r="D175"/>
      <c r="Q175"/>
      <c r="AQ175" s="20"/>
      <c r="BB175"/>
      <c r="BL175" s="80"/>
      <c r="BM175" s="8"/>
      <c r="BN175" s="8"/>
      <c r="BO175" s="8"/>
      <c r="BP175" s="94"/>
      <c r="BQ175" s="94"/>
      <c r="BR175" s="94"/>
      <c r="BS175" s="94"/>
      <c r="BT175" s="94"/>
      <c r="BU175" s="94"/>
      <c r="BV175" s="94"/>
      <c r="BW175" s="8"/>
    </row>
    <row r="176" spans="2:78">
      <c r="B176"/>
      <c r="C176"/>
      <c r="D176"/>
      <c r="Q176"/>
      <c r="AQ176" s="20"/>
      <c r="BB176"/>
      <c r="BL176" s="80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</row>
    <row r="177" spans="2:69">
      <c r="B177"/>
      <c r="C177"/>
      <c r="D177"/>
      <c r="Q177"/>
      <c r="AQ177" s="20"/>
      <c r="BB177"/>
      <c r="BL177" s="80"/>
    </row>
    <row r="178" spans="2:69">
      <c r="B178"/>
      <c r="C178"/>
      <c r="D178"/>
      <c r="Q178"/>
      <c r="AQ178" s="20"/>
      <c r="BB178"/>
    </row>
    <row r="179" spans="2:69">
      <c r="B179"/>
      <c r="C179"/>
      <c r="D179"/>
      <c r="Q179"/>
      <c r="AQ179" s="20"/>
      <c r="BB179"/>
      <c r="BO179" s="84" t="s">
        <v>1085</v>
      </c>
      <c r="BP179" s="84" t="s">
        <v>1086</v>
      </c>
      <c r="BQ179" s="84" t="s">
        <v>1087</v>
      </c>
    </row>
    <row r="180" spans="2:69">
      <c r="B180"/>
      <c r="C180"/>
      <c r="D180"/>
      <c r="Q180"/>
      <c r="AQ180" s="20"/>
      <c r="BB180"/>
      <c r="BO180" s="85" t="s">
        <v>1073</v>
      </c>
      <c r="BP180" s="83">
        <v>9.0836653386454178E-2</v>
      </c>
      <c r="BQ180" s="83">
        <f>100%-BP180</f>
        <v>0.90916334661354581</v>
      </c>
    </row>
    <row r="181" spans="2:69">
      <c r="B181"/>
      <c r="C181"/>
      <c r="D181"/>
      <c r="Q181"/>
      <c r="AQ181" s="20"/>
      <c r="BB181"/>
      <c r="BO181" s="85" t="s">
        <v>1074</v>
      </c>
      <c r="BP181" s="83">
        <v>1</v>
      </c>
      <c r="BQ181" s="83">
        <f t="shared" ref="BQ181:BQ182" si="85">100%-BP181</f>
        <v>0</v>
      </c>
    </row>
    <row r="182" spans="2:69">
      <c r="B182"/>
      <c r="C182"/>
      <c r="D182"/>
      <c r="Q182"/>
      <c r="AQ182" s="20"/>
      <c r="BB182"/>
      <c r="BO182" s="85" t="s">
        <v>1075</v>
      </c>
      <c r="BP182" s="83">
        <v>0.52873563218390807</v>
      </c>
      <c r="BQ182" s="83">
        <f t="shared" si="85"/>
        <v>0.47126436781609193</v>
      </c>
    </row>
    <row r="183" spans="2:69">
      <c r="B183"/>
      <c r="C183"/>
      <c r="D183"/>
      <c r="Q183"/>
      <c r="AQ183" s="20"/>
      <c r="BB183"/>
    </row>
    <row r="184" spans="2:69">
      <c r="B184"/>
      <c r="C184"/>
      <c r="D184"/>
      <c r="Q184"/>
      <c r="AQ184" s="20"/>
      <c r="BB184"/>
    </row>
    <row r="185" spans="2:69">
      <c r="B185"/>
      <c r="C185"/>
      <c r="D185"/>
      <c r="Q185"/>
      <c r="AQ185" s="20"/>
      <c r="BB185"/>
    </row>
    <row r="186" spans="2:69">
      <c r="B186"/>
      <c r="C186"/>
      <c r="D186"/>
      <c r="Q186"/>
      <c r="AQ186" s="20"/>
      <c r="BB186"/>
    </row>
    <row r="187" spans="2:69">
      <c r="B187"/>
      <c r="C187"/>
      <c r="D187"/>
      <c r="Q187"/>
      <c r="AQ187" s="20"/>
      <c r="BB187"/>
    </row>
    <row r="188" spans="2:69">
      <c r="B188"/>
      <c r="C188"/>
      <c r="D188"/>
      <c r="Q188"/>
      <c r="AQ188" s="20"/>
      <c r="BB188"/>
    </row>
    <row r="189" spans="2:69">
      <c r="B189"/>
      <c r="C189"/>
      <c r="D189"/>
      <c r="Q189"/>
      <c r="AQ189" s="20"/>
      <c r="BB189"/>
    </row>
    <row r="190" spans="2:69">
      <c r="B190"/>
      <c r="C190"/>
      <c r="D190"/>
      <c r="Q190"/>
      <c r="AQ190" s="20"/>
      <c r="BB190"/>
    </row>
    <row r="191" spans="2:69">
      <c r="B191"/>
      <c r="C191"/>
      <c r="D191"/>
      <c r="Q191"/>
      <c r="AQ191" s="20"/>
      <c r="BB191"/>
    </row>
    <row r="192" spans="2:69">
      <c r="B192"/>
      <c r="C192"/>
      <c r="D192"/>
      <c r="Q192"/>
      <c r="AQ192" s="20"/>
      <c r="BB192"/>
    </row>
    <row r="193" spans="2:54">
      <c r="B193"/>
      <c r="C193"/>
      <c r="D193"/>
      <c r="Q193"/>
      <c r="AQ193" s="20"/>
      <c r="BB193"/>
    </row>
    <row r="194" spans="2:54">
      <c r="B194"/>
      <c r="C194"/>
      <c r="D194"/>
      <c r="Q194"/>
      <c r="AQ194" s="20"/>
      <c r="BB194"/>
    </row>
    <row r="195" spans="2:54">
      <c r="B195"/>
      <c r="C195"/>
      <c r="D195"/>
      <c r="Q195"/>
      <c r="AQ195" s="20"/>
      <c r="BB195"/>
    </row>
    <row r="196" spans="2:54">
      <c r="B196"/>
      <c r="C196"/>
      <c r="D196"/>
      <c r="Q196"/>
      <c r="AQ196" s="20"/>
      <c r="BB196"/>
    </row>
    <row r="197" spans="2:54">
      <c r="B197"/>
      <c r="C197"/>
      <c r="D197"/>
      <c r="Q197"/>
      <c r="AQ197" s="20"/>
      <c r="BB197"/>
    </row>
    <row r="198" spans="2:54">
      <c r="B198"/>
      <c r="C198"/>
      <c r="D198"/>
      <c r="Q198"/>
      <c r="AQ198" s="20"/>
      <c r="BB198"/>
    </row>
    <row r="199" spans="2:54">
      <c r="B199"/>
      <c r="C199"/>
      <c r="D199"/>
      <c r="Q199"/>
      <c r="AQ199" s="20"/>
      <c r="BB199"/>
    </row>
    <row r="200" spans="2:54">
      <c r="B200"/>
      <c r="C200"/>
      <c r="D200"/>
      <c r="Q200"/>
      <c r="AQ200" s="20"/>
      <c r="BB200"/>
    </row>
    <row r="201" spans="2:54">
      <c r="B201"/>
      <c r="C201"/>
      <c r="D201"/>
      <c r="Q201"/>
      <c r="AQ201" s="20"/>
      <c r="BB201"/>
    </row>
    <row r="202" spans="2:54">
      <c r="B202"/>
      <c r="C202"/>
      <c r="D202"/>
      <c r="Q202"/>
      <c r="AQ202" s="20"/>
      <c r="BB202"/>
    </row>
    <row r="203" spans="2:54">
      <c r="B203"/>
      <c r="C203"/>
      <c r="D203"/>
      <c r="Q203"/>
      <c r="AQ203" s="20"/>
      <c r="BB203"/>
    </row>
    <row r="204" spans="2:54">
      <c r="B204"/>
      <c r="C204"/>
      <c r="D204"/>
      <c r="Q204"/>
      <c r="AQ204" s="20"/>
      <c r="BB204"/>
    </row>
    <row r="205" spans="2:54">
      <c r="B205"/>
      <c r="C205"/>
      <c r="D205"/>
      <c r="Q205"/>
      <c r="AQ205" s="20"/>
      <c r="BB205"/>
    </row>
    <row r="206" spans="2:54">
      <c r="B206"/>
      <c r="C206"/>
      <c r="D206"/>
      <c r="Q206"/>
      <c r="AQ206" s="20"/>
      <c r="BB206"/>
    </row>
    <row r="207" spans="2:54">
      <c r="B207"/>
      <c r="C207"/>
      <c r="D207"/>
      <c r="Q207"/>
      <c r="AQ207" s="20"/>
      <c r="BB207"/>
    </row>
    <row r="208" spans="2:54">
      <c r="B208"/>
      <c r="C208"/>
      <c r="D208"/>
      <c r="Q208"/>
      <c r="AQ208" s="20"/>
      <c r="BB208"/>
    </row>
    <row r="209" spans="2:54">
      <c r="B209"/>
      <c r="C209"/>
      <c r="D209"/>
      <c r="Q209"/>
      <c r="AQ209" s="20"/>
      <c r="BB209"/>
    </row>
    <row r="210" spans="2:54">
      <c r="B210"/>
      <c r="C210"/>
      <c r="D210"/>
      <c r="Q210"/>
      <c r="AQ210" s="20"/>
      <c r="BB210"/>
    </row>
    <row r="211" spans="2:54">
      <c r="B211"/>
      <c r="C211"/>
      <c r="D211"/>
      <c r="Q211"/>
      <c r="AQ211" s="20"/>
      <c r="BB211"/>
    </row>
    <row r="212" spans="2:54">
      <c r="B212"/>
      <c r="C212"/>
      <c r="D212"/>
      <c r="Q212"/>
      <c r="AQ212" s="20"/>
      <c r="BB212"/>
    </row>
    <row r="213" spans="2:54">
      <c r="B213"/>
      <c r="C213"/>
      <c r="D213"/>
      <c r="Q213"/>
      <c r="AQ213" s="20"/>
      <c r="BB213"/>
    </row>
    <row r="214" spans="2:54">
      <c r="B214"/>
      <c r="C214"/>
      <c r="D214"/>
      <c r="Q214"/>
      <c r="AQ214" s="20"/>
      <c r="BB214"/>
    </row>
    <row r="215" spans="2:54">
      <c r="B215"/>
      <c r="C215"/>
      <c r="D215"/>
      <c r="Q215"/>
      <c r="AQ215" s="20"/>
      <c r="BB215"/>
    </row>
    <row r="216" spans="2:54">
      <c r="B216"/>
      <c r="C216"/>
      <c r="D216"/>
      <c r="Q216"/>
      <c r="AQ216" s="20"/>
      <c r="BB216"/>
    </row>
    <row r="217" spans="2:54">
      <c r="B217"/>
      <c r="C217"/>
      <c r="D217"/>
      <c r="Q217"/>
      <c r="AQ217" s="20"/>
      <c r="BB217"/>
    </row>
    <row r="218" spans="2:54">
      <c r="B218"/>
      <c r="C218"/>
      <c r="D218"/>
      <c r="Q218"/>
      <c r="AQ218" s="20"/>
      <c r="BB218"/>
    </row>
    <row r="219" spans="2:54">
      <c r="B219"/>
      <c r="C219"/>
      <c r="D219"/>
      <c r="Q219"/>
      <c r="AQ219" s="20"/>
      <c r="BB219"/>
    </row>
    <row r="220" spans="2:54">
      <c r="B220"/>
      <c r="C220"/>
      <c r="D220"/>
      <c r="Q220"/>
      <c r="AQ220" s="20"/>
      <c r="BB220"/>
    </row>
    <row r="221" spans="2:54">
      <c r="B221"/>
      <c r="C221"/>
      <c r="D221"/>
      <c r="Q221"/>
      <c r="AQ221" s="20"/>
      <c r="BB221"/>
    </row>
    <row r="222" spans="2:54">
      <c r="B222"/>
      <c r="C222"/>
      <c r="D222"/>
      <c r="Q222"/>
      <c r="AQ222" s="20"/>
      <c r="BB222"/>
    </row>
    <row r="223" spans="2:54">
      <c r="B223"/>
      <c r="C223"/>
      <c r="D223"/>
      <c r="Q223"/>
      <c r="AQ223" s="20"/>
      <c r="BB223"/>
    </row>
    <row r="224" spans="2:54">
      <c r="B224"/>
      <c r="C224"/>
      <c r="D224"/>
      <c r="Q224"/>
      <c r="AQ224" s="20"/>
      <c r="BB224"/>
    </row>
    <row r="225" spans="2:54">
      <c r="B225"/>
      <c r="C225"/>
      <c r="D225"/>
      <c r="Q225"/>
      <c r="AQ225" s="20"/>
      <c r="BB225"/>
    </row>
    <row r="226" spans="2:54">
      <c r="B226"/>
      <c r="C226"/>
      <c r="D226"/>
      <c r="Q226"/>
      <c r="AQ226" s="20"/>
      <c r="BB226"/>
    </row>
    <row r="227" spans="2:54">
      <c r="B227"/>
      <c r="C227"/>
      <c r="D227"/>
      <c r="Q227"/>
      <c r="AQ227" s="20"/>
      <c r="BB227"/>
    </row>
    <row r="228" spans="2:54">
      <c r="B228"/>
      <c r="C228"/>
      <c r="D228"/>
      <c r="Q228"/>
      <c r="AQ228" s="20"/>
      <c r="BB228"/>
    </row>
    <row r="229" spans="2:54">
      <c r="B229"/>
      <c r="C229"/>
      <c r="D229"/>
      <c r="Q229"/>
      <c r="AQ229" s="20"/>
      <c r="BB229"/>
    </row>
    <row r="230" spans="2:54">
      <c r="B230"/>
      <c r="C230"/>
      <c r="D230"/>
      <c r="Q230"/>
      <c r="AQ230" s="20"/>
      <c r="BB230"/>
    </row>
    <row r="231" spans="2:54">
      <c r="B231"/>
      <c r="C231"/>
      <c r="D231"/>
      <c r="Q231"/>
      <c r="AQ231" s="20"/>
      <c r="BB231"/>
    </row>
    <row r="232" spans="2:54">
      <c r="B232"/>
      <c r="C232"/>
      <c r="D232"/>
      <c r="Q232"/>
      <c r="AQ232" s="20"/>
      <c r="BB232"/>
    </row>
    <row r="233" spans="2:54">
      <c r="B233"/>
      <c r="C233"/>
      <c r="D233"/>
      <c r="Q233"/>
      <c r="AQ233" s="20"/>
      <c r="BB233"/>
    </row>
    <row r="234" spans="2:54">
      <c r="B234"/>
      <c r="C234"/>
      <c r="D234"/>
      <c r="Q234"/>
      <c r="AQ234" s="20"/>
      <c r="BB234"/>
    </row>
    <row r="235" spans="2:54">
      <c r="B235"/>
      <c r="C235"/>
      <c r="D235"/>
      <c r="Q235"/>
      <c r="AQ235" s="20"/>
      <c r="BB235"/>
    </row>
    <row r="236" spans="2:54">
      <c r="B236"/>
      <c r="C236"/>
      <c r="D236"/>
      <c r="Q236"/>
      <c r="AQ236" s="20"/>
      <c r="BB236"/>
    </row>
    <row r="237" spans="2:54">
      <c r="B237"/>
      <c r="C237"/>
      <c r="D237"/>
      <c r="Q237"/>
      <c r="AQ237" s="20"/>
      <c r="BB237"/>
    </row>
    <row r="238" spans="2:54">
      <c r="B238"/>
      <c r="C238"/>
      <c r="D238"/>
      <c r="Q238"/>
      <c r="AQ238" s="20"/>
      <c r="BB238"/>
    </row>
    <row r="239" spans="2:54">
      <c r="B239"/>
      <c r="C239"/>
      <c r="D239"/>
      <c r="Q239"/>
      <c r="AQ239" s="20"/>
      <c r="BB239"/>
    </row>
    <row r="240" spans="2:54">
      <c r="B240"/>
      <c r="C240"/>
      <c r="D240"/>
      <c r="Q240"/>
      <c r="AQ240" s="20"/>
      <c r="BB240"/>
    </row>
    <row r="241" spans="2:54">
      <c r="B241"/>
      <c r="C241"/>
      <c r="D241"/>
      <c r="Q241"/>
      <c r="AQ241" s="20"/>
      <c r="BB241"/>
    </row>
    <row r="242" spans="2:54">
      <c r="B242"/>
      <c r="C242"/>
      <c r="D242"/>
      <c r="Q242"/>
      <c r="AQ242" s="20"/>
      <c r="BB242"/>
    </row>
    <row r="243" spans="2:54">
      <c r="B243"/>
      <c r="C243"/>
      <c r="D243"/>
      <c r="Q243"/>
      <c r="AQ243" s="20"/>
      <c r="BB243"/>
    </row>
    <row r="244" spans="2:54">
      <c r="B244"/>
      <c r="C244"/>
      <c r="D244"/>
      <c r="Q244"/>
      <c r="AQ244" s="20"/>
      <c r="BB244"/>
    </row>
    <row r="245" spans="2:54">
      <c r="B245"/>
      <c r="C245"/>
      <c r="D245"/>
      <c r="Q245"/>
      <c r="AQ245" s="20"/>
      <c r="BB245"/>
    </row>
    <row r="246" spans="2:54">
      <c r="B246"/>
      <c r="C246"/>
      <c r="D246"/>
      <c r="Q246"/>
      <c r="AQ246" s="20"/>
      <c r="BB246"/>
    </row>
    <row r="247" spans="2:54">
      <c r="B247"/>
      <c r="C247"/>
      <c r="D247"/>
      <c r="Q247"/>
      <c r="AQ247" s="20"/>
      <c r="BB247"/>
    </row>
    <row r="248" spans="2:54">
      <c r="B248"/>
      <c r="C248"/>
      <c r="D248"/>
      <c r="Q248"/>
      <c r="AQ248" s="20"/>
      <c r="BB248"/>
    </row>
    <row r="249" spans="2:54">
      <c r="B249"/>
      <c r="C249"/>
      <c r="D249"/>
      <c r="Q249"/>
      <c r="AQ249" s="20"/>
      <c r="BB249"/>
    </row>
    <row r="250" spans="2:54">
      <c r="B250"/>
      <c r="C250"/>
      <c r="D250"/>
      <c r="Q250"/>
      <c r="AQ250" s="20"/>
      <c r="BB250"/>
    </row>
    <row r="251" spans="2:54">
      <c r="B251"/>
      <c r="C251"/>
      <c r="D251"/>
      <c r="Q251"/>
      <c r="AQ251" s="20"/>
      <c r="BB251"/>
    </row>
    <row r="252" spans="2:54">
      <c r="B252"/>
      <c r="C252"/>
      <c r="D252"/>
      <c r="Q252"/>
      <c r="AQ252" s="20"/>
      <c r="BB252"/>
    </row>
    <row r="253" spans="2:54">
      <c r="B253"/>
      <c r="C253"/>
      <c r="D253"/>
      <c r="Q253"/>
      <c r="AQ253" s="20"/>
      <c r="BB253"/>
    </row>
    <row r="254" spans="2:54">
      <c r="B254"/>
      <c r="C254"/>
      <c r="D254"/>
      <c r="Q254"/>
      <c r="AQ254" s="20"/>
      <c r="BB254"/>
    </row>
    <row r="255" spans="2:54">
      <c r="B255"/>
      <c r="C255"/>
      <c r="D255"/>
      <c r="Q255"/>
      <c r="AQ255" s="20"/>
      <c r="BB255"/>
    </row>
    <row r="256" spans="2:54">
      <c r="B256"/>
      <c r="C256"/>
      <c r="D256"/>
      <c r="Q256"/>
      <c r="AQ256" s="20"/>
      <c r="BB256"/>
    </row>
    <row r="257" spans="2:54">
      <c r="B257"/>
      <c r="C257"/>
      <c r="D257"/>
      <c r="Q257"/>
      <c r="AQ257" s="20"/>
      <c r="BB257"/>
    </row>
    <row r="258" spans="2:54">
      <c r="B258"/>
      <c r="C258"/>
      <c r="D258"/>
      <c r="Q258"/>
      <c r="AQ258" s="20"/>
      <c r="BB258"/>
    </row>
    <row r="259" spans="2:54">
      <c r="B259"/>
      <c r="C259"/>
      <c r="D259"/>
      <c r="Q259"/>
      <c r="AQ259" s="20"/>
      <c r="BB259"/>
    </row>
    <row r="260" spans="2:54">
      <c r="B260"/>
      <c r="C260"/>
      <c r="D260"/>
      <c r="Q260"/>
      <c r="AQ260" s="20"/>
      <c r="BB260"/>
    </row>
    <row r="261" spans="2:54">
      <c r="B261"/>
      <c r="C261"/>
      <c r="D261"/>
      <c r="Q261"/>
      <c r="AQ261" s="20"/>
      <c r="BB261"/>
    </row>
    <row r="262" spans="2:54">
      <c r="B262"/>
      <c r="C262"/>
      <c r="D262"/>
      <c r="Q262"/>
      <c r="AQ262" s="20"/>
      <c r="BB262"/>
    </row>
    <row r="263" spans="2:54">
      <c r="B263"/>
      <c r="C263"/>
      <c r="D263"/>
      <c r="Q263"/>
      <c r="AQ263" s="20"/>
      <c r="BB263"/>
    </row>
    <row r="264" spans="2:54">
      <c r="B264"/>
      <c r="C264"/>
      <c r="D264"/>
      <c r="Q264"/>
      <c r="AQ264" s="20"/>
      <c r="BB264"/>
    </row>
    <row r="265" spans="2:54">
      <c r="B265"/>
      <c r="C265"/>
      <c r="D265"/>
      <c r="Q265"/>
      <c r="AQ265" s="20"/>
      <c r="BB265"/>
    </row>
    <row r="266" spans="2:54">
      <c r="B266"/>
      <c r="C266"/>
      <c r="D266"/>
      <c r="Q266"/>
      <c r="AQ266" s="20"/>
      <c r="BB266"/>
    </row>
    <row r="267" spans="2:54">
      <c r="B267"/>
      <c r="C267"/>
      <c r="D267"/>
      <c r="Q267"/>
      <c r="AQ267" s="20"/>
      <c r="BB267"/>
    </row>
    <row r="268" spans="2:54">
      <c r="B268"/>
      <c r="C268"/>
      <c r="D268"/>
      <c r="Q268"/>
      <c r="AQ268" s="20"/>
      <c r="BB268"/>
    </row>
    <row r="269" spans="2:54">
      <c r="B269"/>
      <c r="C269"/>
      <c r="D269"/>
      <c r="Q269"/>
      <c r="AQ269" s="20"/>
      <c r="BB269"/>
    </row>
    <row r="270" spans="2:54">
      <c r="B270"/>
      <c r="C270"/>
      <c r="D270"/>
      <c r="Q270"/>
      <c r="AQ270" s="20"/>
      <c r="BB270"/>
    </row>
    <row r="271" spans="2:54">
      <c r="B271"/>
      <c r="C271"/>
      <c r="D271"/>
      <c r="Q271"/>
      <c r="AQ271" s="20"/>
      <c r="BB271"/>
    </row>
    <row r="272" spans="2:54">
      <c r="B272"/>
      <c r="C272"/>
      <c r="D272"/>
      <c r="Q272"/>
      <c r="AQ272" s="20"/>
      <c r="BB272"/>
    </row>
    <row r="273" spans="2:54">
      <c r="B273"/>
      <c r="C273"/>
      <c r="D273"/>
      <c r="Q273"/>
      <c r="AQ273" s="20"/>
      <c r="BB273"/>
    </row>
    <row r="274" spans="2:54">
      <c r="B274"/>
      <c r="C274"/>
      <c r="D274"/>
      <c r="Q274"/>
      <c r="AQ274" s="20"/>
      <c r="BB274"/>
    </row>
    <row r="275" spans="2:54">
      <c r="B275"/>
      <c r="C275"/>
      <c r="D275"/>
      <c r="Q275"/>
      <c r="AQ275" s="20"/>
      <c r="BB275"/>
    </row>
    <row r="276" spans="2:54">
      <c r="B276"/>
      <c r="C276"/>
      <c r="D276"/>
      <c r="Q276"/>
      <c r="AQ276" s="20"/>
      <c r="BB276"/>
    </row>
    <row r="277" spans="2:54">
      <c r="B277"/>
      <c r="C277"/>
      <c r="D277"/>
      <c r="Q277"/>
      <c r="AQ277" s="20"/>
      <c r="BB277"/>
    </row>
    <row r="278" spans="2:54">
      <c r="B278"/>
      <c r="C278"/>
      <c r="D278"/>
      <c r="Q278"/>
      <c r="AQ278" s="20"/>
      <c r="BB278"/>
    </row>
    <row r="279" spans="2:54">
      <c r="B279"/>
      <c r="C279"/>
      <c r="D279"/>
      <c r="Q279"/>
      <c r="AQ279" s="20"/>
      <c r="BB279"/>
    </row>
    <row r="280" spans="2:54">
      <c r="B280"/>
      <c r="C280"/>
      <c r="D280"/>
      <c r="Q280"/>
      <c r="AQ280" s="20"/>
      <c r="BB280"/>
    </row>
    <row r="281" spans="2:54">
      <c r="B281"/>
      <c r="C281"/>
      <c r="D281"/>
      <c r="Q281"/>
      <c r="AQ281" s="20"/>
      <c r="BB281"/>
    </row>
    <row r="282" spans="2:54">
      <c r="B282"/>
      <c r="C282"/>
      <c r="D282"/>
      <c r="Q282"/>
      <c r="AQ282" s="20"/>
      <c r="BB282"/>
    </row>
    <row r="283" spans="2:54">
      <c r="B283"/>
      <c r="C283"/>
      <c r="D283"/>
      <c r="Q283"/>
      <c r="AQ283" s="20"/>
      <c r="BB283"/>
    </row>
    <row r="284" spans="2:54">
      <c r="B284"/>
      <c r="C284"/>
      <c r="D284"/>
      <c r="Q284"/>
      <c r="AQ284" s="20"/>
      <c r="BB284"/>
    </row>
    <row r="285" spans="2:54">
      <c r="B285"/>
      <c r="C285"/>
      <c r="D285"/>
      <c r="Q285"/>
      <c r="AQ285" s="20"/>
      <c r="BB285"/>
    </row>
    <row r="286" spans="2:54">
      <c r="B286"/>
      <c r="C286"/>
      <c r="D286"/>
      <c r="Q286"/>
      <c r="AQ286" s="20"/>
      <c r="BB286"/>
    </row>
    <row r="287" spans="2:54">
      <c r="B287"/>
      <c r="C287"/>
      <c r="D287"/>
      <c r="Q287"/>
      <c r="AQ287" s="20"/>
      <c r="BB287"/>
    </row>
    <row r="288" spans="2:54">
      <c r="B288"/>
      <c r="C288"/>
      <c r="D288"/>
      <c r="Q288"/>
      <c r="AQ288" s="20"/>
      <c r="BB288"/>
    </row>
    <row r="289" spans="2:54">
      <c r="B289"/>
      <c r="C289"/>
      <c r="D289"/>
      <c r="Q289"/>
      <c r="AQ289" s="20"/>
      <c r="BB289"/>
    </row>
    <row r="290" spans="2:54">
      <c r="B290"/>
      <c r="C290"/>
      <c r="D290"/>
      <c r="Q290"/>
      <c r="AQ290" s="20"/>
      <c r="BB290"/>
    </row>
    <row r="291" spans="2:54">
      <c r="B291"/>
      <c r="C291"/>
      <c r="D291"/>
      <c r="Q291"/>
      <c r="AQ291" s="20"/>
      <c r="BB291"/>
    </row>
    <row r="292" spans="2:54">
      <c r="B292"/>
      <c r="C292"/>
      <c r="D292"/>
      <c r="Q292"/>
      <c r="AQ292" s="20"/>
      <c r="BB292"/>
    </row>
    <row r="293" spans="2:54">
      <c r="B293"/>
      <c r="C293"/>
      <c r="D293"/>
      <c r="Q293"/>
      <c r="AQ293" s="20"/>
      <c r="BB293"/>
    </row>
    <row r="294" spans="2:54">
      <c r="B294"/>
      <c r="C294"/>
      <c r="D294"/>
      <c r="Q294"/>
      <c r="AQ294" s="20"/>
      <c r="BB294"/>
    </row>
    <row r="295" spans="2:54">
      <c r="B295"/>
      <c r="C295"/>
      <c r="D295"/>
      <c r="Q295"/>
      <c r="AQ295" s="20"/>
      <c r="BB295"/>
    </row>
    <row r="296" spans="2:54">
      <c r="B296"/>
      <c r="C296"/>
      <c r="D296"/>
      <c r="Q296"/>
      <c r="AQ296" s="20"/>
      <c r="BB296"/>
    </row>
    <row r="297" spans="2:54">
      <c r="B297"/>
      <c r="C297"/>
      <c r="D297"/>
      <c r="Q297"/>
      <c r="AQ297" s="20"/>
      <c r="BB297"/>
    </row>
    <row r="298" spans="2:54">
      <c r="B298"/>
      <c r="C298"/>
      <c r="D298"/>
      <c r="Q298"/>
      <c r="AQ298" s="20"/>
      <c r="BB298"/>
    </row>
    <row r="299" spans="2:54">
      <c r="B299"/>
      <c r="C299"/>
      <c r="D299"/>
      <c r="Q299"/>
      <c r="AQ299" s="20"/>
      <c r="BB299"/>
    </row>
    <row r="300" spans="2:54">
      <c r="B300"/>
      <c r="C300"/>
      <c r="D300"/>
      <c r="Q300"/>
      <c r="AQ300" s="20"/>
      <c r="BB300"/>
    </row>
    <row r="301" spans="2:54">
      <c r="B301"/>
      <c r="C301"/>
      <c r="D301"/>
      <c r="Q301"/>
      <c r="AQ301" s="20"/>
      <c r="BB301"/>
    </row>
    <row r="302" spans="2:54">
      <c r="B302"/>
      <c r="C302"/>
      <c r="D302"/>
      <c r="Q302"/>
      <c r="AQ302" s="20"/>
      <c r="BB302"/>
    </row>
    <row r="303" spans="2:54">
      <c r="B303"/>
      <c r="C303"/>
      <c r="D303"/>
      <c r="Q303"/>
      <c r="AQ303" s="20"/>
      <c r="BB303"/>
    </row>
    <row r="304" spans="2:54">
      <c r="B304"/>
      <c r="C304"/>
      <c r="D304"/>
      <c r="Q304"/>
      <c r="AQ304" s="20"/>
      <c r="BB304"/>
    </row>
    <row r="305" spans="2:54">
      <c r="B305"/>
      <c r="C305"/>
      <c r="D305"/>
      <c r="Q305"/>
      <c r="AQ305" s="20"/>
      <c r="BB305"/>
    </row>
    <row r="306" spans="2:54">
      <c r="B306"/>
      <c r="C306"/>
      <c r="D306"/>
      <c r="Q306"/>
      <c r="AQ306" s="20"/>
      <c r="BB306"/>
    </row>
    <row r="307" spans="2:54">
      <c r="B307"/>
      <c r="C307"/>
      <c r="D307"/>
      <c r="Q307"/>
      <c r="AQ307" s="20"/>
      <c r="BB307"/>
    </row>
    <row r="308" spans="2:54">
      <c r="B308"/>
      <c r="C308"/>
      <c r="D308"/>
      <c r="Q308"/>
      <c r="AQ308" s="20"/>
      <c r="BB308"/>
    </row>
    <row r="309" spans="2:54">
      <c r="B309"/>
      <c r="C309"/>
      <c r="D309"/>
      <c r="Q309"/>
      <c r="AQ309" s="20"/>
      <c r="BB309"/>
    </row>
    <row r="310" spans="2:54">
      <c r="B310"/>
      <c r="C310"/>
      <c r="D310"/>
      <c r="Q310"/>
      <c r="AQ310" s="20"/>
      <c r="BB310"/>
    </row>
    <row r="311" spans="2:54">
      <c r="B311"/>
      <c r="C311"/>
      <c r="D311"/>
      <c r="Q311"/>
      <c r="AQ311" s="20"/>
      <c r="BB311"/>
    </row>
    <row r="312" spans="2:54">
      <c r="B312"/>
      <c r="C312"/>
      <c r="D312"/>
      <c r="Q312"/>
      <c r="AQ312" s="20"/>
      <c r="BB312"/>
    </row>
    <row r="313" spans="2:54">
      <c r="B313"/>
      <c r="C313"/>
      <c r="D313"/>
      <c r="Q313"/>
      <c r="AQ313" s="20"/>
      <c r="BB313"/>
    </row>
    <row r="314" spans="2:54">
      <c r="B314"/>
      <c r="C314"/>
      <c r="D314"/>
      <c r="Q314"/>
      <c r="AQ314" s="20"/>
      <c r="BB314"/>
    </row>
    <row r="315" spans="2:54">
      <c r="B315"/>
      <c r="C315"/>
      <c r="D315"/>
      <c r="Q315"/>
      <c r="AQ315" s="20"/>
      <c r="BB315"/>
    </row>
    <row r="316" spans="2:54">
      <c r="B316"/>
      <c r="C316"/>
      <c r="D316"/>
      <c r="Q316"/>
      <c r="AQ316" s="20"/>
      <c r="BB316"/>
    </row>
    <row r="317" spans="2:54">
      <c r="B317"/>
      <c r="C317"/>
      <c r="D317"/>
      <c r="Q317"/>
      <c r="AQ317" s="20"/>
      <c r="BB317"/>
    </row>
    <row r="318" spans="2:54">
      <c r="B318"/>
      <c r="C318"/>
      <c r="D318"/>
      <c r="Q318"/>
      <c r="AQ318" s="20"/>
      <c r="BB318"/>
    </row>
    <row r="319" spans="2:54">
      <c r="B319"/>
      <c r="C319"/>
      <c r="D319"/>
      <c r="Q319"/>
      <c r="AQ319" s="20"/>
      <c r="BB319"/>
    </row>
    <row r="320" spans="2:54">
      <c r="B320"/>
      <c r="C320"/>
      <c r="D320"/>
      <c r="Q320"/>
      <c r="AQ320" s="20"/>
      <c r="BB320"/>
    </row>
    <row r="321" spans="2:54">
      <c r="B321"/>
      <c r="C321"/>
      <c r="D321"/>
      <c r="Q321"/>
      <c r="AQ321" s="20"/>
      <c r="BB321"/>
    </row>
    <row r="322" spans="2:54">
      <c r="B322"/>
      <c r="C322"/>
      <c r="D322"/>
      <c r="Q322"/>
      <c r="AQ322" s="20"/>
      <c r="BB322"/>
    </row>
    <row r="323" spans="2:54">
      <c r="B323"/>
      <c r="C323"/>
      <c r="D323"/>
      <c r="Q323"/>
      <c r="AQ323" s="20"/>
      <c r="BB323"/>
    </row>
    <row r="324" spans="2:54">
      <c r="B324"/>
      <c r="C324"/>
      <c r="D324"/>
      <c r="Q324"/>
      <c r="AQ324" s="20"/>
      <c r="BB324"/>
    </row>
    <row r="325" spans="2:54">
      <c r="B325"/>
      <c r="C325"/>
      <c r="D325"/>
      <c r="Q325"/>
      <c r="AQ325" s="20"/>
      <c r="BB325"/>
    </row>
    <row r="326" spans="2:54">
      <c r="B326"/>
      <c r="C326"/>
      <c r="D326"/>
      <c r="Q326"/>
      <c r="AQ326" s="20"/>
      <c r="BB326"/>
    </row>
    <row r="327" spans="2:54">
      <c r="B327"/>
      <c r="C327"/>
      <c r="D327"/>
      <c r="Q327"/>
      <c r="AQ327" s="20"/>
      <c r="BB327"/>
    </row>
    <row r="328" spans="2:54">
      <c r="B328"/>
      <c r="C328"/>
      <c r="D328"/>
      <c r="Q328"/>
      <c r="AQ328" s="20"/>
      <c r="BB328"/>
    </row>
    <row r="329" spans="2:54">
      <c r="B329"/>
      <c r="C329"/>
      <c r="D329"/>
      <c r="Q329"/>
      <c r="AQ329" s="20"/>
      <c r="BB329"/>
    </row>
    <row r="330" spans="2:54">
      <c r="B330"/>
      <c r="C330"/>
      <c r="D330"/>
      <c r="Q330"/>
      <c r="AQ330" s="20"/>
      <c r="BB330"/>
    </row>
    <row r="331" spans="2:54">
      <c r="B331"/>
      <c r="C331"/>
      <c r="D331"/>
      <c r="Q331"/>
      <c r="AQ331" s="20"/>
      <c r="BB331"/>
    </row>
    <row r="332" spans="2:54">
      <c r="B332"/>
      <c r="C332"/>
      <c r="D332"/>
      <c r="Q332"/>
      <c r="AQ332" s="20"/>
      <c r="BB332"/>
    </row>
    <row r="333" spans="2:54">
      <c r="B333"/>
      <c r="C333"/>
      <c r="D333"/>
      <c r="Q333"/>
      <c r="AQ333" s="20"/>
      <c r="BB333"/>
    </row>
    <row r="334" spans="2:54">
      <c r="B334"/>
      <c r="C334"/>
      <c r="D334"/>
      <c r="Q334"/>
      <c r="AQ334" s="20"/>
      <c r="BB334"/>
    </row>
    <row r="335" spans="2:54">
      <c r="B335"/>
      <c r="C335"/>
      <c r="D335"/>
      <c r="Q335"/>
      <c r="AQ335" s="20"/>
      <c r="BB335"/>
    </row>
    <row r="336" spans="2:54">
      <c r="B336"/>
      <c r="C336"/>
      <c r="D336"/>
      <c r="Q336"/>
      <c r="AQ336" s="20"/>
      <c r="BB336"/>
    </row>
    <row r="337" spans="2:54">
      <c r="B337"/>
      <c r="C337"/>
      <c r="D337"/>
      <c r="Q337"/>
      <c r="AQ337" s="20"/>
      <c r="BB337"/>
    </row>
    <row r="338" spans="2:54">
      <c r="B338"/>
      <c r="C338"/>
      <c r="D338"/>
      <c r="Q338"/>
      <c r="AQ338" s="20"/>
      <c r="BB338"/>
    </row>
    <row r="339" spans="2:54">
      <c r="B339"/>
      <c r="C339"/>
      <c r="D339"/>
      <c r="Q339"/>
      <c r="AQ339" s="20"/>
      <c r="BB339"/>
    </row>
    <row r="340" spans="2:54">
      <c r="B340"/>
      <c r="C340"/>
      <c r="D340"/>
      <c r="Q340"/>
      <c r="AQ340" s="20"/>
      <c r="BB340"/>
    </row>
    <row r="341" spans="2:54">
      <c r="B341"/>
      <c r="C341"/>
      <c r="D341"/>
      <c r="Q341"/>
      <c r="AQ341" s="20"/>
      <c r="BB341"/>
    </row>
    <row r="342" spans="2:54">
      <c r="B342"/>
      <c r="C342"/>
      <c r="D342"/>
      <c r="Q342"/>
      <c r="AQ342" s="20"/>
      <c r="BB342"/>
    </row>
    <row r="343" spans="2:54">
      <c r="B343"/>
      <c r="C343"/>
      <c r="D343"/>
      <c r="Q343"/>
      <c r="AQ343" s="20"/>
      <c r="BB343"/>
    </row>
    <row r="344" spans="2:54">
      <c r="B344"/>
      <c r="C344"/>
      <c r="D344"/>
      <c r="Q344"/>
      <c r="AQ344" s="20"/>
      <c r="BB344"/>
    </row>
    <row r="345" spans="2:54">
      <c r="B345"/>
      <c r="C345"/>
      <c r="D345"/>
      <c r="Q345"/>
      <c r="AQ345" s="20"/>
      <c r="BB345"/>
    </row>
    <row r="346" spans="2:54">
      <c r="B346"/>
      <c r="C346"/>
      <c r="D346"/>
      <c r="Q346"/>
      <c r="AQ346" s="20"/>
      <c r="BB346"/>
    </row>
    <row r="347" spans="2:54">
      <c r="B347"/>
      <c r="C347"/>
      <c r="D347"/>
      <c r="Q347"/>
      <c r="AQ347" s="20"/>
      <c r="BB347"/>
    </row>
    <row r="348" spans="2:54">
      <c r="B348"/>
      <c r="C348"/>
      <c r="D348"/>
      <c r="Q348"/>
      <c r="AQ348" s="20"/>
      <c r="BB348"/>
    </row>
    <row r="349" spans="2:54">
      <c r="B349"/>
      <c r="C349"/>
      <c r="D349"/>
      <c r="Q349"/>
      <c r="AQ349" s="20"/>
      <c r="BB349"/>
    </row>
    <row r="350" spans="2:54">
      <c r="B350"/>
      <c r="C350"/>
      <c r="D350"/>
      <c r="Q350"/>
      <c r="AQ350" s="20"/>
      <c r="BB350"/>
    </row>
    <row r="351" spans="2:54">
      <c r="B351"/>
      <c r="C351"/>
      <c r="D351"/>
      <c r="Q351"/>
      <c r="AQ351" s="20"/>
      <c r="BB351"/>
    </row>
    <row r="352" spans="2:54">
      <c r="B352"/>
      <c r="C352"/>
      <c r="D352"/>
      <c r="Q352"/>
      <c r="AQ352" s="20"/>
      <c r="BB352"/>
    </row>
    <row r="353" spans="2:54">
      <c r="B353"/>
      <c r="C353"/>
      <c r="D353"/>
      <c r="Q353"/>
      <c r="AQ353" s="20"/>
      <c r="BB353"/>
    </row>
    <row r="354" spans="2:54">
      <c r="B354"/>
      <c r="C354"/>
      <c r="D354"/>
      <c r="Q354"/>
      <c r="AQ354" s="20"/>
      <c r="BB354"/>
    </row>
    <row r="355" spans="2:54">
      <c r="B355"/>
      <c r="C355"/>
      <c r="D355"/>
      <c r="Q355"/>
      <c r="AQ355" s="20"/>
      <c r="BB355"/>
    </row>
    <row r="356" spans="2:54">
      <c r="B356"/>
      <c r="C356"/>
      <c r="D356"/>
      <c r="Q356"/>
      <c r="AQ356" s="20"/>
      <c r="BB356"/>
    </row>
    <row r="357" spans="2:54">
      <c r="B357"/>
      <c r="C357"/>
      <c r="D357"/>
      <c r="Q357"/>
      <c r="AQ357" s="20"/>
      <c r="BB357"/>
    </row>
    <row r="358" spans="2:54">
      <c r="B358"/>
      <c r="C358"/>
      <c r="D358"/>
      <c r="Q358"/>
      <c r="AQ358" s="20"/>
      <c r="BB358"/>
    </row>
    <row r="359" spans="2:54">
      <c r="B359"/>
      <c r="C359"/>
      <c r="D359"/>
      <c r="Q359"/>
      <c r="AQ359" s="20"/>
      <c r="BB359"/>
    </row>
    <row r="360" spans="2:54">
      <c r="B360"/>
      <c r="C360"/>
      <c r="D360"/>
      <c r="Q360"/>
      <c r="AQ360" s="20"/>
      <c r="BB360"/>
    </row>
    <row r="361" spans="2:54">
      <c r="B361"/>
      <c r="C361"/>
      <c r="D361"/>
      <c r="Q361"/>
      <c r="AQ361" s="20"/>
      <c r="BB361"/>
    </row>
    <row r="362" spans="2:54">
      <c r="B362"/>
      <c r="C362"/>
      <c r="D362"/>
      <c r="Q362"/>
      <c r="AQ362" s="20"/>
      <c r="BB362"/>
    </row>
    <row r="363" spans="2:54">
      <c r="B363"/>
      <c r="C363"/>
      <c r="D363"/>
      <c r="Q363"/>
      <c r="AQ363" s="20"/>
      <c r="BB363"/>
    </row>
    <row r="364" spans="2:54">
      <c r="B364"/>
      <c r="C364"/>
      <c r="D364"/>
      <c r="Q364"/>
      <c r="AQ364" s="20"/>
      <c r="BB364"/>
    </row>
    <row r="365" spans="2:54">
      <c r="B365"/>
      <c r="C365"/>
      <c r="D365"/>
      <c r="Q365"/>
      <c r="AQ365" s="20"/>
      <c r="BB365"/>
    </row>
    <row r="366" spans="2:54">
      <c r="B366"/>
      <c r="C366"/>
      <c r="D366"/>
      <c r="Q366"/>
      <c r="AQ366" s="20"/>
      <c r="BB366"/>
    </row>
    <row r="367" spans="2:54">
      <c r="B367"/>
      <c r="C367"/>
      <c r="D367"/>
      <c r="Q367"/>
      <c r="AQ367" s="20"/>
      <c r="BB367"/>
    </row>
    <row r="368" spans="2:54">
      <c r="B368"/>
      <c r="C368"/>
      <c r="D368"/>
      <c r="Q368"/>
      <c r="AQ368" s="20"/>
      <c r="BB368"/>
    </row>
    <row r="369" spans="2:54">
      <c r="B369"/>
      <c r="C369"/>
      <c r="D369"/>
      <c r="Q369"/>
      <c r="AQ369" s="20"/>
      <c r="BB369"/>
    </row>
    <row r="370" spans="2:54">
      <c r="B370"/>
      <c r="C370"/>
      <c r="D370"/>
      <c r="Q370"/>
      <c r="AQ370" s="20"/>
      <c r="BB370"/>
    </row>
    <row r="371" spans="2:54">
      <c r="B371"/>
      <c r="C371"/>
      <c r="D371"/>
      <c r="Q371"/>
      <c r="AQ371" s="20"/>
      <c r="BB371"/>
    </row>
    <row r="372" spans="2:54">
      <c r="B372"/>
      <c r="C372"/>
      <c r="D372"/>
      <c r="Q372"/>
      <c r="AQ372" s="20"/>
      <c r="BB372"/>
    </row>
    <row r="373" spans="2:54">
      <c r="B373"/>
      <c r="C373"/>
      <c r="D373"/>
      <c r="Q373"/>
      <c r="AQ373" s="20"/>
      <c r="BB373"/>
    </row>
    <row r="374" spans="2:54">
      <c r="B374"/>
      <c r="C374"/>
      <c r="D374"/>
      <c r="Q374"/>
      <c r="AQ374" s="20"/>
      <c r="BB374"/>
    </row>
    <row r="375" spans="2:54">
      <c r="B375"/>
      <c r="C375"/>
      <c r="D375"/>
      <c r="Q375"/>
      <c r="AQ375" s="20"/>
      <c r="BB375"/>
    </row>
    <row r="376" spans="2:54">
      <c r="B376"/>
      <c r="C376"/>
      <c r="D376"/>
      <c r="Q376"/>
      <c r="AQ376" s="20"/>
      <c r="BB376"/>
    </row>
    <row r="377" spans="2:54">
      <c r="B377"/>
      <c r="C377"/>
      <c r="D377"/>
      <c r="Q377"/>
      <c r="AQ377" s="20"/>
      <c r="BB377"/>
    </row>
    <row r="378" spans="2:54">
      <c r="B378"/>
      <c r="C378"/>
      <c r="D378"/>
      <c r="Q378"/>
      <c r="AQ378" s="20"/>
      <c r="BB378"/>
    </row>
    <row r="379" spans="2:54">
      <c r="B379"/>
      <c r="C379"/>
      <c r="D379"/>
      <c r="Q379"/>
      <c r="AQ379" s="20"/>
      <c r="BB379"/>
    </row>
    <row r="380" spans="2:54">
      <c r="B380"/>
      <c r="C380"/>
      <c r="D380"/>
      <c r="Q380"/>
      <c r="AQ380" s="20"/>
      <c r="BB380"/>
    </row>
    <row r="381" spans="2:54">
      <c r="B381"/>
      <c r="C381"/>
      <c r="D381"/>
      <c r="Q381"/>
      <c r="AQ381" s="20"/>
      <c r="BB381"/>
    </row>
    <row r="382" spans="2:54">
      <c r="B382"/>
      <c r="C382"/>
      <c r="D382"/>
      <c r="Q382"/>
      <c r="AQ382" s="20"/>
      <c r="BB382"/>
    </row>
    <row r="383" spans="2:54">
      <c r="B383"/>
      <c r="C383"/>
      <c r="D383"/>
      <c r="Q383"/>
      <c r="AQ383" s="20"/>
      <c r="BB383"/>
    </row>
    <row r="384" spans="2:54">
      <c r="B384"/>
      <c r="C384"/>
      <c r="D384"/>
      <c r="Q384"/>
      <c r="AQ384" s="20"/>
      <c r="BB384"/>
    </row>
    <row r="385" spans="2:54">
      <c r="B385"/>
      <c r="C385"/>
      <c r="D385"/>
      <c r="Q385"/>
      <c r="AQ385" s="20"/>
      <c r="BB385"/>
    </row>
    <row r="386" spans="2:54">
      <c r="B386"/>
      <c r="C386"/>
      <c r="D386"/>
      <c r="Q386"/>
      <c r="AQ386" s="20"/>
      <c r="BB386"/>
    </row>
    <row r="387" spans="2:54">
      <c r="B387"/>
      <c r="C387"/>
      <c r="D387"/>
      <c r="Q387"/>
      <c r="AQ387" s="20"/>
      <c r="BB387"/>
    </row>
    <row r="388" spans="2:54">
      <c r="B388"/>
      <c r="C388"/>
      <c r="D388"/>
      <c r="Q388"/>
      <c r="AQ388" s="20"/>
      <c r="BB388"/>
    </row>
    <row r="389" spans="2:54">
      <c r="B389"/>
      <c r="C389"/>
      <c r="D389"/>
      <c r="Q389"/>
      <c r="AQ389" s="20"/>
      <c r="BB389"/>
    </row>
    <row r="390" spans="2:54">
      <c r="B390"/>
      <c r="C390"/>
      <c r="D390"/>
      <c r="Q390"/>
      <c r="AQ390" s="20"/>
      <c r="BB390"/>
    </row>
    <row r="391" spans="2:54">
      <c r="B391"/>
      <c r="C391"/>
      <c r="D391"/>
      <c r="Q391"/>
      <c r="AQ391" s="20"/>
      <c r="BB391"/>
    </row>
    <row r="392" spans="2:54">
      <c r="B392"/>
      <c r="C392"/>
      <c r="D392"/>
      <c r="Q392"/>
      <c r="AQ392" s="20"/>
      <c r="BB392"/>
    </row>
    <row r="393" spans="2:54">
      <c r="B393"/>
      <c r="C393"/>
      <c r="D393"/>
      <c r="Q393"/>
      <c r="AQ393" s="20"/>
      <c r="BB393"/>
    </row>
    <row r="394" spans="2:54">
      <c r="B394"/>
      <c r="C394"/>
      <c r="D394"/>
      <c r="Q394"/>
      <c r="AQ394" s="20"/>
      <c r="BB394"/>
    </row>
    <row r="395" spans="2:54">
      <c r="B395"/>
      <c r="C395"/>
      <c r="D395"/>
      <c r="Q395"/>
      <c r="AQ395" s="20"/>
      <c r="BB395"/>
    </row>
    <row r="396" spans="2:54">
      <c r="B396"/>
      <c r="C396"/>
      <c r="D396"/>
      <c r="Q396"/>
      <c r="AQ396" s="20"/>
      <c r="BB396"/>
    </row>
    <row r="397" spans="2:54">
      <c r="B397"/>
      <c r="C397"/>
      <c r="D397"/>
      <c r="Q397"/>
      <c r="AQ397" s="20"/>
      <c r="BB397"/>
    </row>
    <row r="398" spans="2:54">
      <c r="B398"/>
      <c r="C398"/>
      <c r="D398"/>
      <c r="Q398"/>
      <c r="AQ398" s="20"/>
      <c r="BB398"/>
    </row>
    <row r="399" spans="2:54">
      <c r="B399"/>
      <c r="C399"/>
      <c r="D399"/>
      <c r="Q399"/>
      <c r="AQ399" s="20"/>
      <c r="BB399"/>
    </row>
    <row r="400" spans="2:54">
      <c r="B400"/>
      <c r="C400"/>
      <c r="D400"/>
      <c r="Q400"/>
      <c r="AQ400" s="20"/>
      <c r="BB400"/>
    </row>
    <row r="401" spans="2:54">
      <c r="B401"/>
      <c r="C401"/>
      <c r="D401"/>
      <c r="Q401"/>
      <c r="AQ401" s="20"/>
      <c r="BB401"/>
    </row>
    <row r="402" spans="2:54">
      <c r="B402"/>
      <c r="C402"/>
      <c r="D402"/>
      <c r="Q402"/>
      <c r="AQ402" s="20"/>
      <c r="BB402"/>
    </row>
    <row r="403" spans="2:54">
      <c r="B403"/>
      <c r="C403"/>
      <c r="D403"/>
      <c r="Q403"/>
      <c r="AQ403" s="20"/>
      <c r="BB403"/>
    </row>
    <row r="404" spans="2:54">
      <c r="B404"/>
      <c r="C404"/>
      <c r="D404"/>
      <c r="Q404"/>
      <c r="AQ404" s="20"/>
      <c r="BB404"/>
    </row>
    <row r="405" spans="2:54">
      <c r="B405"/>
      <c r="C405"/>
      <c r="D405"/>
      <c r="Q405"/>
      <c r="AQ405" s="20"/>
      <c r="BB405"/>
    </row>
    <row r="406" spans="2:54">
      <c r="B406"/>
      <c r="C406"/>
      <c r="D406"/>
      <c r="Q406"/>
      <c r="AQ406" s="20"/>
      <c r="BB406"/>
    </row>
    <row r="407" spans="2:54">
      <c r="B407"/>
      <c r="C407"/>
      <c r="D407"/>
      <c r="Q407"/>
      <c r="AQ407" s="20"/>
      <c r="BB407"/>
    </row>
    <row r="408" spans="2:54">
      <c r="B408"/>
      <c r="C408"/>
      <c r="D408"/>
      <c r="Q408"/>
      <c r="AQ408" s="20"/>
      <c r="BB408"/>
    </row>
    <row r="409" spans="2:54">
      <c r="B409"/>
      <c r="C409"/>
      <c r="D409"/>
      <c r="Q409"/>
      <c r="AQ409" s="20"/>
      <c r="BB409"/>
    </row>
    <row r="410" spans="2:54">
      <c r="B410"/>
      <c r="C410"/>
      <c r="D410"/>
      <c r="Q410"/>
      <c r="AQ410" s="20"/>
      <c r="BB410"/>
    </row>
    <row r="411" spans="2:54">
      <c r="B411"/>
      <c r="C411"/>
      <c r="D411"/>
      <c r="Q411"/>
      <c r="AQ411" s="20"/>
      <c r="BB411"/>
    </row>
    <row r="412" spans="2:54">
      <c r="B412"/>
      <c r="C412"/>
      <c r="D412"/>
      <c r="Q412"/>
      <c r="AQ412" s="20"/>
      <c r="BB412"/>
    </row>
    <row r="413" spans="2:54">
      <c r="B413"/>
      <c r="C413"/>
      <c r="D413"/>
      <c r="Q413"/>
      <c r="AQ413" s="20"/>
    </row>
    <row r="414" spans="2:54">
      <c r="B414"/>
      <c r="C414"/>
      <c r="D414"/>
      <c r="Q414"/>
      <c r="AQ414" s="20"/>
    </row>
    <row r="415" spans="2:54">
      <c r="B415"/>
      <c r="C415"/>
      <c r="D415"/>
      <c r="Q415"/>
      <c r="AQ415" s="20"/>
    </row>
    <row r="416" spans="2:54">
      <c r="B416"/>
      <c r="C416"/>
      <c r="D416"/>
      <c r="Q416"/>
      <c r="AQ416" s="20"/>
    </row>
    <row r="417" spans="2:43">
      <c r="B417"/>
      <c r="C417"/>
      <c r="D417"/>
      <c r="Q417"/>
      <c r="AQ417" s="20"/>
    </row>
    <row r="418" spans="2:43">
      <c r="B418"/>
      <c r="C418"/>
      <c r="D418"/>
      <c r="Q418"/>
      <c r="AQ418" s="20"/>
    </row>
    <row r="419" spans="2:43">
      <c r="B419"/>
      <c r="C419"/>
      <c r="D419"/>
      <c r="Q419"/>
      <c r="AQ419" s="20"/>
    </row>
    <row r="420" spans="2:43">
      <c r="B420"/>
      <c r="C420"/>
      <c r="D420"/>
      <c r="Q420"/>
      <c r="AQ420" s="20"/>
    </row>
    <row r="421" spans="2:43">
      <c r="B421"/>
      <c r="C421"/>
      <c r="D421"/>
      <c r="Q421"/>
      <c r="AQ421" s="20"/>
    </row>
    <row r="422" spans="2:43">
      <c r="B422"/>
      <c r="C422"/>
      <c r="D422"/>
      <c r="Q422"/>
      <c r="AQ422" s="20"/>
    </row>
    <row r="423" spans="2:43">
      <c r="B423"/>
      <c r="C423"/>
      <c r="D423"/>
      <c r="Q423"/>
      <c r="AQ423" s="20"/>
    </row>
    <row r="424" spans="2:43">
      <c r="B424"/>
      <c r="C424"/>
      <c r="D424"/>
      <c r="Q424"/>
      <c r="AQ424" s="20"/>
    </row>
    <row r="425" spans="2:43">
      <c r="B425"/>
      <c r="C425"/>
      <c r="D425"/>
      <c r="Q425"/>
      <c r="AQ425" s="20"/>
    </row>
    <row r="426" spans="2:43">
      <c r="B426"/>
      <c r="C426"/>
      <c r="D426"/>
      <c r="Q426"/>
      <c r="AQ426" s="20"/>
    </row>
    <row r="427" spans="2:43">
      <c r="B427"/>
      <c r="C427"/>
      <c r="D427"/>
      <c r="Q427"/>
      <c r="AQ427" s="20"/>
    </row>
    <row r="428" spans="2:43">
      <c r="B428"/>
      <c r="C428"/>
      <c r="D428"/>
      <c r="Q428"/>
      <c r="AQ428" s="20"/>
    </row>
    <row r="429" spans="2:43">
      <c r="B429"/>
      <c r="C429"/>
      <c r="D429"/>
      <c r="Q429"/>
      <c r="AQ429" s="20"/>
    </row>
    <row r="430" spans="2:43">
      <c r="B430"/>
      <c r="C430"/>
      <c r="D430"/>
      <c r="Q430"/>
      <c r="AQ430" s="20"/>
    </row>
    <row r="431" spans="2:43">
      <c r="B431"/>
      <c r="C431"/>
      <c r="D431"/>
      <c r="Q431"/>
      <c r="AQ431" s="20"/>
    </row>
    <row r="432" spans="2:43">
      <c r="B432"/>
      <c r="C432"/>
      <c r="D432"/>
      <c r="Q432"/>
      <c r="AQ432" s="20"/>
    </row>
    <row r="433" spans="2:43">
      <c r="B433"/>
      <c r="C433"/>
      <c r="D433"/>
      <c r="Q433"/>
      <c r="AQ433" s="20"/>
    </row>
    <row r="434" spans="2:43">
      <c r="B434"/>
      <c r="C434"/>
      <c r="D434"/>
      <c r="Q434"/>
      <c r="AQ434" s="20"/>
    </row>
    <row r="435" spans="2:43">
      <c r="B435"/>
      <c r="C435"/>
      <c r="D435"/>
      <c r="Q435"/>
      <c r="AQ435" s="20"/>
    </row>
    <row r="436" spans="2:43">
      <c r="B436"/>
      <c r="C436"/>
      <c r="D436"/>
      <c r="Q436"/>
      <c r="AQ436" s="20"/>
    </row>
    <row r="437" spans="2:43">
      <c r="B437"/>
      <c r="C437"/>
      <c r="D437"/>
      <c r="Q437"/>
      <c r="AQ437" s="20"/>
    </row>
    <row r="438" spans="2:43">
      <c r="B438"/>
      <c r="C438"/>
      <c r="D438"/>
      <c r="Q438"/>
      <c r="AQ438" s="20"/>
    </row>
    <row r="439" spans="2:43">
      <c r="B439"/>
      <c r="C439"/>
      <c r="D439"/>
      <c r="Q439"/>
      <c r="AQ439" s="20"/>
    </row>
    <row r="440" spans="2:43">
      <c r="B440"/>
      <c r="C440"/>
      <c r="D440"/>
      <c r="Q440"/>
      <c r="AQ440" s="20"/>
    </row>
    <row r="441" spans="2:43">
      <c r="B441"/>
      <c r="C441"/>
      <c r="D441"/>
      <c r="Q441"/>
      <c r="AQ441" s="20"/>
    </row>
    <row r="442" spans="2:43">
      <c r="B442"/>
      <c r="C442"/>
      <c r="D442"/>
      <c r="Q442"/>
      <c r="AQ442" s="20"/>
    </row>
    <row r="443" spans="2:43">
      <c r="B443"/>
      <c r="C443"/>
      <c r="D443"/>
      <c r="Q443"/>
      <c r="AQ443" s="20"/>
    </row>
    <row r="444" spans="2:43">
      <c r="B444"/>
      <c r="C444"/>
      <c r="D444"/>
      <c r="Q444"/>
      <c r="AQ444" s="20"/>
    </row>
    <row r="445" spans="2:43">
      <c r="B445"/>
      <c r="C445"/>
      <c r="D445"/>
      <c r="Q445"/>
      <c r="AQ445" s="20"/>
    </row>
    <row r="446" spans="2:43">
      <c r="B446"/>
      <c r="C446"/>
      <c r="D446"/>
      <c r="Q446"/>
      <c r="AQ446" s="20"/>
    </row>
    <row r="447" spans="2:43">
      <c r="B447"/>
      <c r="C447"/>
      <c r="D447"/>
      <c r="Q447"/>
      <c r="AQ447" s="20"/>
    </row>
    <row r="448" spans="2:43">
      <c r="B448"/>
      <c r="C448"/>
      <c r="D448"/>
      <c r="Q448"/>
      <c r="AQ448" s="20"/>
    </row>
    <row r="449" spans="2:43">
      <c r="B449"/>
      <c r="C449"/>
      <c r="D449"/>
      <c r="Q449"/>
      <c r="AQ449" s="20"/>
    </row>
    <row r="450" spans="2:43">
      <c r="B450"/>
      <c r="C450"/>
      <c r="D450"/>
      <c r="Q450"/>
      <c r="AQ450" s="20"/>
    </row>
    <row r="451" spans="2:43">
      <c r="B451"/>
      <c r="C451"/>
      <c r="D451"/>
      <c r="Q451"/>
      <c r="AQ451" s="20"/>
    </row>
    <row r="452" spans="2:43">
      <c r="B452"/>
      <c r="C452"/>
      <c r="D452"/>
      <c r="Q452"/>
      <c r="AQ452" s="20"/>
    </row>
    <row r="453" spans="2:43">
      <c r="B453"/>
      <c r="C453"/>
      <c r="D453"/>
      <c r="Q453"/>
      <c r="AQ453" s="20"/>
    </row>
    <row r="454" spans="2:43">
      <c r="B454"/>
      <c r="C454"/>
      <c r="D454"/>
      <c r="Q454"/>
      <c r="AQ454" s="20"/>
    </row>
    <row r="455" spans="2:43">
      <c r="B455"/>
      <c r="C455"/>
      <c r="D455"/>
      <c r="Q455"/>
      <c r="AQ455" s="20"/>
    </row>
    <row r="456" spans="2:43">
      <c r="B456"/>
      <c r="C456"/>
      <c r="D456"/>
      <c r="Q456"/>
      <c r="AQ456" s="20"/>
    </row>
    <row r="457" spans="2:43">
      <c r="B457"/>
      <c r="C457"/>
      <c r="D457"/>
      <c r="Q457"/>
      <c r="AQ457" s="20"/>
    </row>
    <row r="458" spans="2:43">
      <c r="B458"/>
      <c r="C458"/>
      <c r="D458"/>
      <c r="Q458"/>
      <c r="AQ458" s="20"/>
    </row>
    <row r="459" spans="2:43">
      <c r="B459"/>
      <c r="C459"/>
      <c r="D459"/>
      <c r="Q459"/>
      <c r="AQ459" s="20"/>
    </row>
    <row r="460" spans="2:43">
      <c r="B460"/>
      <c r="C460"/>
      <c r="D460"/>
      <c r="Q460"/>
      <c r="AQ460" s="20"/>
    </row>
    <row r="461" spans="2:43">
      <c r="B461"/>
      <c r="C461"/>
      <c r="D461"/>
      <c r="Q461"/>
      <c r="AQ461" s="20"/>
    </row>
    <row r="462" spans="2:43">
      <c r="B462"/>
      <c r="C462"/>
      <c r="D462"/>
      <c r="Q462"/>
      <c r="AQ462" s="20"/>
    </row>
    <row r="463" spans="2:43">
      <c r="B463"/>
      <c r="C463"/>
      <c r="D463"/>
      <c r="Q463"/>
      <c r="AQ463" s="20"/>
    </row>
    <row r="464" spans="2:43">
      <c r="B464"/>
      <c r="C464"/>
      <c r="D464"/>
      <c r="Q464"/>
      <c r="AQ464" s="20"/>
    </row>
    <row r="465" spans="2:43">
      <c r="B465"/>
      <c r="C465"/>
      <c r="D465"/>
      <c r="Q465"/>
      <c r="AQ465" s="20"/>
    </row>
    <row r="466" spans="2:43">
      <c r="B466"/>
      <c r="C466"/>
      <c r="D466"/>
      <c r="Q466"/>
      <c r="AQ466" s="20"/>
    </row>
    <row r="467" spans="2:43">
      <c r="B467"/>
      <c r="C467"/>
      <c r="D467"/>
      <c r="Q467"/>
      <c r="AQ467" s="20"/>
    </row>
    <row r="468" spans="2:43">
      <c r="B468"/>
      <c r="C468"/>
      <c r="D468"/>
      <c r="Q468"/>
      <c r="AQ468" s="20"/>
    </row>
    <row r="469" spans="2:43">
      <c r="B469"/>
      <c r="C469"/>
      <c r="D469"/>
      <c r="Q469"/>
      <c r="AQ469" s="20"/>
    </row>
    <row r="470" spans="2:43">
      <c r="B470"/>
      <c r="C470"/>
      <c r="D470"/>
      <c r="Q470"/>
      <c r="AQ470" s="20"/>
    </row>
    <row r="471" spans="2:43">
      <c r="B471"/>
      <c r="C471"/>
      <c r="D471"/>
      <c r="Q471"/>
      <c r="AQ471" s="20"/>
    </row>
    <row r="472" spans="2:43">
      <c r="B472"/>
      <c r="C472"/>
      <c r="D472"/>
      <c r="Q472"/>
      <c r="AQ472" s="20"/>
    </row>
    <row r="473" spans="2:43">
      <c r="B473"/>
      <c r="C473"/>
      <c r="D473"/>
      <c r="Q473"/>
      <c r="AQ473" s="20"/>
    </row>
    <row r="474" spans="2:43">
      <c r="B474"/>
      <c r="C474"/>
      <c r="D474"/>
      <c r="Q474"/>
      <c r="AQ474" s="20"/>
    </row>
    <row r="475" spans="2:43">
      <c r="B475"/>
      <c r="C475"/>
      <c r="D475"/>
      <c r="Q475"/>
      <c r="AQ475" s="20"/>
    </row>
    <row r="476" spans="2:43">
      <c r="B476"/>
      <c r="C476"/>
      <c r="D476"/>
      <c r="Q476"/>
      <c r="AQ476" s="20"/>
    </row>
    <row r="477" spans="2:43">
      <c r="B477"/>
      <c r="C477"/>
      <c r="D477"/>
      <c r="Q477"/>
      <c r="AQ477" s="20"/>
    </row>
    <row r="478" spans="2:43">
      <c r="B478"/>
      <c r="C478"/>
      <c r="D478"/>
      <c r="Q478"/>
      <c r="AQ478" s="20"/>
    </row>
    <row r="479" spans="2:43">
      <c r="B479"/>
      <c r="C479"/>
      <c r="D479"/>
      <c r="Q479"/>
      <c r="AQ479" s="20"/>
    </row>
    <row r="480" spans="2:43">
      <c r="B480"/>
      <c r="C480"/>
      <c r="D480"/>
      <c r="Q480"/>
      <c r="AQ480" s="20"/>
    </row>
    <row r="481" spans="2:43">
      <c r="B481"/>
      <c r="C481"/>
      <c r="D481"/>
      <c r="Q481"/>
      <c r="AQ481" s="20"/>
    </row>
    <row r="482" spans="2:43">
      <c r="B482"/>
      <c r="C482"/>
      <c r="D482"/>
      <c r="Q482"/>
      <c r="AQ482" s="20"/>
    </row>
    <row r="483" spans="2:43">
      <c r="B483"/>
      <c r="C483"/>
      <c r="D483"/>
      <c r="Q483"/>
      <c r="AQ483" s="20"/>
    </row>
    <row r="484" spans="2:43">
      <c r="B484"/>
      <c r="C484"/>
      <c r="D484"/>
      <c r="Q484"/>
      <c r="AQ484" s="20"/>
    </row>
    <row r="485" spans="2:43">
      <c r="B485"/>
      <c r="C485"/>
      <c r="D485"/>
      <c r="Q485"/>
      <c r="AQ485" s="20"/>
    </row>
    <row r="486" spans="2:43">
      <c r="B486"/>
      <c r="C486"/>
      <c r="D486"/>
      <c r="Q486"/>
      <c r="AQ486" s="20"/>
    </row>
    <row r="487" spans="2:43">
      <c r="B487"/>
      <c r="C487"/>
      <c r="D487"/>
      <c r="Q487"/>
      <c r="AQ487" s="20"/>
    </row>
    <row r="488" spans="2:43">
      <c r="B488"/>
      <c r="C488"/>
      <c r="D488"/>
      <c r="Q488"/>
      <c r="AQ488" s="20"/>
    </row>
    <row r="489" spans="2:43">
      <c r="B489"/>
      <c r="C489"/>
      <c r="D489"/>
      <c r="Q489"/>
      <c r="AQ489" s="20"/>
    </row>
    <row r="490" spans="2:43">
      <c r="B490"/>
      <c r="C490"/>
      <c r="D490"/>
      <c r="Q490"/>
      <c r="AQ490" s="20"/>
    </row>
    <row r="491" spans="2:43">
      <c r="B491"/>
      <c r="C491"/>
      <c r="D491"/>
      <c r="Q491"/>
      <c r="AQ491" s="20"/>
    </row>
    <row r="492" spans="2:43">
      <c r="B492"/>
      <c r="C492"/>
      <c r="D492"/>
      <c r="Q492"/>
      <c r="AQ492" s="20"/>
    </row>
    <row r="493" spans="2:43">
      <c r="B493"/>
      <c r="C493"/>
      <c r="D493"/>
      <c r="Q493"/>
      <c r="AQ493" s="20"/>
    </row>
    <row r="494" spans="2:43">
      <c r="B494"/>
      <c r="C494"/>
      <c r="D494"/>
      <c r="Q494"/>
      <c r="AQ494" s="20"/>
    </row>
    <row r="495" spans="2:43">
      <c r="B495"/>
      <c r="C495"/>
      <c r="D495"/>
      <c r="Q495"/>
      <c r="AQ495" s="20"/>
    </row>
    <row r="496" spans="2:43">
      <c r="B496"/>
      <c r="C496"/>
      <c r="D496"/>
      <c r="Q496"/>
      <c r="AQ496" s="20"/>
    </row>
    <row r="497" spans="2:43">
      <c r="B497"/>
      <c r="C497"/>
      <c r="D497"/>
      <c r="Q497"/>
      <c r="AQ497" s="20"/>
    </row>
    <row r="498" spans="2:43">
      <c r="B498"/>
      <c r="C498"/>
      <c r="D498"/>
      <c r="Q498"/>
      <c r="AQ498" s="20"/>
    </row>
    <row r="499" spans="2:43">
      <c r="B499"/>
      <c r="C499"/>
      <c r="D499"/>
      <c r="Q499"/>
      <c r="AQ499" s="20"/>
    </row>
    <row r="500" spans="2:43">
      <c r="B500"/>
      <c r="C500"/>
      <c r="D500"/>
      <c r="Q500"/>
      <c r="AQ500" s="20"/>
    </row>
    <row r="501" spans="2:43">
      <c r="B501"/>
      <c r="C501"/>
      <c r="D501"/>
      <c r="Q501"/>
      <c r="AQ501" s="20"/>
    </row>
    <row r="502" spans="2:43">
      <c r="B502"/>
      <c r="C502"/>
      <c r="D502"/>
      <c r="Q502"/>
      <c r="AQ502" s="20"/>
    </row>
    <row r="503" spans="2:43">
      <c r="B503"/>
      <c r="C503"/>
      <c r="D503"/>
      <c r="Q503"/>
      <c r="AQ503" s="20"/>
    </row>
    <row r="504" spans="2:43">
      <c r="B504"/>
      <c r="C504"/>
      <c r="D504"/>
      <c r="Q504"/>
      <c r="AQ504" s="20"/>
    </row>
    <row r="505" spans="2:43">
      <c r="B505"/>
      <c r="C505"/>
      <c r="D505"/>
      <c r="Q505"/>
      <c r="AQ505" s="20"/>
    </row>
    <row r="506" spans="2:43">
      <c r="B506"/>
      <c r="C506"/>
      <c r="D506"/>
      <c r="Q506"/>
      <c r="AQ506" s="20"/>
    </row>
    <row r="507" spans="2:43">
      <c r="B507"/>
      <c r="C507"/>
      <c r="D507"/>
      <c r="Q507"/>
      <c r="AQ507" s="20"/>
    </row>
    <row r="508" spans="2:43">
      <c r="B508"/>
      <c r="C508"/>
      <c r="D508"/>
      <c r="Q508"/>
      <c r="AQ508" s="20"/>
    </row>
    <row r="509" spans="2:43">
      <c r="B509"/>
      <c r="C509"/>
      <c r="D509"/>
      <c r="Q509"/>
      <c r="AQ509" s="20"/>
    </row>
    <row r="510" spans="2:43">
      <c r="B510"/>
      <c r="C510"/>
      <c r="D510"/>
      <c r="Q510"/>
      <c r="AQ510" s="20"/>
    </row>
    <row r="511" spans="2:43">
      <c r="B511"/>
      <c r="C511"/>
      <c r="D511"/>
      <c r="Q511"/>
      <c r="AQ511" s="20"/>
    </row>
    <row r="512" spans="2:43">
      <c r="B512"/>
      <c r="C512"/>
      <c r="D512"/>
      <c r="Q512"/>
      <c r="AQ512" s="20"/>
    </row>
    <row r="513" spans="2:43">
      <c r="B513"/>
      <c r="C513"/>
      <c r="D513"/>
      <c r="Q513"/>
      <c r="AQ513" s="20"/>
    </row>
    <row r="514" spans="2:43">
      <c r="B514"/>
      <c r="C514"/>
      <c r="D514"/>
      <c r="Q514"/>
      <c r="AQ514" s="20"/>
    </row>
    <row r="515" spans="2:43">
      <c r="B515"/>
      <c r="C515"/>
      <c r="D515"/>
      <c r="Q515"/>
      <c r="AQ515" s="20"/>
    </row>
    <row r="516" spans="2:43">
      <c r="B516"/>
      <c r="C516"/>
      <c r="D516"/>
      <c r="Q516"/>
      <c r="AQ516" s="20"/>
    </row>
    <row r="517" spans="2:43">
      <c r="B517"/>
      <c r="C517"/>
      <c r="D517"/>
      <c r="Q517"/>
      <c r="AQ517" s="20"/>
    </row>
    <row r="518" spans="2:43">
      <c r="B518"/>
      <c r="C518"/>
      <c r="D518"/>
      <c r="Q518"/>
      <c r="AQ518" s="20"/>
    </row>
    <row r="519" spans="2:43">
      <c r="B519"/>
      <c r="C519"/>
      <c r="D519"/>
      <c r="Q519"/>
      <c r="AQ519" s="20"/>
    </row>
    <row r="520" spans="2:43">
      <c r="B520"/>
      <c r="C520"/>
      <c r="D520"/>
      <c r="Q520"/>
      <c r="AQ520" s="20"/>
    </row>
    <row r="521" spans="2:43">
      <c r="B521"/>
      <c r="C521"/>
      <c r="D521"/>
      <c r="Q521"/>
      <c r="AQ521" s="20"/>
    </row>
    <row r="522" spans="2:43">
      <c r="B522"/>
      <c r="C522"/>
      <c r="D522"/>
      <c r="Q522"/>
      <c r="AQ522" s="20"/>
    </row>
    <row r="523" spans="2:43">
      <c r="B523"/>
      <c r="C523"/>
      <c r="D523"/>
      <c r="Q523"/>
      <c r="AQ523" s="20"/>
    </row>
    <row r="524" spans="2:43">
      <c r="B524"/>
      <c r="C524"/>
      <c r="D524"/>
      <c r="Q524"/>
      <c r="AQ524" s="20"/>
    </row>
    <row r="525" spans="2:43">
      <c r="B525"/>
      <c r="C525"/>
      <c r="D525"/>
      <c r="Q525"/>
      <c r="AQ525" s="20"/>
    </row>
    <row r="526" spans="2:43">
      <c r="B526"/>
      <c r="C526"/>
      <c r="D526"/>
      <c r="Q526"/>
      <c r="AQ526" s="20"/>
    </row>
    <row r="527" spans="2:43">
      <c r="B527"/>
      <c r="C527"/>
      <c r="D527"/>
      <c r="Q527"/>
      <c r="AQ527" s="20"/>
    </row>
    <row r="528" spans="2:43">
      <c r="B528"/>
      <c r="C528"/>
      <c r="D528"/>
      <c r="Q528"/>
      <c r="AQ528" s="20"/>
    </row>
    <row r="529" spans="2:43">
      <c r="B529"/>
      <c r="C529"/>
      <c r="D529"/>
      <c r="Q529"/>
      <c r="AQ529" s="20"/>
    </row>
    <row r="530" spans="2:43">
      <c r="B530"/>
      <c r="C530"/>
      <c r="D530"/>
      <c r="Q530"/>
      <c r="AQ530" s="20"/>
    </row>
    <row r="531" spans="2:43">
      <c r="B531"/>
      <c r="C531"/>
      <c r="D531"/>
      <c r="Q531"/>
      <c r="AQ531" s="20"/>
    </row>
    <row r="532" spans="2:43">
      <c r="B532"/>
      <c r="C532"/>
      <c r="D532"/>
      <c r="Q532"/>
      <c r="AQ532" s="20"/>
    </row>
    <row r="533" spans="2:43">
      <c r="B533"/>
      <c r="C533"/>
      <c r="D533"/>
      <c r="Q533"/>
      <c r="AQ533" s="20"/>
    </row>
    <row r="534" spans="2:43">
      <c r="B534"/>
      <c r="C534"/>
      <c r="D534"/>
      <c r="Q534"/>
      <c r="AQ534" s="20"/>
    </row>
    <row r="535" spans="2:43">
      <c r="B535"/>
      <c r="C535"/>
      <c r="D535"/>
      <c r="Q535"/>
      <c r="AQ535" s="20"/>
    </row>
    <row r="536" spans="2:43">
      <c r="B536"/>
      <c r="C536"/>
      <c r="D536"/>
      <c r="Q536"/>
      <c r="AQ536" s="20"/>
    </row>
    <row r="537" spans="2:43">
      <c r="B537"/>
      <c r="C537"/>
      <c r="D537"/>
      <c r="Q537"/>
      <c r="AQ537" s="20"/>
    </row>
    <row r="538" spans="2:43">
      <c r="B538"/>
      <c r="C538"/>
      <c r="D538"/>
      <c r="Q538"/>
      <c r="AQ538" s="20"/>
    </row>
    <row r="539" spans="2:43">
      <c r="B539"/>
      <c r="C539"/>
      <c r="D539"/>
      <c r="Q539"/>
      <c r="AQ539" s="20"/>
    </row>
    <row r="540" spans="2:43">
      <c r="B540"/>
      <c r="C540"/>
      <c r="D540"/>
      <c r="Q540"/>
      <c r="AQ540" s="20"/>
    </row>
    <row r="541" spans="2:43">
      <c r="B541"/>
      <c r="C541"/>
      <c r="D541"/>
      <c r="Q541"/>
      <c r="AQ541" s="20"/>
    </row>
    <row r="542" spans="2:43">
      <c r="B542"/>
      <c r="C542"/>
      <c r="D542"/>
      <c r="Q542"/>
      <c r="AQ542" s="20"/>
    </row>
    <row r="543" spans="2:43">
      <c r="B543"/>
      <c r="C543"/>
      <c r="D543"/>
      <c r="Q543"/>
      <c r="AQ543" s="20"/>
    </row>
    <row r="544" spans="2:43">
      <c r="B544"/>
      <c r="C544"/>
      <c r="D544"/>
      <c r="Q544"/>
      <c r="AQ544" s="20"/>
    </row>
    <row r="545" spans="2:43">
      <c r="B545"/>
      <c r="C545"/>
      <c r="D545"/>
      <c r="Q545"/>
      <c r="AQ545" s="20"/>
    </row>
    <row r="546" spans="2:43">
      <c r="B546"/>
      <c r="C546"/>
      <c r="D546"/>
      <c r="Q546"/>
      <c r="AQ546" s="20"/>
    </row>
    <row r="547" spans="2:43">
      <c r="B547"/>
      <c r="C547"/>
      <c r="D547"/>
      <c r="Q547"/>
      <c r="AQ547" s="20"/>
    </row>
    <row r="548" spans="2:43">
      <c r="B548"/>
      <c r="C548"/>
      <c r="D548"/>
      <c r="Q548"/>
      <c r="AQ548" s="20"/>
    </row>
    <row r="549" spans="2:43">
      <c r="B549"/>
      <c r="C549"/>
      <c r="D549"/>
      <c r="Q549"/>
      <c r="AQ549" s="20"/>
    </row>
    <row r="550" spans="2:43">
      <c r="B550"/>
      <c r="C550"/>
      <c r="D550"/>
      <c r="Q550"/>
      <c r="AQ550" s="20"/>
    </row>
    <row r="551" spans="2:43">
      <c r="B551"/>
      <c r="C551"/>
      <c r="D551"/>
      <c r="Q551"/>
      <c r="AQ551" s="20"/>
    </row>
    <row r="552" spans="2:43">
      <c r="B552"/>
      <c r="C552"/>
      <c r="D552"/>
      <c r="Q552"/>
      <c r="AQ552" s="20"/>
    </row>
    <row r="553" spans="2:43">
      <c r="B553"/>
      <c r="C553"/>
      <c r="D553"/>
      <c r="Q553"/>
      <c r="AQ553" s="20"/>
    </row>
    <row r="554" spans="2:43">
      <c r="B554"/>
      <c r="C554"/>
      <c r="D554"/>
      <c r="Q554"/>
      <c r="AQ554" s="20"/>
    </row>
    <row r="555" spans="2:43">
      <c r="B555"/>
      <c r="C555"/>
      <c r="D555"/>
      <c r="Q555"/>
      <c r="AQ555" s="20"/>
    </row>
    <row r="556" spans="2:43">
      <c r="B556"/>
      <c r="C556"/>
      <c r="D556"/>
      <c r="Q556"/>
      <c r="AQ556" s="20"/>
    </row>
    <row r="557" spans="2:43">
      <c r="B557"/>
      <c r="C557"/>
      <c r="D557"/>
      <c r="Q557"/>
      <c r="AQ557" s="20"/>
    </row>
    <row r="558" spans="2:43">
      <c r="B558"/>
      <c r="C558"/>
      <c r="D558"/>
      <c r="Q558"/>
      <c r="AQ558" s="20"/>
    </row>
    <row r="559" spans="2:43">
      <c r="B559"/>
      <c r="C559"/>
      <c r="D559"/>
      <c r="Q559"/>
      <c r="AQ559" s="20"/>
    </row>
    <row r="560" spans="2:43">
      <c r="B560"/>
      <c r="C560"/>
      <c r="D560"/>
      <c r="Q560"/>
      <c r="AQ560" s="20"/>
    </row>
    <row r="561" spans="2:43">
      <c r="B561"/>
      <c r="C561"/>
      <c r="D561"/>
      <c r="Q561"/>
      <c r="AQ561" s="20"/>
    </row>
    <row r="562" spans="2:43">
      <c r="B562"/>
      <c r="C562"/>
      <c r="D562"/>
      <c r="Q562"/>
      <c r="AQ562" s="20"/>
    </row>
    <row r="563" spans="2:43">
      <c r="B563"/>
      <c r="C563"/>
      <c r="D563"/>
      <c r="Q563"/>
      <c r="AQ563" s="20"/>
    </row>
    <row r="564" spans="2:43">
      <c r="B564"/>
      <c r="C564"/>
      <c r="D564"/>
      <c r="Q564"/>
      <c r="AQ564" s="20"/>
    </row>
    <row r="565" spans="2:43">
      <c r="B565"/>
      <c r="C565"/>
      <c r="D565"/>
      <c r="Q565"/>
      <c r="AQ565" s="20"/>
    </row>
    <row r="566" spans="2:43">
      <c r="B566"/>
      <c r="C566"/>
      <c r="D566"/>
      <c r="Q566"/>
      <c r="AQ566" s="20"/>
    </row>
    <row r="567" spans="2:43">
      <c r="B567"/>
      <c r="C567"/>
      <c r="D567"/>
      <c r="Q567"/>
      <c r="AQ567" s="20"/>
    </row>
    <row r="568" spans="2:43">
      <c r="B568"/>
      <c r="C568"/>
      <c r="D568"/>
      <c r="Q568"/>
      <c r="AQ568" s="20"/>
    </row>
    <row r="569" spans="2:43">
      <c r="B569"/>
      <c r="C569"/>
      <c r="D569"/>
      <c r="Q569"/>
      <c r="AQ569" s="20"/>
    </row>
    <row r="570" spans="2:43">
      <c r="B570"/>
      <c r="C570"/>
      <c r="D570"/>
      <c r="Q570"/>
      <c r="AQ570" s="20"/>
    </row>
    <row r="571" spans="2:43">
      <c r="B571"/>
      <c r="C571"/>
      <c r="D571"/>
      <c r="Q571"/>
      <c r="AQ571" s="20"/>
    </row>
    <row r="572" spans="2:43">
      <c r="B572"/>
      <c r="C572"/>
      <c r="D572"/>
      <c r="Q572"/>
      <c r="AQ572" s="20"/>
    </row>
    <row r="573" spans="2:43">
      <c r="B573"/>
      <c r="C573"/>
      <c r="D573"/>
      <c r="Q573"/>
      <c r="AQ573" s="20"/>
    </row>
    <row r="574" spans="2:43">
      <c r="B574"/>
      <c r="C574"/>
      <c r="D574"/>
      <c r="Q574"/>
      <c r="AQ574" s="20"/>
    </row>
    <row r="575" spans="2:43">
      <c r="B575"/>
      <c r="C575"/>
      <c r="D575"/>
      <c r="Q575"/>
      <c r="AQ575" s="20"/>
    </row>
    <row r="576" spans="2:43">
      <c r="B576"/>
      <c r="C576"/>
      <c r="D576"/>
      <c r="Q576"/>
      <c r="AQ576" s="20"/>
    </row>
    <row r="577" spans="2:43">
      <c r="B577"/>
      <c r="C577"/>
      <c r="D577"/>
      <c r="Q577"/>
      <c r="AQ577" s="20"/>
    </row>
    <row r="578" spans="2:43">
      <c r="B578"/>
      <c r="C578"/>
      <c r="D578"/>
      <c r="Q578"/>
      <c r="AQ578" s="20"/>
    </row>
    <row r="579" spans="2:43">
      <c r="B579"/>
      <c r="C579"/>
      <c r="D579"/>
      <c r="Q579"/>
      <c r="AQ579" s="20"/>
    </row>
    <row r="580" spans="2:43">
      <c r="B580"/>
      <c r="C580"/>
      <c r="D580"/>
      <c r="Q580"/>
      <c r="AQ580" s="20"/>
    </row>
    <row r="581" spans="2:43">
      <c r="B581"/>
      <c r="C581"/>
      <c r="D581"/>
      <c r="Q581"/>
      <c r="AQ581" s="20"/>
    </row>
    <row r="582" spans="2:43">
      <c r="B582"/>
      <c r="C582"/>
      <c r="D582"/>
      <c r="Q582"/>
      <c r="AQ582" s="20"/>
    </row>
    <row r="583" spans="2:43">
      <c r="B583"/>
      <c r="C583"/>
      <c r="D583"/>
      <c r="Q583"/>
      <c r="AQ583" s="20"/>
    </row>
    <row r="584" spans="2:43">
      <c r="B584"/>
      <c r="C584"/>
      <c r="D584"/>
      <c r="Q584"/>
      <c r="AQ584" s="20"/>
    </row>
    <row r="585" spans="2:43">
      <c r="B585"/>
      <c r="C585"/>
      <c r="D585"/>
      <c r="Q585"/>
      <c r="AQ585" s="20"/>
    </row>
    <row r="586" spans="2:43">
      <c r="B586"/>
      <c r="C586"/>
      <c r="D586"/>
      <c r="Q586"/>
      <c r="AQ586" s="20"/>
    </row>
    <row r="587" spans="2:43">
      <c r="B587"/>
      <c r="C587"/>
      <c r="D587"/>
      <c r="Q587"/>
      <c r="AQ587" s="20"/>
    </row>
    <row r="588" spans="2:43">
      <c r="B588"/>
      <c r="C588"/>
      <c r="D588"/>
      <c r="Q588"/>
      <c r="AQ588" s="20"/>
    </row>
    <row r="589" spans="2:43">
      <c r="B589"/>
      <c r="C589"/>
      <c r="D589"/>
      <c r="Q589"/>
      <c r="AQ589" s="20"/>
    </row>
    <row r="590" spans="2:43">
      <c r="B590"/>
      <c r="C590"/>
      <c r="D590"/>
      <c r="Q590"/>
      <c r="AQ590" s="20"/>
    </row>
    <row r="591" spans="2:43">
      <c r="B591"/>
      <c r="C591"/>
      <c r="D591"/>
      <c r="Q591"/>
      <c r="AQ591" s="20"/>
    </row>
    <row r="592" spans="2:43">
      <c r="B592"/>
      <c r="C592"/>
      <c r="D592"/>
      <c r="Q592"/>
      <c r="AQ592" s="20"/>
    </row>
    <row r="593" spans="2:43">
      <c r="B593"/>
      <c r="C593"/>
      <c r="D593"/>
      <c r="Q593"/>
      <c r="AQ593" s="20"/>
    </row>
    <row r="594" spans="2:43">
      <c r="B594"/>
      <c r="C594"/>
      <c r="D594"/>
      <c r="Q594"/>
      <c r="AQ594" s="20"/>
    </row>
    <row r="595" spans="2:43">
      <c r="B595"/>
      <c r="C595"/>
      <c r="D595"/>
      <c r="Q595"/>
      <c r="AQ595" s="20"/>
    </row>
    <row r="596" spans="2:43">
      <c r="B596"/>
      <c r="C596"/>
      <c r="D596"/>
      <c r="Q596"/>
      <c r="AQ596" s="20"/>
    </row>
    <row r="597" spans="2:43">
      <c r="B597"/>
      <c r="C597"/>
      <c r="D597"/>
      <c r="Q597"/>
      <c r="AQ597" s="20"/>
    </row>
    <row r="598" spans="2:43">
      <c r="B598"/>
      <c r="C598"/>
      <c r="D598"/>
      <c r="Q598"/>
      <c r="AQ598" s="20"/>
    </row>
    <row r="599" spans="2:43">
      <c r="B599"/>
      <c r="C599"/>
      <c r="D599"/>
      <c r="Q599"/>
      <c r="AQ599" s="20"/>
    </row>
    <row r="600" spans="2:43">
      <c r="B600"/>
      <c r="C600"/>
      <c r="D600"/>
      <c r="Q600"/>
      <c r="AQ600" s="20"/>
    </row>
    <row r="601" spans="2:43">
      <c r="B601"/>
      <c r="C601"/>
      <c r="D601"/>
      <c r="Q601"/>
      <c r="AQ601" s="20"/>
    </row>
    <row r="602" spans="2:43">
      <c r="B602"/>
      <c r="C602"/>
      <c r="D602"/>
      <c r="Q602"/>
      <c r="AQ602" s="20"/>
    </row>
    <row r="603" spans="2:43">
      <c r="B603"/>
      <c r="C603"/>
      <c r="D603"/>
      <c r="Q603"/>
      <c r="AQ603" s="20"/>
    </row>
    <row r="604" spans="2:43">
      <c r="B604"/>
      <c r="C604"/>
      <c r="D604"/>
      <c r="Q604"/>
      <c r="AQ604" s="20"/>
    </row>
    <row r="605" spans="2:43">
      <c r="B605"/>
      <c r="C605"/>
      <c r="D605"/>
      <c r="Q605"/>
      <c r="AQ605" s="20"/>
    </row>
    <row r="606" spans="2:43">
      <c r="B606"/>
      <c r="C606"/>
      <c r="D606"/>
      <c r="Q606"/>
      <c r="AQ606" s="20"/>
    </row>
    <row r="607" spans="2:43">
      <c r="B607"/>
      <c r="C607"/>
      <c r="D607"/>
      <c r="Q607"/>
      <c r="AQ607" s="20"/>
    </row>
    <row r="608" spans="2:43">
      <c r="B608"/>
      <c r="C608"/>
      <c r="D608"/>
      <c r="Q608"/>
      <c r="AQ608" s="20"/>
    </row>
    <row r="609" spans="2:43">
      <c r="B609"/>
      <c r="C609"/>
      <c r="D609"/>
      <c r="Q609"/>
      <c r="AQ609" s="20"/>
    </row>
    <row r="610" spans="2:43">
      <c r="B610"/>
      <c r="C610"/>
      <c r="D610"/>
      <c r="Q610"/>
      <c r="AQ610" s="20"/>
    </row>
    <row r="611" spans="2:43">
      <c r="B611"/>
      <c r="C611"/>
      <c r="D611"/>
      <c r="Q611"/>
      <c r="AQ611" s="20"/>
    </row>
    <row r="612" spans="2:43">
      <c r="B612"/>
      <c r="C612"/>
      <c r="D612"/>
      <c r="Q612"/>
      <c r="AQ612" s="20"/>
    </row>
    <row r="613" spans="2:43">
      <c r="B613"/>
      <c r="C613"/>
      <c r="D613"/>
      <c r="Q613"/>
      <c r="AQ613" s="20"/>
    </row>
    <row r="614" spans="2:43">
      <c r="B614"/>
      <c r="C614"/>
      <c r="D614"/>
      <c r="Q614"/>
      <c r="AQ614" s="20"/>
    </row>
    <row r="615" spans="2:43">
      <c r="B615"/>
      <c r="C615"/>
      <c r="D615"/>
      <c r="Q615"/>
      <c r="AQ615" s="20"/>
    </row>
    <row r="616" spans="2:43">
      <c r="B616"/>
      <c r="C616"/>
      <c r="D616"/>
      <c r="Q616"/>
      <c r="AQ616" s="20"/>
    </row>
    <row r="617" spans="2:43">
      <c r="B617"/>
      <c r="C617"/>
      <c r="D617"/>
      <c r="Q617"/>
      <c r="AQ617" s="20"/>
    </row>
    <row r="618" spans="2:43">
      <c r="B618"/>
      <c r="C618"/>
      <c r="D618"/>
      <c r="Q618"/>
      <c r="AQ618" s="20"/>
    </row>
    <row r="619" spans="2:43">
      <c r="B619"/>
      <c r="C619"/>
      <c r="D619"/>
      <c r="Q619"/>
      <c r="AQ619" s="20"/>
    </row>
    <row r="620" spans="2:43">
      <c r="B620"/>
      <c r="C620"/>
      <c r="D620"/>
      <c r="Q620"/>
      <c r="AQ620" s="20"/>
    </row>
    <row r="621" spans="2:43">
      <c r="B621"/>
      <c r="C621"/>
      <c r="D621"/>
      <c r="Q621"/>
      <c r="AQ621" s="20"/>
    </row>
    <row r="622" spans="2:43">
      <c r="B622"/>
      <c r="C622"/>
      <c r="D622"/>
      <c r="Q622"/>
      <c r="AQ622" s="20"/>
    </row>
    <row r="623" spans="2:43">
      <c r="B623"/>
      <c r="C623"/>
      <c r="D623"/>
      <c r="Q623"/>
      <c r="AQ623" s="20"/>
    </row>
    <row r="624" spans="2:43">
      <c r="B624"/>
      <c r="C624"/>
      <c r="D624"/>
      <c r="Q624"/>
      <c r="AQ624" s="20"/>
    </row>
    <row r="625" spans="2:43">
      <c r="B625"/>
      <c r="C625"/>
      <c r="D625"/>
      <c r="Q625"/>
      <c r="AQ625" s="20"/>
    </row>
    <row r="626" spans="2:43">
      <c r="B626"/>
      <c r="C626"/>
      <c r="D626"/>
      <c r="Q626"/>
      <c r="AQ626" s="20"/>
    </row>
    <row r="627" spans="2:43">
      <c r="B627"/>
      <c r="C627"/>
      <c r="D627"/>
      <c r="Q627"/>
      <c r="AQ627" s="20"/>
    </row>
    <row r="628" spans="2:43">
      <c r="B628"/>
      <c r="C628"/>
      <c r="D628"/>
      <c r="Q628"/>
      <c r="AQ628" s="20"/>
    </row>
    <row r="629" spans="2:43">
      <c r="B629"/>
      <c r="C629"/>
      <c r="D629"/>
      <c r="Q629"/>
      <c r="AQ629" s="20"/>
    </row>
    <row r="630" spans="2:43">
      <c r="B630"/>
      <c r="C630"/>
      <c r="D630"/>
      <c r="Q630"/>
      <c r="AQ630" s="20"/>
    </row>
    <row r="631" spans="2:43">
      <c r="B631"/>
      <c r="C631"/>
      <c r="D631"/>
      <c r="Q631"/>
      <c r="AQ631" s="20"/>
    </row>
    <row r="632" spans="2:43">
      <c r="B632"/>
      <c r="C632"/>
      <c r="D632"/>
      <c r="Q632"/>
      <c r="AQ632" s="20"/>
    </row>
    <row r="633" spans="2:43">
      <c r="B633"/>
      <c r="C633"/>
      <c r="D633"/>
      <c r="Q633"/>
      <c r="AQ633" s="20"/>
    </row>
    <row r="634" spans="2:43">
      <c r="B634"/>
      <c r="C634"/>
      <c r="D634"/>
      <c r="Q634"/>
      <c r="AQ634" s="20"/>
    </row>
    <row r="635" spans="2:43">
      <c r="B635"/>
      <c r="C635"/>
      <c r="D635"/>
      <c r="Q635"/>
      <c r="AQ635" s="20"/>
    </row>
    <row r="636" spans="2:43">
      <c r="B636"/>
      <c r="C636"/>
      <c r="D636"/>
      <c r="Q636"/>
      <c r="AQ636" s="20"/>
    </row>
    <row r="637" spans="2:43">
      <c r="B637"/>
      <c r="C637"/>
      <c r="D637"/>
      <c r="Q637"/>
      <c r="AQ637" s="20"/>
    </row>
    <row r="638" spans="2:43">
      <c r="B638"/>
      <c r="C638"/>
      <c r="D638"/>
      <c r="Q638"/>
      <c r="AQ638" s="20"/>
    </row>
    <row r="639" spans="2:43">
      <c r="B639"/>
      <c r="C639"/>
      <c r="D639"/>
      <c r="Q639"/>
      <c r="AQ639" s="20"/>
    </row>
    <row r="640" spans="2:43">
      <c r="B640"/>
      <c r="C640"/>
      <c r="D640"/>
      <c r="Q640"/>
      <c r="AQ640" s="20"/>
    </row>
    <row r="641" spans="2:43">
      <c r="B641"/>
      <c r="C641"/>
      <c r="D641"/>
      <c r="Q641"/>
      <c r="AQ641" s="20"/>
    </row>
    <row r="642" spans="2:43">
      <c r="B642"/>
      <c r="C642"/>
      <c r="D642"/>
      <c r="Q642"/>
      <c r="AQ642" s="20"/>
    </row>
    <row r="643" spans="2:43">
      <c r="B643"/>
      <c r="C643"/>
      <c r="D643"/>
      <c r="Q643"/>
      <c r="AQ643" s="20"/>
    </row>
    <row r="644" spans="2:43">
      <c r="B644"/>
      <c r="C644"/>
      <c r="D644"/>
      <c r="Q644"/>
      <c r="AQ644" s="20"/>
    </row>
    <row r="645" spans="2:43">
      <c r="B645"/>
      <c r="C645"/>
      <c r="D645"/>
      <c r="Q645"/>
      <c r="AQ645" s="20"/>
    </row>
    <row r="646" spans="2:43">
      <c r="B646"/>
      <c r="C646"/>
      <c r="D646"/>
      <c r="Q646"/>
      <c r="AQ646" s="20"/>
    </row>
    <row r="647" spans="2:43">
      <c r="B647"/>
      <c r="C647"/>
      <c r="D647"/>
      <c r="Q647"/>
      <c r="AQ647" s="20"/>
    </row>
    <row r="648" spans="2:43">
      <c r="B648"/>
      <c r="C648"/>
      <c r="D648"/>
      <c r="Q648"/>
      <c r="AQ648" s="20"/>
    </row>
    <row r="649" spans="2:43">
      <c r="B649"/>
      <c r="C649"/>
      <c r="D649"/>
      <c r="Q649"/>
      <c r="AQ649" s="20"/>
    </row>
    <row r="650" spans="2:43">
      <c r="B650"/>
      <c r="C650"/>
      <c r="D650"/>
      <c r="Q650"/>
      <c r="AQ650" s="20"/>
    </row>
    <row r="651" spans="2:43">
      <c r="B651"/>
      <c r="C651"/>
      <c r="D651"/>
      <c r="Q651"/>
      <c r="AQ651" s="20"/>
    </row>
    <row r="652" spans="2:43">
      <c r="B652"/>
      <c r="C652"/>
      <c r="D652"/>
      <c r="Q652"/>
      <c r="AQ652" s="20"/>
    </row>
    <row r="653" spans="2:43">
      <c r="B653"/>
      <c r="C653"/>
      <c r="D653"/>
      <c r="Q653"/>
      <c r="AQ653" s="20"/>
    </row>
    <row r="654" spans="2:43">
      <c r="B654"/>
      <c r="C654"/>
      <c r="D654"/>
      <c r="Q654"/>
      <c r="AQ654" s="20"/>
    </row>
    <row r="655" spans="2:43">
      <c r="B655"/>
      <c r="C655"/>
      <c r="D655"/>
      <c r="Q655"/>
      <c r="AQ655" s="20"/>
    </row>
    <row r="656" spans="2:43">
      <c r="B656"/>
      <c r="C656"/>
      <c r="D656"/>
      <c r="Q656"/>
      <c r="AQ656" s="20"/>
    </row>
    <row r="657" spans="2:43">
      <c r="B657"/>
      <c r="C657"/>
      <c r="D657"/>
      <c r="Q657"/>
      <c r="AQ657" s="20"/>
    </row>
    <row r="658" spans="2:43">
      <c r="B658"/>
      <c r="C658"/>
      <c r="D658"/>
      <c r="Q658"/>
      <c r="AQ658" s="20"/>
    </row>
    <row r="659" spans="2:43">
      <c r="B659"/>
      <c r="C659"/>
      <c r="D659"/>
      <c r="Q659"/>
      <c r="AQ659" s="20"/>
    </row>
    <row r="660" spans="2:43">
      <c r="B660"/>
      <c r="C660"/>
      <c r="D660"/>
      <c r="Q660"/>
      <c r="AQ660" s="20"/>
    </row>
    <row r="661" spans="2:43">
      <c r="B661"/>
      <c r="C661"/>
      <c r="D661"/>
      <c r="Q661"/>
      <c r="AQ661" s="20"/>
    </row>
    <row r="662" spans="2:43">
      <c r="B662"/>
      <c r="C662"/>
      <c r="D662"/>
      <c r="Q662"/>
      <c r="AQ662" s="20"/>
    </row>
    <row r="663" spans="2:43">
      <c r="B663"/>
      <c r="C663"/>
      <c r="D663"/>
      <c r="Q663"/>
      <c r="AQ663" s="20"/>
    </row>
    <row r="664" spans="2:43">
      <c r="B664"/>
      <c r="C664"/>
      <c r="D664"/>
      <c r="Q664"/>
      <c r="AQ664" s="20"/>
    </row>
    <row r="665" spans="2:43">
      <c r="B665"/>
      <c r="C665"/>
      <c r="D665"/>
      <c r="Q665"/>
      <c r="AQ665" s="20"/>
    </row>
    <row r="666" spans="2:43">
      <c r="B666"/>
      <c r="C666"/>
      <c r="D666"/>
      <c r="Q666"/>
      <c r="AQ666" s="20"/>
    </row>
    <row r="667" spans="2:43">
      <c r="B667"/>
      <c r="C667"/>
      <c r="D667"/>
      <c r="Q667"/>
      <c r="AQ667" s="20"/>
    </row>
    <row r="668" spans="2:43">
      <c r="B668"/>
      <c r="C668"/>
      <c r="D668"/>
      <c r="Q668"/>
      <c r="AQ668" s="20"/>
    </row>
    <row r="669" spans="2:43">
      <c r="B669"/>
      <c r="C669"/>
      <c r="D669"/>
      <c r="Q669"/>
      <c r="AQ669" s="20"/>
    </row>
    <row r="670" spans="2:43">
      <c r="B670"/>
      <c r="C670"/>
      <c r="D670"/>
      <c r="Q670"/>
      <c r="AQ670" s="20"/>
    </row>
    <row r="671" spans="2:43">
      <c r="B671"/>
      <c r="C671"/>
      <c r="D671"/>
      <c r="Q671"/>
      <c r="AQ671" s="20"/>
    </row>
    <row r="672" spans="2:43">
      <c r="B672"/>
      <c r="C672"/>
      <c r="D672"/>
      <c r="Q672"/>
      <c r="AQ672" s="20"/>
    </row>
    <row r="673" spans="2:43">
      <c r="B673"/>
      <c r="C673"/>
      <c r="D673"/>
      <c r="Q673"/>
      <c r="AQ673" s="20"/>
    </row>
    <row r="674" spans="2:43">
      <c r="B674"/>
      <c r="C674"/>
      <c r="D674"/>
      <c r="Q674"/>
      <c r="AQ674" s="20"/>
    </row>
    <row r="675" spans="2:43">
      <c r="B675"/>
      <c r="C675"/>
      <c r="D675"/>
      <c r="Q675"/>
      <c r="AQ675" s="20"/>
    </row>
    <row r="676" spans="2:43">
      <c r="B676"/>
      <c r="C676"/>
      <c r="D676"/>
      <c r="Q676"/>
      <c r="AQ676" s="20"/>
    </row>
    <row r="677" spans="2:43">
      <c r="B677"/>
      <c r="C677"/>
      <c r="D677"/>
      <c r="Q677"/>
      <c r="AQ677" s="20"/>
    </row>
    <row r="678" spans="2:43">
      <c r="B678"/>
      <c r="C678"/>
      <c r="D678"/>
      <c r="Q678"/>
      <c r="AQ678" s="20"/>
    </row>
    <row r="679" spans="2:43">
      <c r="B679"/>
      <c r="C679"/>
      <c r="D679"/>
      <c r="Q679"/>
      <c r="AQ679" s="20"/>
    </row>
    <row r="680" spans="2:43">
      <c r="B680"/>
      <c r="C680"/>
      <c r="D680"/>
      <c r="Q680"/>
      <c r="AQ680" s="20"/>
    </row>
    <row r="681" spans="2:43">
      <c r="B681"/>
      <c r="C681"/>
      <c r="D681"/>
      <c r="Q681"/>
      <c r="AQ681" s="20"/>
    </row>
    <row r="682" spans="2:43">
      <c r="B682"/>
      <c r="C682"/>
      <c r="D682"/>
      <c r="Q682"/>
      <c r="AQ682" s="20"/>
    </row>
    <row r="683" spans="2:43">
      <c r="B683"/>
      <c r="C683"/>
      <c r="D683"/>
      <c r="Q683"/>
      <c r="AQ683" s="20"/>
    </row>
    <row r="684" spans="2:43">
      <c r="B684"/>
      <c r="C684"/>
      <c r="D684"/>
      <c r="Q684"/>
      <c r="AQ684" s="20"/>
    </row>
    <row r="685" spans="2:43">
      <c r="B685"/>
      <c r="C685"/>
      <c r="D685"/>
      <c r="Q685"/>
      <c r="AQ685" s="20"/>
    </row>
    <row r="686" spans="2:43">
      <c r="B686"/>
      <c r="C686"/>
      <c r="D686"/>
      <c r="Q686"/>
      <c r="AQ686" s="20"/>
    </row>
    <row r="687" spans="2:43">
      <c r="B687"/>
      <c r="C687"/>
      <c r="D687"/>
      <c r="Q687"/>
      <c r="AQ687" s="20"/>
    </row>
    <row r="688" spans="2:43">
      <c r="B688"/>
      <c r="C688"/>
      <c r="D688"/>
      <c r="Q688"/>
      <c r="AQ688" s="20"/>
    </row>
    <row r="689" spans="2:43">
      <c r="B689"/>
      <c r="C689"/>
      <c r="D689"/>
      <c r="Q689"/>
      <c r="AQ689" s="20"/>
    </row>
    <row r="690" spans="2:43">
      <c r="B690"/>
      <c r="C690"/>
      <c r="D690"/>
      <c r="Q690"/>
      <c r="AQ690" s="20"/>
    </row>
    <row r="691" spans="2:43">
      <c r="B691"/>
      <c r="C691"/>
      <c r="D691"/>
      <c r="Q691"/>
      <c r="AQ691" s="20"/>
    </row>
    <row r="692" spans="2:43">
      <c r="B692"/>
      <c r="C692"/>
      <c r="D692"/>
      <c r="Q692"/>
      <c r="AQ692" s="20"/>
    </row>
    <row r="693" spans="2:43">
      <c r="B693"/>
      <c r="C693"/>
      <c r="D693"/>
      <c r="Q693"/>
      <c r="AQ693" s="20"/>
    </row>
    <row r="694" spans="2:43">
      <c r="B694"/>
      <c r="C694"/>
      <c r="D694"/>
      <c r="Q694"/>
      <c r="AQ694" s="20"/>
    </row>
    <row r="695" spans="2:43">
      <c r="B695"/>
      <c r="C695"/>
      <c r="D695"/>
      <c r="Q695"/>
      <c r="AQ695" s="20"/>
    </row>
    <row r="696" spans="2:43">
      <c r="B696"/>
      <c r="C696"/>
      <c r="D696"/>
      <c r="Q696"/>
      <c r="AQ696" s="20"/>
    </row>
    <row r="697" spans="2:43">
      <c r="B697"/>
      <c r="C697"/>
      <c r="D697"/>
      <c r="Q697"/>
      <c r="AQ697" s="20"/>
    </row>
    <row r="698" spans="2:43">
      <c r="B698"/>
      <c r="C698"/>
      <c r="D698"/>
      <c r="Q698"/>
      <c r="AQ698" s="20"/>
    </row>
    <row r="699" spans="2:43">
      <c r="B699"/>
      <c r="C699"/>
      <c r="D699"/>
      <c r="Q699"/>
      <c r="AQ699" s="20"/>
    </row>
    <row r="700" spans="2:43">
      <c r="B700"/>
      <c r="C700"/>
      <c r="D700"/>
      <c r="Q700"/>
      <c r="AQ700" s="20"/>
    </row>
    <row r="701" spans="2:43">
      <c r="B701"/>
      <c r="C701"/>
      <c r="D701"/>
      <c r="Q701"/>
      <c r="AQ701" s="20"/>
    </row>
    <row r="702" spans="2:43">
      <c r="B702"/>
      <c r="C702"/>
      <c r="D702"/>
      <c r="Q702"/>
      <c r="AQ702" s="20"/>
    </row>
    <row r="703" spans="2:43">
      <c r="B703"/>
      <c r="C703"/>
      <c r="D703"/>
      <c r="Q703"/>
      <c r="AQ703" s="20"/>
    </row>
    <row r="704" spans="2:43">
      <c r="B704"/>
      <c r="C704"/>
      <c r="D704"/>
      <c r="Q704"/>
      <c r="AQ704" s="20"/>
    </row>
    <row r="705" spans="2:43">
      <c r="B705"/>
      <c r="C705"/>
      <c r="D705"/>
      <c r="Q705"/>
      <c r="AQ705" s="20"/>
    </row>
    <row r="706" spans="2:43">
      <c r="B706"/>
      <c r="C706"/>
      <c r="D706"/>
      <c r="Q706"/>
      <c r="AQ706" s="20"/>
    </row>
    <row r="707" spans="2:43">
      <c r="B707"/>
      <c r="C707"/>
      <c r="D707"/>
      <c r="Q707"/>
      <c r="AQ707" s="20"/>
    </row>
    <row r="708" spans="2:43">
      <c r="B708"/>
      <c r="C708"/>
      <c r="D708"/>
      <c r="Q708"/>
      <c r="AQ708" s="20"/>
    </row>
    <row r="709" spans="2:43">
      <c r="B709"/>
      <c r="C709"/>
      <c r="D709"/>
      <c r="Q709"/>
      <c r="AQ709" s="20"/>
    </row>
    <row r="710" spans="2:43">
      <c r="B710"/>
      <c r="C710"/>
      <c r="D710"/>
      <c r="Q710"/>
      <c r="AQ710" s="20"/>
    </row>
    <row r="711" spans="2:43">
      <c r="B711"/>
      <c r="C711"/>
      <c r="D711"/>
      <c r="Q711"/>
      <c r="AQ711" s="20"/>
    </row>
    <row r="712" spans="2:43">
      <c r="B712"/>
      <c r="C712"/>
      <c r="D712"/>
      <c r="Q712"/>
      <c r="AQ712" s="20"/>
    </row>
    <row r="713" spans="2:43">
      <c r="B713"/>
      <c r="C713"/>
      <c r="D713"/>
      <c r="Q713"/>
      <c r="AQ713" s="20"/>
    </row>
    <row r="714" spans="2:43">
      <c r="B714"/>
      <c r="C714"/>
      <c r="D714"/>
      <c r="Q714"/>
      <c r="AQ714" s="20"/>
    </row>
    <row r="715" spans="2:43">
      <c r="B715"/>
      <c r="C715"/>
      <c r="D715"/>
      <c r="Q715"/>
      <c r="AQ715" s="20"/>
    </row>
    <row r="716" spans="2:43">
      <c r="B716"/>
      <c r="C716"/>
      <c r="D716"/>
      <c r="Q716"/>
      <c r="AQ716" s="20"/>
    </row>
    <row r="717" spans="2:43">
      <c r="B717"/>
      <c r="C717"/>
      <c r="D717"/>
      <c r="Q717"/>
      <c r="AQ717" s="20"/>
    </row>
    <row r="718" spans="2:43">
      <c r="B718"/>
      <c r="C718"/>
      <c r="D718"/>
      <c r="Q718"/>
      <c r="AQ718" s="20"/>
    </row>
    <row r="719" spans="2:43">
      <c r="B719"/>
      <c r="C719"/>
      <c r="D719"/>
      <c r="Q719"/>
      <c r="AQ719" s="20"/>
    </row>
    <row r="720" spans="2:43">
      <c r="B720"/>
      <c r="C720"/>
      <c r="D720"/>
      <c r="Q720"/>
      <c r="AQ720" s="20"/>
    </row>
    <row r="721" spans="2:43">
      <c r="B721"/>
      <c r="C721"/>
      <c r="D721"/>
      <c r="Q721"/>
      <c r="AQ721" s="20"/>
    </row>
    <row r="722" spans="2:43">
      <c r="B722"/>
      <c r="C722"/>
      <c r="D722"/>
      <c r="Q722"/>
      <c r="AQ722" s="20"/>
    </row>
    <row r="723" spans="2:43">
      <c r="B723"/>
      <c r="C723"/>
      <c r="D723"/>
      <c r="Q723"/>
      <c r="AQ723" s="20"/>
    </row>
    <row r="724" spans="2:43">
      <c r="B724"/>
      <c r="C724"/>
      <c r="D724"/>
      <c r="Q724"/>
      <c r="AQ724" s="20"/>
    </row>
    <row r="725" spans="2:43">
      <c r="B725"/>
      <c r="C725"/>
      <c r="D725"/>
      <c r="Q725"/>
      <c r="AQ725" s="20"/>
    </row>
    <row r="726" spans="2:43">
      <c r="B726"/>
      <c r="C726"/>
      <c r="D726"/>
      <c r="Q726"/>
      <c r="AQ726" s="20"/>
    </row>
    <row r="727" spans="2:43">
      <c r="B727"/>
      <c r="C727"/>
      <c r="D727"/>
      <c r="Q727"/>
      <c r="AQ727" s="20"/>
    </row>
    <row r="728" spans="2:43">
      <c r="B728"/>
      <c r="C728"/>
      <c r="D728"/>
      <c r="Q728"/>
      <c r="AQ728" s="20"/>
    </row>
    <row r="729" spans="2:43">
      <c r="B729"/>
      <c r="C729"/>
      <c r="D729"/>
      <c r="Q729"/>
      <c r="AQ729" s="20"/>
    </row>
    <row r="730" spans="2:43">
      <c r="B730"/>
      <c r="C730"/>
      <c r="D730"/>
      <c r="Q730"/>
      <c r="AQ730" s="20"/>
    </row>
    <row r="731" spans="2:43">
      <c r="B731"/>
      <c r="C731"/>
      <c r="D731"/>
      <c r="Q731"/>
      <c r="AQ731" s="20"/>
    </row>
    <row r="732" spans="2:43">
      <c r="B732"/>
      <c r="C732"/>
      <c r="D732"/>
      <c r="Q732"/>
      <c r="AQ732" s="20"/>
    </row>
    <row r="733" spans="2:43">
      <c r="B733"/>
      <c r="C733"/>
      <c r="D733"/>
      <c r="Q733"/>
      <c r="AQ733" s="20"/>
    </row>
    <row r="734" spans="2:43">
      <c r="B734"/>
      <c r="C734"/>
      <c r="D734"/>
      <c r="Q734"/>
      <c r="AQ734" s="20"/>
    </row>
    <row r="735" spans="2:43">
      <c r="B735"/>
      <c r="C735"/>
      <c r="D735"/>
      <c r="Q735"/>
      <c r="AQ735" s="20"/>
    </row>
    <row r="736" spans="2:43">
      <c r="B736"/>
      <c r="C736"/>
      <c r="D736"/>
      <c r="Q736"/>
      <c r="AQ736" s="20"/>
    </row>
    <row r="737" spans="2:43">
      <c r="B737"/>
      <c r="C737"/>
      <c r="D737"/>
      <c r="Q737"/>
      <c r="AQ737" s="20"/>
    </row>
    <row r="738" spans="2:43">
      <c r="B738"/>
      <c r="C738"/>
      <c r="D738"/>
      <c r="Q738"/>
      <c r="AQ738" s="20"/>
    </row>
    <row r="739" spans="2:43">
      <c r="B739"/>
      <c r="C739"/>
      <c r="D739"/>
      <c r="Q739"/>
      <c r="AQ739" s="20"/>
    </row>
    <row r="740" spans="2:43">
      <c r="B740"/>
      <c r="C740"/>
      <c r="D740"/>
      <c r="Q740"/>
      <c r="AQ740" s="20"/>
    </row>
    <row r="741" spans="2:43">
      <c r="B741"/>
      <c r="C741"/>
      <c r="D741"/>
      <c r="Q741"/>
      <c r="AQ741" s="20"/>
    </row>
    <row r="742" spans="2:43">
      <c r="B742"/>
      <c r="C742"/>
      <c r="D742"/>
      <c r="Q742"/>
      <c r="AQ742" s="20"/>
    </row>
    <row r="743" spans="2:43">
      <c r="B743"/>
      <c r="C743"/>
      <c r="D743"/>
      <c r="Q743"/>
      <c r="AQ743" s="20"/>
    </row>
    <row r="744" spans="2:43">
      <c r="B744"/>
      <c r="C744"/>
      <c r="D744"/>
      <c r="Q744"/>
      <c r="AQ744" s="20"/>
    </row>
    <row r="745" spans="2:43">
      <c r="B745"/>
      <c r="C745"/>
      <c r="D745"/>
      <c r="Q745"/>
      <c r="AQ745" s="20"/>
    </row>
    <row r="746" spans="2:43">
      <c r="B746"/>
      <c r="C746"/>
      <c r="D746"/>
      <c r="Q746"/>
      <c r="AQ746" s="20"/>
    </row>
    <row r="747" spans="2:43">
      <c r="B747"/>
      <c r="C747"/>
      <c r="D747"/>
      <c r="Q747"/>
      <c r="AQ747" s="20"/>
    </row>
    <row r="748" spans="2:43">
      <c r="B748"/>
      <c r="C748"/>
      <c r="D748"/>
      <c r="Q748"/>
      <c r="AQ748" s="20"/>
    </row>
    <row r="749" spans="2:43">
      <c r="B749"/>
      <c r="C749"/>
      <c r="D749"/>
      <c r="Q749"/>
      <c r="AQ749" s="20"/>
    </row>
    <row r="750" spans="2:43">
      <c r="B750"/>
      <c r="C750"/>
      <c r="D750"/>
      <c r="Q750"/>
      <c r="AQ750" s="20"/>
    </row>
    <row r="751" spans="2:43">
      <c r="B751"/>
      <c r="C751"/>
      <c r="D751"/>
      <c r="Q751"/>
      <c r="AQ751" s="20"/>
    </row>
    <row r="752" spans="2:43">
      <c r="B752"/>
      <c r="C752"/>
      <c r="D752"/>
      <c r="Q752"/>
      <c r="AQ752" s="20"/>
    </row>
    <row r="753" spans="2:43">
      <c r="B753"/>
      <c r="C753"/>
      <c r="D753"/>
      <c r="Q753"/>
      <c r="AQ753" s="20"/>
    </row>
    <row r="754" spans="2:43">
      <c r="B754"/>
      <c r="C754"/>
      <c r="D754"/>
      <c r="Q754"/>
      <c r="AQ754" s="20"/>
    </row>
    <row r="755" spans="2:43">
      <c r="B755"/>
      <c r="C755"/>
      <c r="D755"/>
      <c r="Q755"/>
      <c r="AQ755" s="20"/>
    </row>
    <row r="756" spans="2:43">
      <c r="B756"/>
      <c r="C756"/>
      <c r="D756"/>
      <c r="Q756"/>
      <c r="AQ756" s="20"/>
    </row>
    <row r="757" spans="2:43">
      <c r="B757"/>
      <c r="C757"/>
      <c r="D757"/>
      <c r="Q757"/>
      <c r="AQ757" s="20"/>
    </row>
    <row r="758" spans="2:43">
      <c r="B758"/>
      <c r="C758"/>
      <c r="D758"/>
      <c r="Q758"/>
      <c r="AQ758" s="20"/>
    </row>
    <row r="759" spans="2:43">
      <c r="B759"/>
      <c r="C759"/>
      <c r="D759"/>
      <c r="Q759"/>
      <c r="AQ759" s="20"/>
    </row>
    <row r="760" spans="2:43">
      <c r="B760"/>
      <c r="C760"/>
      <c r="D760"/>
      <c r="Q760"/>
      <c r="AQ760" s="20"/>
    </row>
    <row r="761" spans="2:43">
      <c r="B761"/>
      <c r="C761"/>
      <c r="D761"/>
      <c r="Q761"/>
      <c r="AQ761" s="20"/>
    </row>
    <row r="762" spans="2:43">
      <c r="B762"/>
      <c r="C762"/>
      <c r="D762"/>
      <c r="Q762"/>
      <c r="AQ762" s="20"/>
    </row>
    <row r="763" spans="2:43">
      <c r="B763"/>
      <c r="C763"/>
      <c r="D763"/>
      <c r="Q763"/>
      <c r="AQ763" s="20"/>
    </row>
    <row r="764" spans="2:43">
      <c r="B764"/>
      <c r="C764"/>
      <c r="D764"/>
      <c r="Q764"/>
      <c r="AQ764" s="20"/>
    </row>
    <row r="765" spans="2:43">
      <c r="B765"/>
      <c r="C765"/>
      <c r="D765"/>
      <c r="Q765"/>
      <c r="AQ765" s="20"/>
    </row>
    <row r="766" spans="2:43">
      <c r="B766"/>
      <c r="C766"/>
      <c r="D766"/>
      <c r="Q766"/>
      <c r="AQ766" s="20"/>
    </row>
    <row r="767" spans="2:43">
      <c r="B767"/>
      <c r="C767"/>
      <c r="D767"/>
      <c r="Q767"/>
      <c r="AQ767" s="20"/>
    </row>
    <row r="768" spans="2:43">
      <c r="B768"/>
      <c r="C768"/>
      <c r="D768"/>
      <c r="Q768"/>
      <c r="AQ768" s="20"/>
    </row>
    <row r="769" spans="2:43">
      <c r="B769"/>
      <c r="C769"/>
      <c r="D769"/>
      <c r="Q769"/>
      <c r="AQ769" s="20"/>
    </row>
    <row r="770" spans="2:43">
      <c r="B770"/>
      <c r="C770"/>
      <c r="D770"/>
      <c r="Q770"/>
      <c r="AQ770" s="20"/>
    </row>
    <row r="771" spans="2:43">
      <c r="B771"/>
      <c r="C771"/>
      <c r="D771"/>
      <c r="Q771"/>
      <c r="AQ771" s="20"/>
    </row>
    <row r="772" spans="2:43">
      <c r="B772"/>
      <c r="C772"/>
      <c r="D772"/>
      <c r="Q772"/>
      <c r="AQ772" s="20"/>
    </row>
    <row r="773" spans="2:43">
      <c r="B773"/>
      <c r="C773"/>
      <c r="D773"/>
      <c r="Q773"/>
      <c r="AQ773" s="20"/>
    </row>
    <row r="774" spans="2:43">
      <c r="B774"/>
      <c r="C774"/>
      <c r="D774"/>
      <c r="Q774"/>
      <c r="AQ774" s="20"/>
    </row>
    <row r="775" spans="2:43">
      <c r="B775"/>
      <c r="C775"/>
      <c r="D775"/>
      <c r="Q775"/>
      <c r="AQ775" s="20"/>
    </row>
    <row r="776" spans="2:43">
      <c r="B776"/>
      <c r="C776"/>
      <c r="D776"/>
      <c r="Q776"/>
      <c r="AQ776" s="20"/>
    </row>
    <row r="777" spans="2:43">
      <c r="B777"/>
      <c r="C777"/>
      <c r="D777"/>
      <c r="Q777"/>
      <c r="AQ777" s="20"/>
    </row>
    <row r="778" spans="2:43">
      <c r="B778"/>
      <c r="C778"/>
      <c r="D778"/>
      <c r="Q778"/>
      <c r="AQ778" s="20"/>
    </row>
    <row r="779" spans="2:43">
      <c r="B779"/>
      <c r="C779"/>
      <c r="D779"/>
      <c r="Q779"/>
      <c r="AQ779" s="20"/>
    </row>
    <row r="780" spans="2:43">
      <c r="B780"/>
      <c r="C780"/>
      <c r="D780"/>
      <c r="Q780"/>
      <c r="AQ780" s="20"/>
    </row>
    <row r="781" spans="2:43">
      <c r="B781"/>
      <c r="C781"/>
      <c r="D781"/>
      <c r="Q781"/>
      <c r="AQ781" s="20"/>
    </row>
    <row r="782" spans="2:43">
      <c r="B782"/>
      <c r="C782"/>
      <c r="D782"/>
      <c r="Q782"/>
      <c r="AQ782" s="20"/>
    </row>
    <row r="783" spans="2:43">
      <c r="B783"/>
      <c r="C783"/>
      <c r="D783"/>
      <c r="Q783"/>
      <c r="AQ783" s="20"/>
    </row>
    <row r="784" spans="2:43">
      <c r="B784"/>
      <c r="C784"/>
      <c r="D784"/>
      <c r="Q784"/>
      <c r="AQ784" s="20"/>
    </row>
    <row r="785" spans="2:43">
      <c r="B785"/>
      <c r="C785"/>
      <c r="D785"/>
      <c r="Q785"/>
      <c r="AQ785" s="20"/>
    </row>
    <row r="786" spans="2:43">
      <c r="B786"/>
      <c r="C786"/>
      <c r="D786"/>
      <c r="Q786"/>
      <c r="AQ786" s="20"/>
    </row>
    <row r="787" spans="2:43">
      <c r="B787"/>
      <c r="C787"/>
      <c r="D787"/>
      <c r="Q787"/>
      <c r="AQ787" s="20"/>
    </row>
    <row r="788" spans="2:43">
      <c r="B788"/>
      <c r="C788"/>
      <c r="D788"/>
      <c r="Q788"/>
      <c r="AQ788" s="20"/>
    </row>
    <row r="789" spans="2:43">
      <c r="B789"/>
      <c r="C789"/>
      <c r="D789"/>
      <c r="Q789"/>
      <c r="AQ789" s="20"/>
    </row>
    <row r="790" spans="2:43">
      <c r="B790"/>
      <c r="C790"/>
      <c r="D790"/>
      <c r="Q790"/>
      <c r="AQ790" s="20"/>
    </row>
    <row r="791" spans="2:43">
      <c r="B791"/>
      <c r="C791"/>
      <c r="D791"/>
      <c r="Q791"/>
      <c r="AQ791" s="20"/>
    </row>
    <row r="792" spans="2:43">
      <c r="B792"/>
      <c r="C792"/>
      <c r="D792"/>
      <c r="Q792"/>
      <c r="AQ792" s="20"/>
    </row>
    <row r="793" spans="2:43">
      <c r="B793"/>
      <c r="C793"/>
      <c r="D793"/>
      <c r="Q793"/>
      <c r="AQ793" s="20"/>
    </row>
    <row r="794" spans="2:43">
      <c r="B794"/>
      <c r="C794"/>
      <c r="D794"/>
      <c r="Q794"/>
      <c r="AQ794" s="20"/>
    </row>
    <row r="795" spans="2:43">
      <c r="B795"/>
      <c r="C795"/>
      <c r="D795"/>
      <c r="Q795"/>
      <c r="AQ795" s="20"/>
    </row>
    <row r="796" spans="2:43">
      <c r="B796"/>
      <c r="C796"/>
      <c r="D796"/>
      <c r="Q796"/>
      <c r="AQ796" s="20"/>
    </row>
    <row r="797" spans="2:43">
      <c r="B797"/>
      <c r="C797"/>
      <c r="D797"/>
      <c r="Q797"/>
      <c r="AQ797" s="20"/>
    </row>
    <row r="798" spans="2:43">
      <c r="B798"/>
      <c r="C798"/>
      <c r="D798"/>
      <c r="Q798"/>
      <c r="AQ798" s="20"/>
    </row>
    <row r="799" spans="2:43">
      <c r="B799"/>
      <c r="C799"/>
      <c r="D799"/>
      <c r="Q799"/>
      <c r="AQ799" s="20"/>
    </row>
    <row r="800" spans="2:43">
      <c r="B800"/>
      <c r="C800"/>
      <c r="D800"/>
      <c r="Q800"/>
      <c r="AQ800" s="20"/>
    </row>
    <row r="801" spans="2:43">
      <c r="B801"/>
      <c r="C801"/>
      <c r="D801"/>
      <c r="Q801"/>
      <c r="AQ801" s="20"/>
    </row>
    <row r="802" spans="2:43">
      <c r="B802"/>
      <c r="C802"/>
      <c r="D802"/>
      <c r="Q802"/>
      <c r="AQ802" s="20"/>
    </row>
    <row r="803" spans="2:43">
      <c r="B803"/>
      <c r="C803"/>
      <c r="D803"/>
      <c r="Q803"/>
      <c r="AQ803" s="20"/>
    </row>
    <row r="804" spans="2:43">
      <c r="B804"/>
      <c r="C804"/>
      <c r="D804"/>
      <c r="Q804"/>
      <c r="AQ804" s="20"/>
    </row>
    <row r="805" spans="2:43">
      <c r="B805"/>
      <c r="C805"/>
      <c r="D805"/>
      <c r="Q805"/>
      <c r="AQ805" s="20"/>
    </row>
    <row r="806" spans="2:43">
      <c r="B806"/>
      <c r="C806"/>
      <c r="D806"/>
      <c r="Q806"/>
      <c r="AQ806" s="20"/>
    </row>
    <row r="807" spans="2:43">
      <c r="B807"/>
      <c r="C807"/>
      <c r="D807"/>
      <c r="Q807"/>
      <c r="AQ807" s="20"/>
    </row>
    <row r="808" spans="2:43">
      <c r="B808"/>
      <c r="C808"/>
      <c r="D808"/>
      <c r="Q808"/>
      <c r="AQ808" s="20"/>
    </row>
    <row r="809" spans="2:43">
      <c r="B809"/>
      <c r="C809"/>
      <c r="D809"/>
      <c r="Q809"/>
      <c r="AQ809" s="20"/>
    </row>
    <row r="810" spans="2:43">
      <c r="B810"/>
      <c r="C810"/>
      <c r="D810"/>
      <c r="Q810"/>
      <c r="AQ810" s="20"/>
    </row>
    <row r="811" spans="2:43">
      <c r="B811"/>
      <c r="C811"/>
      <c r="D811"/>
      <c r="Q811"/>
      <c r="AQ811" s="20"/>
    </row>
    <row r="812" spans="2:43">
      <c r="B812"/>
      <c r="C812"/>
      <c r="D812"/>
      <c r="Q812"/>
      <c r="AQ812" s="20"/>
    </row>
    <row r="813" spans="2:43">
      <c r="B813"/>
      <c r="C813"/>
      <c r="D813"/>
      <c r="Q813"/>
      <c r="AQ813" s="20"/>
    </row>
    <row r="814" spans="2:43">
      <c r="B814"/>
      <c r="C814"/>
      <c r="D814"/>
      <c r="Q814"/>
      <c r="AQ814" s="20"/>
    </row>
    <row r="815" spans="2:43">
      <c r="B815"/>
      <c r="C815"/>
      <c r="D815"/>
      <c r="Q815"/>
      <c r="AQ815" s="20"/>
    </row>
    <row r="816" spans="2:43">
      <c r="B816"/>
      <c r="C816"/>
      <c r="D816"/>
      <c r="Q816"/>
      <c r="AQ816" s="20"/>
    </row>
    <row r="817" spans="2:43">
      <c r="B817"/>
      <c r="C817"/>
      <c r="D817"/>
      <c r="Q817"/>
      <c r="AQ817" s="20"/>
    </row>
    <row r="818" spans="2:43">
      <c r="B818"/>
      <c r="C818"/>
      <c r="D818"/>
      <c r="Q818"/>
      <c r="AQ818" s="20"/>
    </row>
    <row r="819" spans="2:43">
      <c r="B819"/>
      <c r="C819"/>
      <c r="D819"/>
      <c r="Q819"/>
      <c r="AQ819" s="20"/>
    </row>
    <row r="820" spans="2:43">
      <c r="B820"/>
      <c r="C820"/>
      <c r="D820"/>
      <c r="Q820"/>
      <c r="AQ820" s="20"/>
    </row>
    <row r="821" spans="2:43">
      <c r="B821"/>
      <c r="C821"/>
      <c r="D821"/>
      <c r="Q821"/>
      <c r="AQ821" s="20"/>
    </row>
    <row r="822" spans="2:43">
      <c r="B822"/>
      <c r="C822"/>
      <c r="D822"/>
      <c r="Q822"/>
      <c r="AQ822" s="20"/>
    </row>
    <row r="823" spans="2:43">
      <c r="B823"/>
      <c r="C823"/>
      <c r="D823"/>
      <c r="Q823"/>
      <c r="AQ823" s="20"/>
    </row>
    <row r="824" spans="2:43">
      <c r="B824"/>
      <c r="C824"/>
      <c r="D824"/>
      <c r="Q824"/>
      <c r="AQ824" s="20"/>
    </row>
    <row r="825" spans="2:43">
      <c r="B825"/>
      <c r="C825"/>
      <c r="D825"/>
      <c r="Q825"/>
      <c r="AQ825" s="20"/>
    </row>
    <row r="826" spans="2:43">
      <c r="B826"/>
      <c r="C826"/>
      <c r="D826"/>
      <c r="Q826"/>
      <c r="AQ826" s="20"/>
    </row>
    <row r="827" spans="2:43">
      <c r="B827"/>
      <c r="C827"/>
      <c r="D827"/>
      <c r="Q827"/>
      <c r="AQ827" s="20"/>
    </row>
    <row r="828" spans="2:43">
      <c r="B828"/>
      <c r="C828"/>
      <c r="D828"/>
      <c r="Q828"/>
      <c r="AQ828" s="20"/>
    </row>
    <row r="829" spans="2:43">
      <c r="B829"/>
      <c r="C829"/>
      <c r="D829"/>
      <c r="Q829"/>
      <c r="AQ829" s="20"/>
    </row>
    <row r="830" spans="2:43">
      <c r="B830"/>
      <c r="C830"/>
      <c r="D830"/>
      <c r="Q830"/>
      <c r="AQ830" s="20"/>
    </row>
    <row r="831" spans="2:43">
      <c r="B831"/>
      <c r="C831"/>
      <c r="D831"/>
      <c r="Q831"/>
      <c r="AQ831" s="20"/>
    </row>
    <row r="832" spans="2:43">
      <c r="B832"/>
      <c r="C832"/>
      <c r="D832"/>
      <c r="Q832"/>
      <c r="AQ832" s="20"/>
    </row>
    <row r="833" spans="2:43">
      <c r="B833"/>
      <c r="C833"/>
      <c r="D833"/>
      <c r="Q833"/>
      <c r="AQ833" s="20"/>
    </row>
    <row r="834" spans="2:43">
      <c r="B834"/>
      <c r="C834"/>
      <c r="D834"/>
      <c r="Q834"/>
      <c r="AQ834" s="20"/>
    </row>
    <row r="835" spans="2:43">
      <c r="B835"/>
      <c r="C835"/>
      <c r="D835"/>
      <c r="Q835"/>
      <c r="AQ835" s="20"/>
    </row>
    <row r="836" spans="2:43">
      <c r="B836"/>
      <c r="C836"/>
      <c r="D836"/>
      <c r="Q836"/>
      <c r="AQ836" s="20"/>
    </row>
    <row r="837" spans="2:43">
      <c r="B837"/>
      <c r="C837"/>
      <c r="D837"/>
      <c r="Q837"/>
      <c r="AQ837" s="20"/>
    </row>
    <row r="838" spans="2:43">
      <c r="B838"/>
      <c r="C838"/>
      <c r="D838"/>
      <c r="Q838"/>
      <c r="AQ838" s="20"/>
    </row>
    <row r="839" spans="2:43">
      <c r="B839"/>
      <c r="C839"/>
      <c r="D839"/>
      <c r="Q839"/>
      <c r="AQ839" s="20"/>
    </row>
    <row r="840" spans="2:43">
      <c r="B840"/>
      <c r="C840"/>
      <c r="D840"/>
      <c r="Q840"/>
      <c r="AQ840" s="20"/>
    </row>
    <row r="841" spans="2:43">
      <c r="B841"/>
      <c r="C841"/>
      <c r="D841"/>
      <c r="Q841"/>
      <c r="AQ841" s="20"/>
    </row>
    <row r="842" spans="2:43">
      <c r="B842"/>
      <c r="C842"/>
      <c r="D842"/>
      <c r="Q842"/>
      <c r="AQ842" s="20"/>
    </row>
    <row r="843" spans="2:43">
      <c r="B843"/>
      <c r="C843"/>
      <c r="D843"/>
      <c r="Q843"/>
      <c r="AQ843" s="20"/>
    </row>
    <row r="844" spans="2:43">
      <c r="B844"/>
      <c r="C844"/>
      <c r="D844"/>
      <c r="Q844"/>
      <c r="AQ844" s="20"/>
    </row>
    <row r="845" spans="2:43">
      <c r="B845"/>
      <c r="C845"/>
      <c r="D845"/>
      <c r="Q845"/>
      <c r="AQ845" s="20"/>
    </row>
    <row r="846" spans="2:43">
      <c r="B846"/>
      <c r="C846"/>
      <c r="D846"/>
      <c r="Q846"/>
      <c r="AQ846" s="20"/>
    </row>
    <row r="847" spans="2:43">
      <c r="B847"/>
      <c r="C847"/>
      <c r="D847"/>
      <c r="Q847"/>
      <c r="AQ847" s="20"/>
    </row>
    <row r="848" spans="2:43">
      <c r="B848"/>
      <c r="C848"/>
      <c r="D848"/>
      <c r="Q848"/>
      <c r="AQ848" s="20"/>
    </row>
    <row r="849" spans="2:43">
      <c r="B849"/>
      <c r="C849"/>
      <c r="D849"/>
      <c r="Q849"/>
      <c r="AQ849" s="20"/>
    </row>
    <row r="850" spans="2:43">
      <c r="B850"/>
      <c r="C850"/>
      <c r="D850"/>
      <c r="Q850"/>
      <c r="AQ850" s="20"/>
    </row>
    <row r="851" spans="2:43">
      <c r="B851"/>
      <c r="C851"/>
      <c r="D851"/>
      <c r="Q851"/>
      <c r="AQ851" s="20"/>
    </row>
    <row r="852" spans="2:43">
      <c r="B852"/>
      <c r="C852"/>
      <c r="D852"/>
      <c r="Q852"/>
      <c r="AQ852" s="20"/>
    </row>
    <row r="853" spans="2:43">
      <c r="B853"/>
      <c r="C853"/>
      <c r="D853"/>
      <c r="Q853"/>
      <c r="AQ853" s="20"/>
    </row>
    <row r="854" spans="2:43">
      <c r="B854"/>
      <c r="C854"/>
      <c r="D854"/>
      <c r="Q854"/>
      <c r="AQ854" s="20"/>
    </row>
    <row r="855" spans="2:43">
      <c r="B855"/>
      <c r="C855"/>
      <c r="D855"/>
      <c r="Q855"/>
      <c r="AQ855" s="20"/>
    </row>
    <row r="856" spans="2:43">
      <c r="B856"/>
      <c r="C856"/>
      <c r="D856"/>
      <c r="Q856"/>
      <c r="AQ856" s="20"/>
    </row>
    <row r="857" spans="2:43">
      <c r="B857"/>
      <c r="C857"/>
      <c r="D857"/>
      <c r="Q857"/>
      <c r="AQ857" s="20"/>
    </row>
    <row r="858" spans="2:43">
      <c r="B858"/>
      <c r="C858"/>
      <c r="D858"/>
      <c r="Q858"/>
      <c r="AQ858" s="20"/>
    </row>
    <row r="859" spans="2:43">
      <c r="B859"/>
      <c r="C859"/>
      <c r="D859"/>
      <c r="Q859"/>
      <c r="AQ859" s="20"/>
    </row>
    <row r="860" spans="2:43">
      <c r="B860"/>
      <c r="C860"/>
      <c r="D860"/>
      <c r="Q860"/>
      <c r="AQ860" s="20"/>
    </row>
    <row r="861" spans="2:43">
      <c r="B861"/>
      <c r="C861"/>
      <c r="D861"/>
      <c r="Q861"/>
      <c r="AQ861" s="20"/>
    </row>
    <row r="862" spans="2:43">
      <c r="B862"/>
      <c r="C862"/>
      <c r="D862"/>
      <c r="Q862"/>
      <c r="AQ862" s="20"/>
    </row>
    <row r="863" spans="2:43">
      <c r="B863"/>
      <c r="C863"/>
      <c r="D863"/>
      <c r="Q863"/>
      <c r="AQ863" s="20"/>
    </row>
    <row r="864" spans="2:43">
      <c r="B864"/>
      <c r="C864"/>
      <c r="D864"/>
      <c r="Q864"/>
      <c r="AQ864" s="20"/>
    </row>
    <row r="865" spans="2:43">
      <c r="B865"/>
      <c r="C865"/>
      <c r="D865"/>
      <c r="Q865"/>
      <c r="AQ865" s="20"/>
    </row>
    <row r="866" spans="2:43">
      <c r="B866"/>
      <c r="C866"/>
      <c r="D866"/>
      <c r="Q866"/>
      <c r="AQ866" s="20"/>
    </row>
    <row r="867" spans="2:43">
      <c r="B867"/>
      <c r="C867"/>
      <c r="D867"/>
      <c r="Q867"/>
      <c r="AQ867" s="20"/>
    </row>
    <row r="868" spans="2:43">
      <c r="B868"/>
      <c r="C868"/>
      <c r="D868"/>
      <c r="Q868"/>
      <c r="AQ868" s="20"/>
    </row>
    <row r="869" spans="2:43">
      <c r="B869"/>
      <c r="C869"/>
      <c r="D869"/>
      <c r="Q869"/>
      <c r="AQ869" s="20"/>
    </row>
    <row r="870" spans="2:43">
      <c r="B870"/>
      <c r="C870"/>
      <c r="D870"/>
      <c r="Q870"/>
      <c r="AQ870" s="20"/>
    </row>
    <row r="871" spans="2:43">
      <c r="B871"/>
      <c r="C871"/>
      <c r="D871"/>
      <c r="Q871"/>
      <c r="AQ871" s="20"/>
    </row>
    <row r="872" spans="2:43">
      <c r="B872"/>
      <c r="C872"/>
      <c r="D872"/>
      <c r="Q872"/>
      <c r="AQ872" s="20"/>
    </row>
    <row r="873" spans="2:43">
      <c r="B873"/>
      <c r="C873"/>
      <c r="D873"/>
      <c r="Q873"/>
      <c r="AQ873" s="20"/>
    </row>
    <row r="874" spans="2:43">
      <c r="B874"/>
      <c r="C874"/>
      <c r="D874"/>
      <c r="Q874"/>
      <c r="AQ874" s="20"/>
    </row>
    <row r="875" spans="2:43">
      <c r="B875"/>
      <c r="C875"/>
      <c r="D875"/>
      <c r="Q875"/>
      <c r="AQ875" s="20"/>
    </row>
    <row r="876" spans="2:43">
      <c r="B876"/>
      <c r="C876"/>
      <c r="D876"/>
      <c r="Q876"/>
      <c r="AQ876" s="20"/>
    </row>
    <row r="877" spans="2:43">
      <c r="B877"/>
      <c r="C877"/>
      <c r="D877"/>
      <c r="Q877"/>
      <c r="AQ877" s="20"/>
    </row>
    <row r="878" spans="2:43">
      <c r="B878"/>
      <c r="C878"/>
      <c r="D878"/>
      <c r="Q878"/>
      <c r="AQ878" s="20"/>
    </row>
    <row r="879" spans="2:43">
      <c r="B879"/>
      <c r="C879"/>
      <c r="D879"/>
      <c r="Q879"/>
      <c r="AQ879" s="20"/>
    </row>
    <row r="880" spans="2:43">
      <c r="B880"/>
      <c r="C880"/>
      <c r="D880"/>
      <c r="Q880"/>
      <c r="AQ880" s="20"/>
    </row>
    <row r="881" spans="2:43">
      <c r="B881"/>
      <c r="C881"/>
      <c r="D881"/>
      <c r="Q881"/>
      <c r="AQ881" s="20"/>
    </row>
    <row r="882" spans="2:43">
      <c r="B882"/>
      <c r="C882"/>
      <c r="D882"/>
      <c r="Q882"/>
      <c r="AQ882" s="20"/>
    </row>
    <row r="883" spans="2:43">
      <c r="B883"/>
      <c r="C883"/>
      <c r="D883"/>
      <c r="Q883"/>
      <c r="AQ883" s="20"/>
    </row>
    <row r="884" spans="2:43">
      <c r="B884"/>
      <c r="C884"/>
      <c r="D884"/>
      <c r="Q884"/>
      <c r="AQ884" s="20"/>
    </row>
    <row r="885" spans="2:43">
      <c r="B885"/>
      <c r="C885"/>
      <c r="D885"/>
      <c r="Q885"/>
      <c r="AQ885" s="20"/>
    </row>
    <row r="886" spans="2:43">
      <c r="B886"/>
      <c r="C886"/>
      <c r="D886"/>
      <c r="Q886"/>
      <c r="AQ886" s="20"/>
    </row>
    <row r="887" spans="2:43">
      <c r="B887"/>
      <c r="C887"/>
      <c r="D887"/>
      <c r="Q887"/>
      <c r="AQ887" s="20"/>
    </row>
    <row r="888" spans="2:43">
      <c r="B888"/>
      <c r="C888"/>
      <c r="D888"/>
      <c r="Q888"/>
      <c r="AQ888" s="20"/>
    </row>
    <row r="889" spans="2:43">
      <c r="B889"/>
      <c r="C889"/>
      <c r="D889"/>
      <c r="Q889"/>
      <c r="AQ889" s="20"/>
    </row>
    <row r="890" spans="2:43">
      <c r="B890"/>
      <c r="C890"/>
      <c r="D890"/>
      <c r="Q890"/>
      <c r="AQ890" s="20"/>
    </row>
    <row r="891" spans="2:43">
      <c r="B891"/>
      <c r="C891"/>
      <c r="D891"/>
      <c r="Q891"/>
      <c r="AQ891" s="20"/>
    </row>
    <row r="892" spans="2:43">
      <c r="B892"/>
      <c r="C892"/>
      <c r="D892"/>
      <c r="Q892"/>
      <c r="AQ892" s="20"/>
    </row>
    <row r="893" spans="2:43">
      <c r="B893"/>
      <c r="C893"/>
      <c r="D893"/>
      <c r="Q893"/>
      <c r="AQ893" s="20"/>
    </row>
    <row r="894" spans="2:43">
      <c r="B894"/>
      <c r="C894"/>
      <c r="D894"/>
      <c r="Q894"/>
      <c r="AQ894" s="20"/>
    </row>
    <row r="895" spans="2:43">
      <c r="B895"/>
      <c r="C895"/>
      <c r="D895"/>
      <c r="Q895"/>
      <c r="AQ895" s="20"/>
    </row>
    <row r="896" spans="2:43">
      <c r="B896"/>
      <c r="C896"/>
      <c r="D896"/>
      <c r="Q896"/>
      <c r="AQ896" s="20"/>
    </row>
    <row r="897" spans="2:43">
      <c r="B897"/>
      <c r="C897"/>
      <c r="D897"/>
      <c r="Q897"/>
      <c r="AQ897" s="20"/>
    </row>
    <row r="898" spans="2:43">
      <c r="B898"/>
      <c r="C898"/>
      <c r="D898"/>
      <c r="Q898"/>
      <c r="AQ898" s="20"/>
    </row>
    <row r="899" spans="2:43">
      <c r="B899"/>
      <c r="C899"/>
      <c r="D899"/>
      <c r="Q899"/>
      <c r="AQ899" s="20"/>
    </row>
    <row r="900" spans="2:43">
      <c r="B900"/>
      <c r="C900"/>
      <c r="D900"/>
      <c r="Q900"/>
      <c r="AQ900" s="20"/>
    </row>
    <row r="901" spans="2:43">
      <c r="B901"/>
      <c r="C901"/>
      <c r="D901"/>
      <c r="Q901"/>
      <c r="AQ901" s="20"/>
    </row>
    <row r="902" spans="2:43">
      <c r="B902"/>
      <c r="C902"/>
      <c r="D902"/>
      <c r="Q902"/>
      <c r="AQ902" s="20"/>
    </row>
    <row r="903" spans="2:43">
      <c r="B903"/>
      <c r="C903"/>
      <c r="D903"/>
      <c r="Q903"/>
      <c r="AQ903" s="20"/>
    </row>
    <row r="904" spans="2:43">
      <c r="B904"/>
      <c r="C904"/>
      <c r="D904"/>
      <c r="Q904"/>
      <c r="AQ904" s="20"/>
    </row>
    <row r="905" spans="2:43">
      <c r="B905"/>
      <c r="C905"/>
      <c r="D905"/>
      <c r="Q905"/>
      <c r="AQ905" s="20"/>
    </row>
    <row r="906" spans="2:43">
      <c r="B906"/>
      <c r="C906"/>
      <c r="D906"/>
      <c r="Q906"/>
      <c r="AQ906" s="20"/>
    </row>
    <row r="907" spans="2:43">
      <c r="B907"/>
      <c r="C907"/>
      <c r="D907"/>
      <c r="Q907"/>
      <c r="AQ907" s="20"/>
    </row>
    <row r="908" spans="2:43">
      <c r="B908"/>
      <c r="C908"/>
      <c r="D908"/>
      <c r="Q908"/>
      <c r="AQ908" s="20"/>
    </row>
    <row r="909" spans="2:43">
      <c r="B909"/>
      <c r="C909"/>
      <c r="D909"/>
      <c r="Q909"/>
      <c r="AQ909" s="20"/>
    </row>
    <row r="910" spans="2:43">
      <c r="B910"/>
      <c r="C910"/>
      <c r="D910"/>
      <c r="Q910"/>
      <c r="AQ910" s="20"/>
    </row>
    <row r="911" spans="2:43">
      <c r="B911"/>
      <c r="C911"/>
      <c r="D911"/>
      <c r="Q911"/>
      <c r="AQ911" s="20"/>
    </row>
    <row r="912" spans="2:43">
      <c r="B912"/>
      <c r="C912"/>
      <c r="D912"/>
      <c r="Q912"/>
      <c r="AQ912" s="20"/>
    </row>
    <row r="913" spans="2:43">
      <c r="B913"/>
      <c r="C913"/>
      <c r="D913"/>
      <c r="Q913"/>
      <c r="AQ913" s="20"/>
    </row>
    <row r="914" spans="2:43">
      <c r="B914"/>
      <c r="C914"/>
      <c r="D914"/>
      <c r="Q914"/>
      <c r="AQ914" s="20"/>
    </row>
    <row r="915" spans="2:43">
      <c r="B915"/>
      <c r="C915"/>
      <c r="D915"/>
      <c r="Q915"/>
      <c r="AQ915" s="20"/>
    </row>
    <row r="916" spans="2:43">
      <c r="B916"/>
      <c r="C916"/>
      <c r="D916"/>
      <c r="Q916"/>
      <c r="AQ916" s="20"/>
    </row>
    <row r="917" spans="2:43">
      <c r="B917"/>
      <c r="C917"/>
      <c r="D917"/>
      <c r="Q917"/>
      <c r="AQ917" s="20"/>
    </row>
    <row r="918" spans="2:43">
      <c r="B918"/>
      <c r="C918"/>
      <c r="D918"/>
      <c r="Q918"/>
      <c r="AQ918" s="20"/>
    </row>
    <row r="919" spans="2:43">
      <c r="B919"/>
      <c r="C919"/>
      <c r="D919"/>
      <c r="Q919"/>
      <c r="AQ919" s="20"/>
    </row>
    <row r="920" spans="2:43">
      <c r="B920"/>
      <c r="C920"/>
      <c r="D920"/>
      <c r="Q920"/>
      <c r="AQ920" s="20"/>
    </row>
    <row r="921" spans="2:43">
      <c r="B921"/>
      <c r="C921"/>
      <c r="D921"/>
      <c r="Q921"/>
      <c r="AQ921" s="20"/>
    </row>
    <row r="922" spans="2:43">
      <c r="B922"/>
      <c r="C922"/>
      <c r="D922"/>
      <c r="Q922"/>
      <c r="AQ922" s="20"/>
    </row>
    <row r="923" spans="2:43">
      <c r="B923"/>
      <c r="C923"/>
      <c r="D923"/>
      <c r="Q923"/>
      <c r="AQ923" s="20"/>
    </row>
    <row r="924" spans="2:43">
      <c r="B924"/>
      <c r="C924"/>
      <c r="D924"/>
      <c r="Q924"/>
      <c r="AQ924" s="20"/>
    </row>
    <row r="925" spans="2:43">
      <c r="B925"/>
      <c r="C925"/>
      <c r="D925"/>
      <c r="Q925"/>
      <c r="AQ925" s="20"/>
    </row>
    <row r="926" spans="2:43">
      <c r="B926"/>
      <c r="C926"/>
      <c r="D926"/>
      <c r="Q926"/>
      <c r="AQ926" s="20"/>
    </row>
    <row r="927" spans="2:43">
      <c r="B927"/>
      <c r="C927"/>
      <c r="D927"/>
      <c r="Q927"/>
      <c r="AQ927" s="20"/>
    </row>
    <row r="928" spans="2:43">
      <c r="B928"/>
      <c r="C928"/>
      <c r="D928"/>
      <c r="Q928"/>
      <c r="AQ928" s="20"/>
    </row>
    <row r="929" spans="2:43">
      <c r="B929"/>
      <c r="C929"/>
      <c r="D929"/>
      <c r="Q929"/>
      <c r="AQ929" s="20"/>
    </row>
    <row r="930" spans="2:43">
      <c r="B930"/>
      <c r="C930"/>
      <c r="D930"/>
      <c r="Q930"/>
      <c r="AQ930" s="20"/>
    </row>
    <row r="931" spans="2:43">
      <c r="B931"/>
      <c r="C931"/>
      <c r="D931"/>
      <c r="Q931"/>
      <c r="AQ931" s="20"/>
    </row>
    <row r="932" spans="2:43">
      <c r="B932"/>
      <c r="C932"/>
      <c r="D932"/>
      <c r="Q932"/>
      <c r="AQ932" s="20"/>
    </row>
    <row r="933" spans="2:43">
      <c r="B933"/>
      <c r="C933"/>
      <c r="D933"/>
      <c r="Q933"/>
      <c r="AQ933" s="20"/>
    </row>
    <row r="934" spans="2:43">
      <c r="B934"/>
      <c r="C934"/>
      <c r="D934"/>
      <c r="Q934"/>
      <c r="AQ934" s="20"/>
    </row>
    <row r="935" spans="2:43">
      <c r="B935"/>
      <c r="C935"/>
      <c r="D935"/>
      <c r="Q935"/>
      <c r="AQ935" s="20"/>
    </row>
    <row r="936" spans="2:43">
      <c r="B936"/>
      <c r="C936"/>
      <c r="D936"/>
      <c r="Q936"/>
      <c r="AQ936" s="20"/>
    </row>
    <row r="937" spans="2:43">
      <c r="B937"/>
      <c r="C937"/>
      <c r="D937"/>
      <c r="Q937"/>
      <c r="AQ937" s="20"/>
    </row>
    <row r="938" spans="2:43">
      <c r="B938"/>
      <c r="C938"/>
      <c r="D938"/>
      <c r="Q938"/>
      <c r="AQ938" s="20"/>
    </row>
    <row r="939" spans="2:43">
      <c r="B939"/>
      <c r="C939"/>
      <c r="D939"/>
      <c r="Q939"/>
      <c r="AQ939" s="20"/>
    </row>
    <row r="940" spans="2:43">
      <c r="B940"/>
      <c r="C940"/>
      <c r="D940"/>
      <c r="Q940"/>
      <c r="AQ940" s="20"/>
    </row>
    <row r="941" spans="2:43">
      <c r="B941"/>
      <c r="C941"/>
      <c r="D941"/>
      <c r="Q941"/>
      <c r="AQ941" s="20"/>
    </row>
    <row r="942" spans="2:43">
      <c r="B942"/>
      <c r="C942"/>
      <c r="D942"/>
      <c r="Q942"/>
      <c r="AQ942" s="20"/>
    </row>
    <row r="943" spans="2:43">
      <c r="B943"/>
      <c r="C943"/>
      <c r="D943"/>
      <c r="Q943"/>
      <c r="AQ943" s="20"/>
    </row>
    <row r="944" spans="2:43">
      <c r="B944"/>
      <c r="C944"/>
      <c r="D944"/>
      <c r="Q944"/>
      <c r="AQ944" s="20"/>
    </row>
    <row r="945" spans="2:43">
      <c r="B945"/>
      <c r="C945"/>
      <c r="D945"/>
      <c r="Q945"/>
      <c r="AQ945" s="20"/>
    </row>
    <row r="946" spans="2:43">
      <c r="B946"/>
      <c r="C946"/>
      <c r="D946"/>
      <c r="Q946"/>
      <c r="AQ946" s="20"/>
    </row>
    <row r="947" spans="2:43">
      <c r="B947"/>
      <c r="C947"/>
      <c r="D947"/>
      <c r="Q947"/>
      <c r="AQ947" s="20"/>
    </row>
    <row r="948" spans="2:43">
      <c r="B948"/>
      <c r="C948"/>
      <c r="D948"/>
      <c r="Q948"/>
      <c r="AQ948" s="20"/>
    </row>
    <row r="949" spans="2:43">
      <c r="B949"/>
      <c r="C949"/>
      <c r="D949"/>
      <c r="Q949"/>
      <c r="AQ949" s="20"/>
    </row>
    <row r="950" spans="2:43">
      <c r="B950"/>
      <c r="C950"/>
      <c r="D950"/>
      <c r="Q950"/>
      <c r="AQ950" s="20"/>
    </row>
    <row r="951" spans="2:43">
      <c r="B951"/>
      <c r="C951"/>
      <c r="D951"/>
      <c r="Q951"/>
      <c r="AQ951" s="20"/>
    </row>
    <row r="952" spans="2:43">
      <c r="B952"/>
      <c r="C952"/>
      <c r="D952"/>
      <c r="Q952"/>
      <c r="AQ952" s="20"/>
    </row>
    <row r="953" spans="2:43">
      <c r="B953"/>
      <c r="C953"/>
      <c r="D953"/>
      <c r="Q953"/>
      <c r="AQ953" s="20"/>
    </row>
    <row r="954" spans="2:43">
      <c r="B954"/>
      <c r="C954"/>
      <c r="D954"/>
      <c r="Q954"/>
      <c r="AQ954" s="20"/>
    </row>
    <row r="955" spans="2:43">
      <c r="B955"/>
      <c r="C955"/>
      <c r="D955"/>
      <c r="Q955"/>
      <c r="AQ955" s="20"/>
    </row>
    <row r="956" spans="2:43">
      <c r="B956"/>
      <c r="C956"/>
      <c r="D956"/>
      <c r="Q956"/>
      <c r="AQ956" s="20"/>
    </row>
    <row r="957" spans="2:43">
      <c r="B957"/>
      <c r="C957"/>
      <c r="D957"/>
      <c r="Q957"/>
      <c r="AQ957" s="20"/>
    </row>
    <row r="958" spans="2:43">
      <c r="B958"/>
      <c r="C958"/>
      <c r="D958"/>
      <c r="Q958"/>
      <c r="AQ958" s="20"/>
    </row>
    <row r="959" spans="2:43">
      <c r="B959"/>
      <c r="C959"/>
      <c r="D959"/>
      <c r="Q959"/>
      <c r="AQ959" s="20"/>
    </row>
    <row r="960" spans="2:43">
      <c r="B960"/>
      <c r="C960"/>
      <c r="D960"/>
      <c r="Q960"/>
      <c r="AQ960" s="20"/>
    </row>
    <row r="961" spans="2:43">
      <c r="B961"/>
      <c r="C961"/>
      <c r="D961"/>
      <c r="Q961"/>
      <c r="AQ961" s="20"/>
    </row>
    <row r="962" spans="2:43">
      <c r="B962"/>
      <c r="C962"/>
      <c r="D962"/>
      <c r="Q962"/>
      <c r="AQ962" s="20"/>
    </row>
    <row r="963" spans="2:43">
      <c r="B963"/>
      <c r="C963"/>
      <c r="D963"/>
      <c r="Q963"/>
      <c r="AQ963" s="20"/>
    </row>
    <row r="964" spans="2:43">
      <c r="B964"/>
      <c r="C964"/>
      <c r="D964"/>
      <c r="Q964"/>
      <c r="AQ964" s="20"/>
    </row>
    <row r="965" spans="2:43">
      <c r="B965"/>
      <c r="C965"/>
      <c r="D965"/>
      <c r="Q965"/>
      <c r="AQ965" s="20"/>
    </row>
    <row r="966" spans="2:43">
      <c r="B966"/>
      <c r="C966"/>
      <c r="D966"/>
      <c r="Q966"/>
      <c r="AQ966" s="20"/>
    </row>
    <row r="967" spans="2:43">
      <c r="B967"/>
      <c r="C967"/>
      <c r="D967"/>
      <c r="Q967"/>
      <c r="AQ967" s="20"/>
    </row>
    <row r="968" spans="2:43">
      <c r="B968"/>
      <c r="C968"/>
      <c r="D968"/>
      <c r="Q968"/>
      <c r="AQ968" s="20"/>
    </row>
    <row r="969" spans="2:43">
      <c r="B969"/>
      <c r="C969"/>
      <c r="D969"/>
      <c r="Q969"/>
      <c r="AQ969" s="20"/>
    </row>
    <row r="970" spans="2:43">
      <c r="B970"/>
      <c r="C970"/>
      <c r="D970"/>
      <c r="Q970"/>
      <c r="AQ970" s="20"/>
    </row>
    <row r="971" spans="2:43">
      <c r="B971"/>
      <c r="C971"/>
      <c r="D971"/>
      <c r="Q971"/>
      <c r="AQ971" s="20"/>
    </row>
    <row r="972" spans="2:43">
      <c r="B972"/>
      <c r="C972"/>
      <c r="D972"/>
      <c r="Q972"/>
      <c r="AQ972" s="20"/>
    </row>
    <row r="973" spans="2:43">
      <c r="B973"/>
      <c r="C973"/>
      <c r="D973"/>
      <c r="Q973"/>
      <c r="AQ973" s="20"/>
    </row>
    <row r="974" spans="2:43">
      <c r="B974"/>
      <c r="C974"/>
      <c r="D974"/>
      <c r="Q974"/>
      <c r="AQ974" s="20"/>
    </row>
    <row r="975" spans="2:43">
      <c r="B975"/>
      <c r="C975"/>
      <c r="D975"/>
      <c r="Q975"/>
      <c r="AQ975" s="20"/>
    </row>
    <row r="976" spans="2:43">
      <c r="B976"/>
      <c r="C976"/>
      <c r="D976"/>
      <c r="Q976"/>
      <c r="AQ976" s="20"/>
    </row>
    <row r="977" spans="2:43">
      <c r="B977"/>
      <c r="C977"/>
      <c r="D977"/>
      <c r="Q977"/>
      <c r="AQ977" s="20"/>
    </row>
    <row r="978" spans="2:43">
      <c r="B978"/>
      <c r="C978"/>
      <c r="D978"/>
      <c r="Q978"/>
      <c r="AQ978" s="20"/>
    </row>
    <row r="979" spans="2:43">
      <c r="B979"/>
      <c r="C979"/>
      <c r="D979"/>
      <c r="Q979"/>
      <c r="AQ979" s="20"/>
    </row>
    <row r="980" spans="2:43">
      <c r="B980"/>
      <c r="C980"/>
      <c r="D980"/>
      <c r="Q980"/>
      <c r="AQ980" s="20"/>
    </row>
    <row r="981" spans="2:43">
      <c r="B981"/>
      <c r="C981"/>
      <c r="D981"/>
      <c r="Q981"/>
      <c r="AQ981" s="20"/>
    </row>
    <row r="982" spans="2:43">
      <c r="B982"/>
      <c r="C982"/>
      <c r="D982"/>
      <c r="Q982"/>
      <c r="AQ982" s="20"/>
    </row>
    <row r="983" spans="2:43">
      <c r="B983"/>
      <c r="C983"/>
      <c r="D983"/>
      <c r="Q983"/>
      <c r="AQ983" s="20"/>
    </row>
    <row r="984" spans="2:43">
      <c r="B984"/>
      <c r="C984"/>
      <c r="D984"/>
      <c r="Q984"/>
      <c r="AQ984" s="20"/>
    </row>
    <row r="985" spans="2:43">
      <c r="B985"/>
      <c r="C985"/>
      <c r="D985"/>
      <c r="Q985"/>
      <c r="AQ985" s="20"/>
    </row>
    <row r="986" spans="2:43">
      <c r="B986"/>
      <c r="C986"/>
      <c r="D986"/>
      <c r="Q986"/>
      <c r="AQ986" s="20"/>
    </row>
    <row r="987" spans="2:43">
      <c r="B987"/>
      <c r="C987"/>
      <c r="D987"/>
      <c r="Q987"/>
      <c r="AQ987" s="20"/>
    </row>
    <row r="988" spans="2:43">
      <c r="B988"/>
      <c r="C988"/>
      <c r="D988"/>
      <c r="Q988"/>
      <c r="AQ988" s="20"/>
    </row>
    <row r="989" spans="2:43">
      <c r="B989"/>
      <c r="C989"/>
      <c r="D989"/>
      <c r="Q989"/>
      <c r="AQ989" s="20"/>
    </row>
    <row r="990" spans="2:43">
      <c r="B990"/>
      <c r="C990"/>
      <c r="D990"/>
      <c r="Q990"/>
      <c r="AQ990" s="20"/>
    </row>
    <row r="991" spans="2:43">
      <c r="B991"/>
      <c r="C991"/>
      <c r="D991"/>
      <c r="Q991"/>
      <c r="AQ991" s="20"/>
    </row>
    <row r="992" spans="2:43">
      <c r="B992"/>
      <c r="C992"/>
      <c r="D992"/>
      <c r="Q992"/>
      <c r="AQ992" s="20"/>
    </row>
    <row r="993" spans="2:43">
      <c r="B993"/>
      <c r="C993"/>
      <c r="D993"/>
      <c r="Q993"/>
      <c r="AQ993" s="20"/>
    </row>
    <row r="994" spans="2:43">
      <c r="B994"/>
      <c r="C994"/>
      <c r="D994"/>
      <c r="Q994"/>
      <c r="AQ994" s="20"/>
    </row>
    <row r="995" spans="2:43">
      <c r="B995"/>
      <c r="C995"/>
      <c r="D995"/>
      <c r="Q995"/>
      <c r="AQ995" s="20"/>
    </row>
    <row r="996" spans="2:43">
      <c r="B996"/>
      <c r="C996"/>
      <c r="D996"/>
      <c r="Q996"/>
      <c r="AQ996" s="20"/>
    </row>
    <row r="997" spans="2:43">
      <c r="B997"/>
      <c r="C997"/>
      <c r="D997"/>
      <c r="Q997"/>
      <c r="AQ997" s="20"/>
    </row>
    <row r="998" spans="2:43">
      <c r="B998"/>
      <c r="C998"/>
      <c r="D998"/>
      <c r="Q998"/>
      <c r="AQ998" s="20"/>
    </row>
    <row r="999" spans="2:43">
      <c r="B999"/>
      <c r="C999"/>
      <c r="D999"/>
      <c r="Q999"/>
      <c r="AQ999" s="20"/>
    </row>
    <row r="1000" spans="2:43">
      <c r="B1000"/>
      <c r="C1000"/>
      <c r="D1000"/>
      <c r="Q1000"/>
      <c r="AQ1000" s="20"/>
    </row>
    <row r="1001" spans="2:43">
      <c r="B1001"/>
      <c r="C1001"/>
      <c r="D1001"/>
      <c r="Q1001"/>
      <c r="AQ1001" s="20"/>
    </row>
    <row r="1002" spans="2:43">
      <c r="B1002"/>
      <c r="C1002"/>
      <c r="D1002"/>
      <c r="Q1002"/>
      <c r="AQ1002" s="20"/>
    </row>
    <row r="1003" spans="2:43">
      <c r="B1003"/>
      <c r="C1003"/>
      <c r="D1003"/>
      <c r="Q1003"/>
      <c r="AQ1003" s="20"/>
    </row>
    <row r="1004" spans="2:43">
      <c r="B1004"/>
      <c r="C1004"/>
      <c r="D1004"/>
      <c r="Q1004"/>
      <c r="AQ1004" s="20"/>
    </row>
    <row r="1005" spans="2:43">
      <c r="B1005"/>
      <c r="C1005"/>
      <c r="D1005"/>
      <c r="Q1005"/>
      <c r="AQ1005" s="20"/>
    </row>
    <row r="1006" spans="2:43">
      <c r="B1006"/>
      <c r="C1006"/>
      <c r="D1006"/>
      <c r="Q1006"/>
      <c r="AQ1006" s="20"/>
    </row>
    <row r="1007" spans="2:43">
      <c r="B1007"/>
      <c r="C1007"/>
      <c r="D1007"/>
      <c r="Q1007"/>
      <c r="AQ1007" s="20"/>
    </row>
    <row r="1008" spans="2:43">
      <c r="B1008"/>
      <c r="C1008"/>
      <c r="D1008"/>
      <c r="Q1008"/>
      <c r="AQ1008" s="20"/>
    </row>
    <row r="1009" spans="2:43">
      <c r="B1009"/>
      <c r="C1009"/>
      <c r="D1009"/>
      <c r="Q1009"/>
      <c r="AQ1009" s="20"/>
    </row>
    <row r="1010" spans="2:43">
      <c r="B1010"/>
      <c r="C1010"/>
      <c r="D1010"/>
      <c r="Q1010"/>
      <c r="AQ1010" s="20"/>
    </row>
    <row r="1011" spans="2:43">
      <c r="B1011"/>
      <c r="C1011"/>
      <c r="D1011"/>
      <c r="Q1011"/>
      <c r="AQ1011" s="20"/>
    </row>
    <row r="1012" spans="2:43">
      <c r="B1012"/>
      <c r="C1012"/>
      <c r="D1012"/>
      <c r="Q1012"/>
      <c r="AQ1012" s="20"/>
    </row>
    <row r="1013" spans="2:43">
      <c r="B1013"/>
      <c r="C1013"/>
      <c r="D1013"/>
      <c r="Q1013"/>
      <c r="AQ1013" s="20"/>
    </row>
    <row r="1014" spans="2:43">
      <c r="B1014"/>
      <c r="C1014"/>
      <c r="D1014"/>
      <c r="Q1014"/>
      <c r="AQ1014" s="20"/>
    </row>
    <row r="1015" spans="2:43">
      <c r="B1015"/>
      <c r="C1015"/>
      <c r="D1015"/>
      <c r="Q1015"/>
      <c r="AQ1015" s="20"/>
    </row>
    <row r="1016" spans="2:43">
      <c r="B1016"/>
      <c r="C1016"/>
      <c r="D1016"/>
      <c r="Q1016"/>
      <c r="AQ1016" s="20"/>
    </row>
    <row r="1017" spans="2:43">
      <c r="B1017"/>
      <c r="C1017"/>
      <c r="D1017"/>
      <c r="Q1017"/>
      <c r="AQ1017" s="20"/>
    </row>
    <row r="1018" spans="2:43">
      <c r="B1018"/>
      <c r="C1018"/>
      <c r="D1018"/>
      <c r="Q1018"/>
      <c r="AQ1018" s="20"/>
    </row>
    <row r="1019" spans="2:43">
      <c r="B1019"/>
      <c r="C1019"/>
      <c r="D1019"/>
      <c r="Q1019"/>
      <c r="AQ1019" s="20"/>
    </row>
    <row r="1020" spans="2:43">
      <c r="B1020"/>
      <c r="C1020"/>
      <c r="D1020"/>
      <c r="Q1020"/>
      <c r="AQ1020" s="20"/>
    </row>
    <row r="1021" spans="2:43">
      <c r="B1021"/>
      <c r="C1021"/>
      <c r="D1021"/>
      <c r="Q1021"/>
      <c r="AQ1021" s="20"/>
    </row>
    <row r="1022" spans="2:43">
      <c r="B1022"/>
      <c r="C1022"/>
      <c r="D1022"/>
      <c r="Q1022"/>
      <c r="AQ1022" s="20"/>
    </row>
    <row r="1023" spans="2:43">
      <c r="B1023"/>
      <c r="C1023"/>
      <c r="D1023"/>
      <c r="Q1023"/>
      <c r="AQ1023" s="20"/>
    </row>
    <row r="1024" spans="2:43">
      <c r="B1024"/>
      <c r="C1024"/>
      <c r="D1024"/>
      <c r="Q1024"/>
      <c r="AQ1024" s="20"/>
    </row>
    <row r="1025" spans="2:43">
      <c r="B1025"/>
      <c r="C1025"/>
      <c r="D1025"/>
      <c r="Q1025"/>
      <c r="AQ1025" s="20"/>
    </row>
    <row r="1026" spans="2:43">
      <c r="B1026"/>
      <c r="C1026"/>
      <c r="D1026"/>
      <c r="Q1026"/>
      <c r="AQ1026" s="20"/>
    </row>
    <row r="1027" spans="2:43">
      <c r="B1027"/>
      <c r="C1027"/>
      <c r="D1027"/>
      <c r="Q1027"/>
      <c r="AQ1027" s="20"/>
    </row>
    <row r="1028" spans="2:43">
      <c r="B1028"/>
      <c r="C1028"/>
      <c r="D1028"/>
      <c r="Q1028"/>
      <c r="AQ1028" s="20"/>
    </row>
    <row r="1029" spans="2:43">
      <c r="B1029"/>
      <c r="C1029"/>
      <c r="D1029"/>
      <c r="Q1029"/>
      <c r="AQ1029" s="20"/>
    </row>
    <row r="1030" spans="2:43">
      <c r="B1030"/>
      <c r="C1030"/>
      <c r="D1030"/>
      <c r="Q1030"/>
      <c r="AQ1030" s="20"/>
    </row>
    <row r="1031" spans="2:43">
      <c r="B1031"/>
      <c r="C1031"/>
      <c r="D1031"/>
      <c r="Q1031"/>
      <c r="AQ1031" s="20"/>
    </row>
    <row r="1032" spans="2:43">
      <c r="B1032"/>
      <c r="C1032"/>
      <c r="D1032"/>
      <c r="Q1032"/>
      <c r="AQ1032" s="20"/>
    </row>
    <row r="1033" spans="2:43">
      <c r="B1033"/>
      <c r="C1033"/>
      <c r="D1033"/>
      <c r="Q1033"/>
      <c r="AQ1033" s="20"/>
    </row>
    <row r="1034" spans="2:43">
      <c r="B1034"/>
      <c r="C1034"/>
      <c r="D1034"/>
      <c r="Q1034"/>
      <c r="AQ1034" s="20"/>
    </row>
    <row r="1035" spans="2:43">
      <c r="B1035"/>
      <c r="C1035"/>
      <c r="D1035"/>
      <c r="Q1035"/>
      <c r="AQ1035" s="20"/>
    </row>
    <row r="1036" spans="2:43">
      <c r="B1036"/>
      <c r="C1036"/>
      <c r="D1036"/>
      <c r="Q1036"/>
      <c r="AQ1036" s="20"/>
    </row>
    <row r="1037" spans="2:43">
      <c r="B1037"/>
      <c r="C1037"/>
      <c r="D1037"/>
      <c r="Q1037"/>
      <c r="AQ1037" s="20"/>
    </row>
    <row r="1038" spans="2:43">
      <c r="B1038"/>
      <c r="C1038"/>
      <c r="D1038"/>
      <c r="Q1038"/>
      <c r="AQ1038" s="20"/>
    </row>
    <row r="1039" spans="2:43">
      <c r="B1039"/>
      <c r="C1039"/>
      <c r="D1039"/>
      <c r="Q1039"/>
      <c r="AQ1039" s="20"/>
    </row>
    <row r="1040" spans="2:43">
      <c r="B1040"/>
      <c r="C1040"/>
      <c r="D1040"/>
      <c r="Q1040"/>
      <c r="AQ1040" s="20"/>
    </row>
    <row r="1041" spans="2:43">
      <c r="B1041"/>
      <c r="C1041"/>
      <c r="D1041"/>
      <c r="Q1041"/>
      <c r="AQ1041" s="20"/>
    </row>
    <row r="1042" spans="2:43">
      <c r="B1042"/>
      <c r="C1042"/>
      <c r="D1042"/>
      <c r="Q1042"/>
      <c r="AQ1042" s="20"/>
    </row>
    <row r="1043" spans="2:43">
      <c r="B1043"/>
      <c r="C1043"/>
      <c r="D1043"/>
      <c r="Q1043"/>
      <c r="AQ1043" s="20"/>
    </row>
    <row r="1044" spans="2:43">
      <c r="B1044"/>
      <c r="C1044"/>
      <c r="D1044"/>
      <c r="Q1044"/>
      <c r="AQ1044" s="20"/>
    </row>
    <row r="1045" spans="2:43">
      <c r="B1045"/>
      <c r="C1045"/>
      <c r="D1045"/>
      <c r="Q1045"/>
      <c r="AQ1045" s="20"/>
    </row>
    <row r="1046" spans="2:43">
      <c r="B1046"/>
      <c r="C1046"/>
      <c r="D1046"/>
      <c r="Q1046"/>
      <c r="AQ1046" s="20"/>
    </row>
    <row r="1047" spans="2:43">
      <c r="B1047"/>
      <c r="C1047"/>
      <c r="D1047"/>
      <c r="Q1047"/>
      <c r="AQ1047" s="20"/>
    </row>
    <row r="1048" spans="2:43">
      <c r="B1048"/>
      <c r="C1048"/>
      <c r="D1048"/>
      <c r="Q1048"/>
      <c r="AQ1048" s="20"/>
    </row>
    <row r="1049" spans="2:43">
      <c r="B1049"/>
      <c r="C1049"/>
      <c r="D1049"/>
      <c r="Q1049"/>
      <c r="AQ1049" s="20"/>
    </row>
    <row r="1050" spans="2:43">
      <c r="B1050"/>
      <c r="C1050"/>
      <c r="D1050"/>
      <c r="Q1050"/>
      <c r="AQ1050" s="20"/>
    </row>
    <row r="1051" spans="2:43">
      <c r="B1051"/>
      <c r="C1051"/>
      <c r="D1051"/>
      <c r="Q1051"/>
      <c r="AQ1051" s="20"/>
    </row>
    <row r="1052" spans="2:43">
      <c r="B1052"/>
      <c r="C1052"/>
      <c r="D1052"/>
      <c r="Q1052"/>
      <c r="AQ1052" s="20"/>
    </row>
    <row r="1053" spans="2:43">
      <c r="B1053"/>
      <c r="C1053"/>
      <c r="D1053"/>
      <c r="Q1053"/>
      <c r="AQ1053" s="20"/>
    </row>
    <row r="1054" spans="2:43">
      <c r="B1054"/>
      <c r="C1054"/>
      <c r="D1054"/>
      <c r="Q1054"/>
      <c r="AQ1054" s="20"/>
    </row>
    <row r="1055" spans="2:43">
      <c r="B1055"/>
      <c r="C1055"/>
      <c r="D1055"/>
      <c r="Q1055"/>
      <c r="AQ1055" s="20"/>
    </row>
    <row r="1056" spans="2:43">
      <c r="B1056"/>
      <c r="C1056"/>
      <c r="D1056"/>
      <c r="Q1056"/>
      <c r="AQ1056" s="20"/>
    </row>
    <row r="1057" spans="2:43">
      <c r="B1057"/>
      <c r="C1057"/>
      <c r="D1057"/>
      <c r="Q1057"/>
      <c r="AQ1057" s="20"/>
    </row>
    <row r="1058" spans="2:43">
      <c r="B1058"/>
      <c r="C1058"/>
      <c r="D1058"/>
      <c r="Q1058"/>
      <c r="AQ1058" s="20"/>
    </row>
    <row r="1059" spans="2:43">
      <c r="B1059"/>
      <c r="C1059"/>
      <c r="D1059"/>
      <c r="Q1059"/>
      <c r="AQ1059" s="20"/>
    </row>
    <row r="1060" spans="2:43">
      <c r="B1060"/>
      <c r="C1060"/>
      <c r="D1060"/>
      <c r="Q1060"/>
      <c r="AQ1060" s="20"/>
    </row>
    <row r="1061" spans="2:43">
      <c r="B1061"/>
      <c r="C1061"/>
      <c r="D1061"/>
      <c r="Q1061"/>
      <c r="AQ1061" s="20"/>
    </row>
    <row r="1062" spans="2:43">
      <c r="B1062"/>
      <c r="C1062"/>
      <c r="D1062"/>
      <c r="Q1062"/>
      <c r="AQ1062" s="20"/>
    </row>
    <row r="1063" spans="2:43">
      <c r="B1063"/>
      <c r="C1063"/>
      <c r="D1063"/>
      <c r="Q1063"/>
      <c r="AQ1063" s="20"/>
    </row>
    <row r="1064" spans="2:43">
      <c r="B1064"/>
      <c r="C1064"/>
      <c r="D1064"/>
      <c r="Q1064"/>
      <c r="AQ1064" s="20"/>
    </row>
    <row r="1065" spans="2:43">
      <c r="B1065"/>
      <c r="C1065"/>
      <c r="D1065"/>
      <c r="Q1065"/>
      <c r="AQ1065" s="20"/>
    </row>
    <row r="1066" spans="2:43">
      <c r="B1066"/>
      <c r="C1066"/>
      <c r="D1066"/>
      <c r="Q1066"/>
      <c r="AQ1066" s="20"/>
    </row>
    <row r="1067" spans="2:43">
      <c r="B1067"/>
      <c r="C1067"/>
      <c r="D1067"/>
      <c r="Q1067"/>
      <c r="AQ1067" s="20"/>
    </row>
    <row r="1068" spans="2:43">
      <c r="B1068"/>
      <c r="C1068"/>
      <c r="D1068"/>
      <c r="Q1068"/>
      <c r="AQ1068" s="20"/>
    </row>
    <row r="1069" spans="2:43">
      <c r="B1069"/>
      <c r="C1069"/>
      <c r="D1069"/>
      <c r="Q1069"/>
      <c r="AQ1069" s="20"/>
    </row>
    <row r="1070" spans="2:43">
      <c r="B1070"/>
      <c r="C1070"/>
      <c r="D1070"/>
      <c r="Q1070"/>
      <c r="AQ1070" s="20"/>
    </row>
    <row r="1071" spans="2:43">
      <c r="B1071"/>
      <c r="C1071"/>
      <c r="D1071"/>
      <c r="Q1071"/>
      <c r="AQ1071" s="20"/>
    </row>
    <row r="1072" spans="2:43">
      <c r="B1072"/>
      <c r="C1072"/>
      <c r="D1072"/>
      <c r="Q1072"/>
      <c r="AQ1072" s="20"/>
    </row>
    <row r="1073" spans="2:43">
      <c r="B1073"/>
      <c r="C1073"/>
      <c r="D1073"/>
      <c r="Q1073"/>
      <c r="AQ1073" s="20"/>
    </row>
    <row r="1074" spans="2:43">
      <c r="B1074"/>
      <c r="C1074"/>
      <c r="D1074"/>
      <c r="Q1074"/>
      <c r="AQ1074" s="20"/>
    </row>
    <row r="1075" spans="2:43">
      <c r="B1075"/>
      <c r="C1075"/>
      <c r="D1075"/>
      <c r="Q1075"/>
      <c r="AQ1075" s="20"/>
    </row>
    <row r="1076" spans="2:43">
      <c r="B1076"/>
      <c r="C1076"/>
      <c r="D1076"/>
      <c r="Q1076"/>
      <c r="AQ1076" s="20"/>
    </row>
    <row r="1077" spans="2:43">
      <c r="B1077"/>
      <c r="C1077"/>
      <c r="D1077"/>
      <c r="Q1077"/>
      <c r="AQ1077" s="20"/>
    </row>
    <row r="1078" spans="2:43">
      <c r="B1078"/>
      <c r="C1078"/>
      <c r="D1078"/>
      <c r="Q1078"/>
      <c r="AQ1078" s="20"/>
    </row>
    <row r="1079" spans="2:43">
      <c r="B1079"/>
      <c r="C1079"/>
      <c r="D1079"/>
      <c r="Q1079"/>
      <c r="AQ1079" s="20"/>
    </row>
    <row r="1080" spans="2:43">
      <c r="B1080"/>
      <c r="C1080"/>
      <c r="D1080"/>
      <c r="Q1080"/>
      <c r="AQ1080" s="20"/>
    </row>
    <row r="1081" spans="2:43">
      <c r="B1081"/>
      <c r="C1081"/>
      <c r="D1081"/>
      <c r="Q1081"/>
      <c r="AQ1081" s="20"/>
    </row>
    <row r="1082" spans="2:43">
      <c r="B1082"/>
      <c r="C1082"/>
      <c r="D1082"/>
      <c r="Q1082"/>
      <c r="AQ1082" s="20"/>
    </row>
    <row r="1083" spans="2:43">
      <c r="B1083"/>
      <c r="C1083"/>
      <c r="D1083"/>
      <c r="Q1083"/>
      <c r="AQ1083" s="20"/>
    </row>
    <row r="1084" spans="2:43">
      <c r="B1084"/>
      <c r="C1084"/>
      <c r="D1084"/>
      <c r="Q1084"/>
      <c r="AQ1084" s="20"/>
    </row>
    <row r="1085" spans="2:43">
      <c r="B1085"/>
      <c r="C1085"/>
      <c r="D1085"/>
      <c r="Q1085"/>
      <c r="AQ1085" s="20"/>
    </row>
    <row r="1086" spans="2:43">
      <c r="B1086"/>
      <c r="C1086"/>
      <c r="D1086"/>
      <c r="Q1086"/>
      <c r="AQ1086" s="20"/>
    </row>
    <row r="1087" spans="2:43">
      <c r="B1087"/>
      <c r="C1087"/>
      <c r="D1087"/>
      <c r="Q1087"/>
      <c r="AQ1087" s="20"/>
    </row>
    <row r="1088" spans="2:43">
      <c r="B1088"/>
      <c r="C1088"/>
      <c r="D1088"/>
      <c r="Q1088"/>
      <c r="AQ1088" s="20"/>
    </row>
    <row r="1089" spans="2:43">
      <c r="B1089"/>
      <c r="C1089"/>
      <c r="D1089"/>
      <c r="Q1089"/>
      <c r="AQ1089" s="20"/>
    </row>
    <row r="1090" spans="2:43">
      <c r="B1090"/>
      <c r="C1090"/>
      <c r="D1090"/>
      <c r="Q1090"/>
      <c r="AQ1090" s="20"/>
    </row>
    <row r="1091" spans="2:43">
      <c r="B1091"/>
      <c r="C1091"/>
      <c r="D1091"/>
      <c r="Q1091"/>
      <c r="AQ1091" s="20"/>
    </row>
    <row r="1092" spans="2:43">
      <c r="B1092"/>
      <c r="C1092"/>
      <c r="D1092"/>
      <c r="Q1092"/>
      <c r="AQ1092" s="20"/>
    </row>
    <row r="1093" spans="2:43">
      <c r="B1093"/>
      <c r="C1093"/>
      <c r="D1093"/>
      <c r="Q1093"/>
      <c r="AQ1093" s="20"/>
    </row>
    <row r="1094" spans="2:43">
      <c r="B1094"/>
      <c r="C1094"/>
      <c r="D1094"/>
      <c r="Q1094"/>
      <c r="AQ1094" s="20"/>
    </row>
    <row r="1095" spans="2:43">
      <c r="B1095"/>
      <c r="C1095"/>
      <c r="D1095"/>
      <c r="Q1095"/>
      <c r="AQ1095" s="20"/>
    </row>
    <row r="1096" spans="2:43">
      <c r="B1096"/>
      <c r="C1096"/>
      <c r="D1096"/>
      <c r="Q1096"/>
      <c r="AQ1096" s="20"/>
    </row>
    <row r="1097" spans="2:43">
      <c r="B1097"/>
      <c r="C1097"/>
      <c r="D1097"/>
      <c r="Q1097"/>
      <c r="AQ1097" s="20"/>
    </row>
    <row r="1098" spans="2:43">
      <c r="B1098"/>
      <c r="C1098"/>
      <c r="D1098"/>
      <c r="Q1098"/>
      <c r="AQ1098" s="20"/>
    </row>
    <row r="1099" spans="2:43">
      <c r="B1099"/>
      <c r="C1099"/>
      <c r="D1099"/>
      <c r="Q1099"/>
      <c r="AQ1099" s="20"/>
    </row>
    <row r="1100" spans="2:43">
      <c r="B1100"/>
      <c r="C1100"/>
      <c r="D1100"/>
      <c r="Q1100"/>
      <c r="AQ1100" s="20"/>
    </row>
    <row r="1101" spans="2:43">
      <c r="B1101"/>
      <c r="C1101"/>
      <c r="D1101"/>
      <c r="Q1101"/>
      <c r="AQ1101" s="20"/>
    </row>
    <row r="1102" spans="2:43">
      <c r="B1102"/>
      <c r="C1102"/>
      <c r="D1102"/>
      <c r="Q1102"/>
      <c r="AQ1102" s="20"/>
    </row>
    <row r="1103" spans="2:43">
      <c r="B1103"/>
      <c r="C1103"/>
      <c r="D1103"/>
      <c r="Q1103"/>
      <c r="AQ1103" s="20"/>
    </row>
    <row r="1104" spans="2:43">
      <c r="B1104"/>
      <c r="C1104"/>
      <c r="D1104"/>
      <c r="Q1104"/>
      <c r="AQ1104" s="20"/>
    </row>
    <row r="1105" spans="2:43">
      <c r="B1105"/>
      <c r="C1105"/>
      <c r="D1105"/>
      <c r="Q1105"/>
      <c r="AQ1105" s="20"/>
    </row>
    <row r="1106" spans="2:43">
      <c r="B1106"/>
      <c r="C1106"/>
      <c r="D1106"/>
      <c r="Q1106"/>
      <c r="AQ1106" s="20"/>
    </row>
    <row r="1107" spans="2:43">
      <c r="B1107"/>
      <c r="C1107"/>
      <c r="D1107"/>
      <c r="Q1107"/>
      <c r="AQ1107" s="20"/>
    </row>
    <row r="1108" spans="2:43">
      <c r="B1108"/>
      <c r="C1108"/>
      <c r="D1108"/>
      <c r="Q1108"/>
      <c r="AQ1108" s="20"/>
    </row>
    <row r="1109" spans="2:43">
      <c r="B1109"/>
      <c r="C1109"/>
      <c r="D1109"/>
      <c r="Q1109"/>
      <c r="AQ1109" s="20"/>
    </row>
    <row r="1110" spans="2:43">
      <c r="B1110"/>
      <c r="C1110"/>
      <c r="D1110"/>
      <c r="Q1110"/>
      <c r="AQ1110" s="20"/>
    </row>
    <row r="1111" spans="2:43">
      <c r="B1111"/>
      <c r="C1111"/>
      <c r="D1111"/>
      <c r="Q1111"/>
      <c r="AQ1111" s="20"/>
    </row>
    <row r="1112" spans="2:43">
      <c r="B1112"/>
      <c r="C1112"/>
      <c r="D1112"/>
      <c r="Q1112"/>
      <c r="AQ1112" s="20"/>
    </row>
    <row r="1113" spans="2:43">
      <c r="B1113"/>
      <c r="C1113"/>
      <c r="D1113"/>
      <c r="Q1113"/>
      <c r="AQ1113" s="20"/>
    </row>
    <row r="1114" spans="2:43">
      <c r="B1114"/>
      <c r="C1114"/>
      <c r="D1114"/>
      <c r="Q1114"/>
      <c r="AQ1114" s="20"/>
    </row>
    <row r="1115" spans="2:43">
      <c r="B1115"/>
      <c r="C1115"/>
      <c r="D1115"/>
      <c r="Q1115"/>
      <c r="AQ1115" s="20"/>
    </row>
    <row r="1116" spans="2:43">
      <c r="B1116"/>
      <c r="C1116"/>
      <c r="D1116"/>
      <c r="Q1116"/>
      <c r="AQ1116" s="20"/>
    </row>
    <row r="1117" spans="2:43">
      <c r="B1117"/>
      <c r="C1117"/>
      <c r="D1117"/>
      <c r="Q1117"/>
      <c r="AQ1117" s="20"/>
    </row>
    <row r="1118" spans="2:43">
      <c r="B1118"/>
      <c r="C1118"/>
      <c r="D1118"/>
      <c r="Q1118"/>
      <c r="AQ1118" s="20"/>
    </row>
    <row r="1119" spans="2:43">
      <c r="B1119"/>
      <c r="C1119"/>
      <c r="D1119"/>
      <c r="Q1119"/>
      <c r="AQ1119" s="20"/>
    </row>
    <row r="1120" spans="2:43">
      <c r="B1120"/>
      <c r="C1120"/>
      <c r="D1120"/>
      <c r="Q1120"/>
      <c r="AQ1120" s="20"/>
    </row>
    <row r="1121" spans="2:43">
      <c r="B1121"/>
      <c r="C1121"/>
      <c r="D1121"/>
      <c r="Q1121"/>
      <c r="AQ1121" s="20"/>
    </row>
    <row r="1122" spans="2:43">
      <c r="B1122"/>
      <c r="C1122"/>
      <c r="D1122"/>
      <c r="Q1122"/>
      <c r="AQ1122" s="20"/>
    </row>
    <row r="1123" spans="2:43">
      <c r="B1123"/>
      <c r="C1123"/>
      <c r="D1123"/>
      <c r="Q1123"/>
      <c r="AQ1123" s="20"/>
    </row>
    <row r="1124" spans="2:43">
      <c r="B1124"/>
      <c r="C1124"/>
      <c r="D1124"/>
      <c r="Q1124"/>
      <c r="AQ1124" s="20"/>
    </row>
    <row r="1125" spans="2:43">
      <c r="B1125"/>
      <c r="C1125"/>
      <c r="D1125"/>
      <c r="Q1125"/>
      <c r="AQ1125" s="20"/>
    </row>
    <row r="1126" spans="2:43">
      <c r="B1126"/>
      <c r="C1126"/>
      <c r="D1126"/>
      <c r="Q1126"/>
      <c r="AQ1126" s="20"/>
    </row>
    <row r="1127" spans="2:43">
      <c r="B1127"/>
      <c r="C1127"/>
      <c r="D1127"/>
      <c r="Q1127"/>
      <c r="AQ1127" s="20"/>
    </row>
    <row r="1128" spans="2:43">
      <c r="B1128"/>
      <c r="C1128"/>
      <c r="D1128"/>
      <c r="Q1128"/>
      <c r="AQ1128" s="20"/>
    </row>
    <row r="1129" spans="2:43">
      <c r="B1129"/>
      <c r="C1129"/>
      <c r="D1129"/>
      <c r="Q1129"/>
      <c r="AQ1129" s="20"/>
    </row>
    <row r="1130" spans="2:43">
      <c r="B1130"/>
      <c r="C1130"/>
      <c r="D1130"/>
      <c r="Q1130"/>
      <c r="AQ1130" s="20"/>
    </row>
    <row r="1131" spans="2:43">
      <c r="B1131"/>
      <c r="C1131"/>
      <c r="D1131"/>
      <c r="Q1131"/>
      <c r="AQ1131" s="20"/>
    </row>
    <row r="1132" spans="2:43">
      <c r="B1132"/>
      <c r="C1132"/>
      <c r="D1132"/>
      <c r="Q1132"/>
      <c r="AQ1132" s="20"/>
    </row>
    <row r="1133" spans="2:43">
      <c r="B1133"/>
      <c r="C1133"/>
      <c r="D1133"/>
      <c r="Q1133"/>
      <c r="AQ1133" s="20"/>
    </row>
    <row r="1134" spans="2:43">
      <c r="B1134"/>
      <c r="C1134"/>
      <c r="D1134"/>
      <c r="Q1134"/>
      <c r="AQ1134" s="20"/>
    </row>
    <row r="1135" spans="2:43">
      <c r="B1135"/>
      <c r="C1135"/>
      <c r="D1135"/>
      <c r="Q1135"/>
      <c r="AQ1135" s="20"/>
    </row>
    <row r="1136" spans="2:43">
      <c r="B1136"/>
      <c r="C1136"/>
      <c r="D1136"/>
      <c r="Q1136"/>
      <c r="AQ1136" s="20"/>
    </row>
    <row r="1137" spans="2:43">
      <c r="B1137"/>
      <c r="C1137"/>
      <c r="D1137"/>
      <c r="Q1137"/>
      <c r="AQ1137" s="20"/>
    </row>
    <row r="1138" spans="2:43">
      <c r="B1138"/>
      <c r="C1138"/>
      <c r="D1138"/>
      <c r="Q1138"/>
      <c r="AQ1138" s="20"/>
    </row>
    <row r="1139" spans="2:43">
      <c r="B1139"/>
      <c r="C1139"/>
      <c r="D1139"/>
      <c r="Q1139"/>
      <c r="AQ1139" s="20"/>
    </row>
    <row r="1140" spans="2:43">
      <c r="B1140"/>
      <c r="C1140"/>
      <c r="D1140"/>
      <c r="Q1140"/>
      <c r="AQ1140" s="20"/>
    </row>
    <row r="1141" spans="2:43">
      <c r="B1141"/>
      <c r="C1141"/>
      <c r="D1141"/>
      <c r="Q1141"/>
      <c r="AQ1141" s="20"/>
    </row>
    <row r="1142" spans="2:43">
      <c r="B1142"/>
      <c r="C1142"/>
      <c r="D1142"/>
      <c r="Q1142"/>
      <c r="AQ1142" s="20"/>
    </row>
    <row r="1143" spans="2:43">
      <c r="B1143"/>
      <c r="C1143"/>
      <c r="D1143"/>
      <c r="Q1143"/>
      <c r="AQ1143" s="20"/>
    </row>
    <row r="1144" spans="2:43">
      <c r="B1144"/>
      <c r="C1144"/>
      <c r="D1144"/>
      <c r="Q1144"/>
      <c r="AQ1144" s="20"/>
    </row>
    <row r="1145" spans="2:43">
      <c r="B1145"/>
      <c r="C1145"/>
      <c r="D1145"/>
      <c r="Q1145"/>
      <c r="AQ1145" s="20"/>
    </row>
    <row r="1146" spans="2:43">
      <c r="B1146"/>
      <c r="C1146"/>
      <c r="D1146"/>
      <c r="Q1146"/>
      <c r="AQ1146" s="20"/>
    </row>
    <row r="1147" spans="2:43">
      <c r="B1147"/>
      <c r="C1147"/>
      <c r="D1147"/>
      <c r="Q1147"/>
      <c r="AQ1147" s="20"/>
    </row>
    <row r="1148" spans="2:43">
      <c r="B1148"/>
      <c r="C1148"/>
      <c r="D1148"/>
      <c r="Q1148"/>
      <c r="AQ1148" s="20"/>
    </row>
    <row r="1149" spans="2:43">
      <c r="B1149"/>
      <c r="C1149"/>
      <c r="D1149"/>
      <c r="Q1149"/>
      <c r="AQ1149" s="20"/>
    </row>
    <row r="1150" spans="2:43">
      <c r="B1150"/>
      <c r="C1150"/>
      <c r="D1150"/>
      <c r="Q1150"/>
      <c r="AQ1150" s="20"/>
    </row>
    <row r="1151" spans="2:43">
      <c r="B1151"/>
      <c r="C1151"/>
      <c r="D1151"/>
      <c r="Q1151"/>
      <c r="AQ1151" s="20"/>
    </row>
    <row r="1152" spans="2:43">
      <c r="B1152"/>
      <c r="C1152"/>
      <c r="D1152"/>
      <c r="Q1152"/>
      <c r="AQ1152" s="20"/>
    </row>
    <row r="1153" spans="2:43">
      <c r="B1153"/>
      <c r="C1153"/>
      <c r="D1153"/>
      <c r="Q1153"/>
      <c r="AQ1153" s="20"/>
    </row>
    <row r="1154" spans="2:43">
      <c r="B1154"/>
      <c r="C1154"/>
      <c r="D1154"/>
      <c r="Q1154"/>
      <c r="AQ1154" s="20"/>
    </row>
    <row r="1155" spans="2:43">
      <c r="B1155"/>
      <c r="C1155"/>
      <c r="D1155"/>
      <c r="Q1155"/>
      <c r="AQ1155" s="20"/>
    </row>
    <row r="1156" spans="2:43">
      <c r="B1156"/>
      <c r="C1156"/>
      <c r="D1156"/>
      <c r="Q1156"/>
      <c r="AQ1156" s="20"/>
    </row>
    <row r="1157" spans="2:43">
      <c r="B1157"/>
      <c r="C1157"/>
      <c r="D1157"/>
      <c r="Q1157"/>
      <c r="AQ1157" s="20"/>
    </row>
    <row r="1158" spans="2:43">
      <c r="B1158"/>
      <c r="C1158"/>
      <c r="D1158"/>
      <c r="Q1158"/>
      <c r="AQ1158" s="20"/>
    </row>
    <row r="1159" spans="2:43">
      <c r="B1159"/>
      <c r="C1159"/>
      <c r="D1159"/>
      <c r="Q1159"/>
      <c r="AQ1159" s="20"/>
    </row>
    <row r="1160" spans="2:43">
      <c r="B1160"/>
      <c r="C1160"/>
      <c r="D1160"/>
      <c r="Q1160"/>
      <c r="AQ1160" s="20"/>
    </row>
    <row r="1161" spans="2:43">
      <c r="B1161"/>
      <c r="C1161"/>
      <c r="D1161"/>
      <c r="Q1161"/>
      <c r="AQ1161" s="20"/>
    </row>
    <row r="1162" spans="2:43">
      <c r="B1162"/>
      <c r="C1162"/>
      <c r="D1162"/>
      <c r="Q1162"/>
      <c r="AQ1162" s="20"/>
    </row>
    <row r="1163" spans="2:43">
      <c r="B1163"/>
      <c r="C1163"/>
      <c r="D1163"/>
      <c r="Q1163"/>
      <c r="AQ1163" s="20"/>
    </row>
    <row r="1164" spans="2:43">
      <c r="B1164"/>
      <c r="C1164"/>
      <c r="D1164"/>
      <c r="Q1164"/>
      <c r="AQ1164" s="20"/>
    </row>
    <row r="1165" spans="2:43">
      <c r="B1165"/>
      <c r="C1165"/>
      <c r="D1165"/>
      <c r="Q1165"/>
      <c r="AQ1165" s="20"/>
    </row>
    <row r="1166" spans="2:43">
      <c r="B1166"/>
      <c r="C1166"/>
      <c r="D1166"/>
      <c r="Q1166"/>
      <c r="AQ1166" s="20"/>
    </row>
    <row r="1167" spans="2:43">
      <c r="B1167"/>
      <c r="C1167"/>
      <c r="D1167"/>
      <c r="Q1167"/>
      <c r="AQ1167" s="20"/>
    </row>
    <row r="1168" spans="2:43">
      <c r="B1168"/>
      <c r="C1168"/>
      <c r="D1168"/>
      <c r="Q1168"/>
      <c r="AQ1168" s="20"/>
    </row>
    <row r="1169" spans="2:43">
      <c r="B1169"/>
      <c r="C1169"/>
      <c r="D1169"/>
      <c r="Q1169"/>
      <c r="AQ1169" s="20"/>
    </row>
    <row r="1170" spans="2:43">
      <c r="B1170"/>
      <c r="C1170"/>
      <c r="D1170"/>
      <c r="Q1170"/>
      <c r="AQ1170" s="20"/>
    </row>
    <row r="1171" spans="2:43">
      <c r="B1171"/>
      <c r="C1171"/>
      <c r="D1171"/>
      <c r="Q1171"/>
      <c r="AQ1171" s="20"/>
    </row>
    <row r="1172" spans="2:43">
      <c r="B1172"/>
      <c r="C1172"/>
      <c r="D1172"/>
      <c r="Q1172"/>
      <c r="AQ1172" s="20"/>
    </row>
    <row r="1173" spans="2:43">
      <c r="B1173"/>
      <c r="C1173"/>
      <c r="D1173"/>
      <c r="Q1173"/>
      <c r="AQ1173" s="20"/>
    </row>
    <row r="1174" spans="2:43">
      <c r="B1174"/>
      <c r="C1174"/>
      <c r="D1174"/>
      <c r="Q1174"/>
      <c r="AQ1174" s="20"/>
    </row>
    <row r="1175" spans="2:43">
      <c r="B1175"/>
      <c r="C1175"/>
      <c r="D1175"/>
      <c r="Q1175"/>
      <c r="AQ1175" s="20"/>
    </row>
    <row r="1176" spans="2:43">
      <c r="B1176"/>
      <c r="C1176"/>
      <c r="D1176"/>
      <c r="Q1176"/>
      <c r="AQ1176" s="20"/>
    </row>
    <row r="1177" spans="2:43">
      <c r="B1177"/>
      <c r="C1177"/>
      <c r="D1177"/>
      <c r="Q1177"/>
      <c r="AQ1177" s="20"/>
    </row>
    <row r="1178" spans="2:43">
      <c r="B1178"/>
      <c r="C1178"/>
      <c r="D1178"/>
      <c r="Q1178"/>
      <c r="AQ1178" s="20"/>
    </row>
    <row r="1179" spans="2:43">
      <c r="B1179"/>
      <c r="C1179"/>
      <c r="D1179"/>
      <c r="Q1179"/>
      <c r="AQ1179" s="20"/>
    </row>
    <row r="1180" spans="2:43">
      <c r="B1180"/>
      <c r="C1180"/>
      <c r="D1180"/>
      <c r="Q1180"/>
      <c r="AQ1180" s="20"/>
    </row>
    <row r="1181" spans="2:43">
      <c r="B1181"/>
      <c r="C1181"/>
      <c r="D1181"/>
      <c r="Q1181"/>
      <c r="AQ1181" s="20"/>
    </row>
    <row r="1182" spans="2:43">
      <c r="B1182"/>
      <c r="C1182"/>
      <c r="D1182"/>
      <c r="Q1182"/>
      <c r="AQ1182" s="20"/>
    </row>
    <row r="1183" spans="2:43">
      <c r="B1183"/>
      <c r="C1183"/>
      <c r="D1183"/>
      <c r="Q1183"/>
      <c r="AQ1183" s="20"/>
    </row>
    <row r="1184" spans="2:43">
      <c r="B1184"/>
      <c r="C1184"/>
      <c r="D1184"/>
      <c r="Q1184"/>
      <c r="AQ1184" s="20"/>
    </row>
    <row r="1185" spans="2:43">
      <c r="B1185"/>
      <c r="C1185"/>
      <c r="D1185"/>
      <c r="Q1185"/>
      <c r="AQ1185" s="20"/>
    </row>
    <row r="1186" spans="2:43">
      <c r="B1186"/>
      <c r="C1186"/>
      <c r="D1186"/>
      <c r="Q1186"/>
      <c r="AQ1186" s="20"/>
    </row>
    <row r="1187" spans="2:43">
      <c r="B1187"/>
      <c r="C1187"/>
      <c r="D1187"/>
      <c r="Q1187"/>
      <c r="AQ1187" s="20"/>
    </row>
    <row r="1188" spans="2:43">
      <c r="B1188"/>
      <c r="C1188"/>
      <c r="D1188"/>
      <c r="Q1188"/>
      <c r="AQ1188" s="20"/>
    </row>
    <row r="1189" spans="2:43">
      <c r="B1189"/>
      <c r="C1189"/>
      <c r="D1189"/>
      <c r="Q1189"/>
      <c r="AQ1189" s="20"/>
    </row>
    <row r="1190" spans="2:43">
      <c r="B1190"/>
      <c r="C1190"/>
      <c r="D1190"/>
      <c r="Q1190"/>
      <c r="AQ1190" s="20"/>
    </row>
    <row r="1191" spans="2:43">
      <c r="B1191"/>
      <c r="C1191"/>
      <c r="D1191"/>
      <c r="Q1191"/>
      <c r="AQ1191" s="20"/>
    </row>
    <row r="1192" spans="2:43">
      <c r="B1192"/>
      <c r="C1192"/>
      <c r="D1192"/>
      <c r="Q1192"/>
      <c r="AQ1192" s="20"/>
    </row>
    <row r="1193" spans="2:43">
      <c r="B1193"/>
      <c r="C1193"/>
      <c r="D1193"/>
      <c r="Q1193"/>
      <c r="AQ1193" s="20"/>
    </row>
    <row r="1194" spans="2:43">
      <c r="B1194"/>
      <c r="C1194"/>
      <c r="D1194"/>
      <c r="Q1194"/>
      <c r="AQ1194" s="20"/>
    </row>
    <row r="1195" spans="2:43">
      <c r="B1195"/>
      <c r="C1195"/>
      <c r="D1195"/>
      <c r="Q1195"/>
      <c r="AQ1195" s="20"/>
    </row>
    <row r="1196" spans="2:43">
      <c r="B1196"/>
      <c r="C1196"/>
      <c r="D1196"/>
      <c r="Q1196"/>
      <c r="AQ1196" s="20"/>
    </row>
    <row r="1197" spans="2:43">
      <c r="B1197"/>
      <c r="C1197"/>
      <c r="D1197"/>
      <c r="Q1197"/>
      <c r="AQ1197" s="20"/>
    </row>
    <row r="1198" spans="2:43">
      <c r="B1198"/>
      <c r="C1198"/>
      <c r="D1198"/>
      <c r="Q1198"/>
      <c r="AQ1198" s="20"/>
    </row>
    <row r="1199" spans="2:43">
      <c r="B1199"/>
      <c r="C1199"/>
      <c r="D1199"/>
      <c r="Q1199"/>
      <c r="AQ1199" s="20"/>
    </row>
    <row r="1200" spans="2:43">
      <c r="B1200"/>
      <c r="C1200"/>
      <c r="D1200"/>
      <c r="Q1200"/>
      <c r="AQ1200" s="20"/>
    </row>
    <row r="1201" spans="2:43">
      <c r="B1201"/>
      <c r="C1201"/>
      <c r="D1201"/>
      <c r="Q1201"/>
      <c r="AQ1201" s="20"/>
    </row>
    <row r="1202" spans="2:43">
      <c r="B1202"/>
      <c r="C1202"/>
      <c r="D1202"/>
      <c r="Q1202"/>
      <c r="AQ1202" s="20"/>
    </row>
    <row r="1203" spans="2:43">
      <c r="B1203"/>
      <c r="C1203"/>
      <c r="D1203"/>
      <c r="Q1203"/>
      <c r="AQ1203" s="20"/>
    </row>
    <row r="1204" spans="2:43">
      <c r="B1204"/>
      <c r="C1204"/>
      <c r="D1204"/>
      <c r="Q1204"/>
      <c r="AQ1204" s="20"/>
    </row>
    <row r="1205" spans="2:43">
      <c r="B1205"/>
      <c r="C1205"/>
      <c r="D1205"/>
      <c r="Q1205"/>
      <c r="AQ1205" s="20"/>
    </row>
    <row r="1206" spans="2:43">
      <c r="B1206"/>
      <c r="C1206"/>
      <c r="D1206"/>
      <c r="Q1206"/>
      <c r="AQ1206" s="20"/>
    </row>
    <row r="1207" spans="2:43">
      <c r="B1207"/>
      <c r="C1207"/>
      <c r="D1207"/>
      <c r="Q1207"/>
      <c r="AQ1207" s="20"/>
    </row>
    <row r="1208" spans="2:43">
      <c r="B1208"/>
      <c r="C1208"/>
      <c r="D1208"/>
      <c r="Q1208"/>
      <c r="AQ1208" s="20"/>
    </row>
    <row r="1209" spans="2:43">
      <c r="B1209"/>
      <c r="C1209"/>
      <c r="D1209"/>
      <c r="Q1209"/>
      <c r="AQ1209" s="20"/>
    </row>
    <row r="1210" spans="2:43">
      <c r="B1210"/>
      <c r="C1210"/>
      <c r="D1210"/>
      <c r="Q1210"/>
      <c r="AQ1210" s="20"/>
    </row>
    <row r="1211" spans="2:43">
      <c r="B1211"/>
      <c r="C1211"/>
      <c r="D1211"/>
      <c r="Q1211"/>
      <c r="AQ1211" s="20"/>
    </row>
    <row r="1212" spans="2:43">
      <c r="B1212"/>
      <c r="C1212"/>
      <c r="D1212"/>
      <c r="Q1212"/>
      <c r="AQ1212" s="20"/>
    </row>
    <row r="1213" spans="2:43">
      <c r="B1213"/>
      <c r="C1213"/>
      <c r="D1213"/>
      <c r="Q1213"/>
      <c r="AQ1213" s="20"/>
    </row>
    <row r="1214" spans="2:43">
      <c r="B1214"/>
      <c r="C1214"/>
      <c r="D1214"/>
      <c r="Q1214"/>
      <c r="AQ1214" s="20"/>
    </row>
    <row r="1215" spans="2:43">
      <c r="B1215"/>
      <c r="C1215"/>
      <c r="D1215"/>
      <c r="Q1215"/>
      <c r="AQ1215" s="20"/>
    </row>
    <row r="1216" spans="2:43">
      <c r="B1216"/>
      <c r="C1216"/>
      <c r="D1216"/>
      <c r="Q1216"/>
      <c r="AQ1216" s="20"/>
    </row>
    <row r="1217" spans="2:43">
      <c r="B1217"/>
      <c r="C1217"/>
      <c r="D1217"/>
      <c r="Q1217"/>
      <c r="AQ1217" s="20"/>
    </row>
    <row r="1218" spans="2:43">
      <c r="B1218"/>
      <c r="C1218"/>
      <c r="D1218"/>
      <c r="Q1218"/>
      <c r="AQ1218" s="20"/>
    </row>
    <row r="1219" spans="2:43">
      <c r="B1219"/>
      <c r="C1219"/>
      <c r="D1219"/>
      <c r="Q1219"/>
      <c r="AQ1219" s="20"/>
    </row>
    <row r="1220" spans="2:43">
      <c r="B1220"/>
      <c r="C1220"/>
      <c r="D1220"/>
      <c r="Q1220"/>
      <c r="AQ1220" s="20"/>
    </row>
    <row r="1221" spans="2:43">
      <c r="B1221"/>
      <c r="C1221"/>
      <c r="D1221"/>
      <c r="Q1221"/>
      <c r="AQ1221" s="20"/>
    </row>
    <row r="1222" spans="2:43">
      <c r="B1222"/>
      <c r="C1222"/>
      <c r="D1222"/>
      <c r="Q1222"/>
      <c r="AQ1222" s="20"/>
    </row>
    <row r="1223" spans="2:43">
      <c r="B1223"/>
      <c r="C1223"/>
      <c r="D1223"/>
      <c r="Q1223"/>
      <c r="AQ1223" s="20"/>
    </row>
    <row r="1224" spans="2:43">
      <c r="B1224"/>
      <c r="C1224"/>
      <c r="D1224"/>
      <c r="Q1224"/>
      <c r="AQ1224" s="20"/>
    </row>
    <row r="1225" spans="2:43">
      <c r="B1225"/>
      <c r="C1225"/>
      <c r="D1225"/>
      <c r="Q1225"/>
      <c r="AQ1225" s="20"/>
    </row>
    <row r="1226" spans="2:43">
      <c r="B1226"/>
      <c r="C1226"/>
      <c r="D1226"/>
      <c r="Q1226"/>
      <c r="AQ1226" s="20"/>
    </row>
    <row r="1227" spans="2:43">
      <c r="B1227"/>
      <c r="C1227"/>
      <c r="D1227"/>
      <c r="Q1227"/>
      <c r="AQ1227" s="20"/>
    </row>
    <row r="1228" spans="2:43">
      <c r="B1228"/>
      <c r="C1228"/>
      <c r="D1228"/>
      <c r="Q1228"/>
      <c r="AQ1228" s="20"/>
    </row>
    <row r="1229" spans="2:43">
      <c r="B1229"/>
      <c r="C1229"/>
      <c r="D1229"/>
      <c r="Q1229"/>
      <c r="AQ1229" s="20"/>
    </row>
    <row r="1230" spans="2:43">
      <c r="B1230"/>
      <c r="C1230"/>
      <c r="D1230"/>
      <c r="Q1230"/>
      <c r="AQ1230" s="20"/>
    </row>
    <row r="1231" spans="2:43">
      <c r="B1231"/>
      <c r="C1231"/>
      <c r="D1231"/>
      <c r="Q1231"/>
      <c r="AQ1231" s="20"/>
    </row>
    <row r="1232" spans="2:43">
      <c r="B1232"/>
      <c r="C1232"/>
      <c r="D1232"/>
      <c r="Q1232"/>
      <c r="AQ1232" s="20"/>
    </row>
    <row r="1233" spans="2:43">
      <c r="B1233"/>
      <c r="C1233"/>
      <c r="D1233"/>
      <c r="Q1233"/>
      <c r="AQ1233" s="20"/>
    </row>
    <row r="1234" spans="2:43">
      <c r="B1234"/>
      <c r="C1234"/>
      <c r="D1234"/>
      <c r="Q1234"/>
      <c r="AQ1234" s="20"/>
    </row>
    <row r="1235" spans="2:43">
      <c r="B1235"/>
      <c r="C1235"/>
      <c r="D1235"/>
      <c r="Q1235"/>
      <c r="AQ1235" s="20"/>
    </row>
    <row r="1236" spans="2:43">
      <c r="B1236"/>
      <c r="C1236"/>
      <c r="D1236"/>
      <c r="Q1236"/>
      <c r="AQ1236" s="20"/>
    </row>
    <row r="1237" spans="2:43">
      <c r="B1237"/>
      <c r="C1237"/>
      <c r="D1237"/>
      <c r="Q1237"/>
      <c r="AQ1237" s="20"/>
    </row>
    <row r="1238" spans="2:43">
      <c r="B1238"/>
      <c r="C1238"/>
      <c r="D1238"/>
      <c r="Q1238"/>
      <c r="AQ1238" s="20"/>
    </row>
    <row r="1239" spans="2:43">
      <c r="B1239"/>
      <c r="C1239"/>
      <c r="D1239"/>
      <c r="Q1239"/>
      <c r="AQ1239" s="20"/>
    </row>
    <row r="1240" spans="2:43">
      <c r="B1240"/>
      <c r="C1240"/>
      <c r="D1240"/>
      <c r="Q1240"/>
      <c r="AQ1240" s="20"/>
    </row>
    <row r="1241" spans="2:43">
      <c r="B1241"/>
      <c r="C1241"/>
      <c r="D1241"/>
      <c r="Q1241"/>
      <c r="AQ1241" s="20"/>
    </row>
    <row r="1242" spans="2:43">
      <c r="B1242"/>
      <c r="C1242"/>
      <c r="D1242"/>
      <c r="Q1242"/>
      <c r="AQ1242" s="20"/>
    </row>
    <row r="1243" spans="2:43">
      <c r="B1243"/>
      <c r="C1243"/>
      <c r="D1243"/>
      <c r="Q1243"/>
      <c r="AQ1243" s="20"/>
    </row>
    <row r="1244" spans="2:43">
      <c r="B1244"/>
      <c r="C1244"/>
      <c r="D1244"/>
      <c r="Q1244"/>
      <c r="AQ1244" s="20"/>
    </row>
    <row r="1245" spans="2:43">
      <c r="B1245"/>
      <c r="C1245"/>
      <c r="D1245"/>
      <c r="Q1245"/>
      <c r="AQ1245" s="20"/>
    </row>
    <row r="1246" spans="2:43">
      <c r="B1246"/>
      <c r="C1246"/>
      <c r="D1246"/>
      <c r="Q1246"/>
      <c r="AQ1246" s="20"/>
    </row>
    <row r="1247" spans="2:43">
      <c r="B1247"/>
      <c r="C1247"/>
      <c r="D1247"/>
      <c r="Q1247"/>
      <c r="AQ1247" s="20"/>
    </row>
    <row r="1248" spans="2:43">
      <c r="B1248"/>
      <c r="C1248"/>
      <c r="D1248"/>
      <c r="Q1248"/>
      <c r="AQ1248" s="20"/>
    </row>
    <row r="1249" spans="2:43">
      <c r="B1249"/>
      <c r="C1249"/>
      <c r="D1249"/>
      <c r="Q1249"/>
      <c r="AQ1249" s="20"/>
    </row>
    <row r="1250" spans="2:43">
      <c r="B1250"/>
      <c r="C1250"/>
      <c r="D1250"/>
      <c r="Q1250"/>
      <c r="AQ1250" s="20"/>
    </row>
    <row r="1251" spans="2:43">
      <c r="B1251"/>
      <c r="C1251"/>
      <c r="D1251"/>
      <c r="Q1251"/>
      <c r="AQ1251" s="20"/>
    </row>
    <row r="1252" spans="2:43">
      <c r="B1252"/>
      <c r="C1252"/>
      <c r="D1252"/>
      <c r="Q1252"/>
      <c r="AQ1252" s="20"/>
    </row>
    <row r="1253" spans="2:43">
      <c r="B1253"/>
      <c r="C1253"/>
      <c r="D1253"/>
      <c r="Q1253"/>
      <c r="AQ1253" s="20"/>
    </row>
    <row r="1254" spans="2:43">
      <c r="B1254"/>
      <c r="C1254"/>
      <c r="D1254"/>
      <c r="Q1254"/>
      <c r="AQ1254" s="20"/>
    </row>
    <row r="1255" spans="2:43">
      <c r="B1255"/>
      <c r="C1255"/>
      <c r="D1255"/>
      <c r="Q1255"/>
      <c r="AQ1255" s="20"/>
    </row>
    <row r="1256" spans="2:43">
      <c r="B1256"/>
      <c r="C1256"/>
      <c r="D1256"/>
      <c r="Q1256"/>
      <c r="AQ1256" s="20"/>
    </row>
    <row r="1257" spans="2:43">
      <c r="B1257"/>
      <c r="C1257"/>
      <c r="D1257"/>
      <c r="Q1257"/>
      <c r="AQ1257" s="20"/>
    </row>
    <row r="1258" spans="2:43">
      <c r="B1258"/>
      <c r="C1258"/>
      <c r="D1258"/>
      <c r="Q1258"/>
      <c r="AQ1258" s="20"/>
    </row>
    <row r="1259" spans="2:43">
      <c r="B1259"/>
      <c r="C1259"/>
      <c r="D1259"/>
      <c r="Q1259"/>
      <c r="AQ1259" s="20"/>
    </row>
    <row r="1260" spans="2:43">
      <c r="B1260"/>
      <c r="C1260"/>
      <c r="D1260"/>
      <c r="Q1260"/>
      <c r="AQ1260" s="20"/>
    </row>
    <row r="1261" spans="2:43">
      <c r="B1261"/>
      <c r="C1261"/>
      <c r="D1261"/>
      <c r="Q1261"/>
      <c r="AQ1261" s="20"/>
    </row>
    <row r="1262" spans="2:43">
      <c r="B1262"/>
      <c r="C1262"/>
      <c r="D1262"/>
      <c r="Q1262"/>
      <c r="AQ1262" s="20"/>
    </row>
    <row r="1263" spans="2:43">
      <c r="B1263"/>
      <c r="C1263"/>
      <c r="D1263"/>
      <c r="Q1263"/>
      <c r="AQ1263" s="20"/>
    </row>
    <row r="1264" spans="2:43">
      <c r="B1264"/>
      <c r="C1264"/>
      <c r="D1264"/>
      <c r="Q1264"/>
      <c r="AQ1264" s="20"/>
    </row>
    <row r="1265" spans="2:43">
      <c r="B1265"/>
      <c r="C1265"/>
      <c r="D1265"/>
      <c r="Q1265"/>
      <c r="AQ1265" s="20"/>
    </row>
    <row r="1266" spans="2:43">
      <c r="B1266"/>
      <c r="C1266"/>
      <c r="D1266"/>
      <c r="Q1266"/>
      <c r="AQ1266" s="20"/>
    </row>
    <row r="1267" spans="2:43">
      <c r="B1267"/>
      <c r="C1267"/>
      <c r="D1267"/>
      <c r="Q1267"/>
      <c r="AQ1267" s="20"/>
    </row>
    <row r="1268" spans="2:43">
      <c r="B1268"/>
      <c r="C1268"/>
      <c r="D1268"/>
      <c r="Q1268"/>
      <c r="AQ1268" s="20"/>
    </row>
    <row r="1269" spans="2:43">
      <c r="B1269"/>
      <c r="C1269"/>
      <c r="D1269"/>
      <c r="Q1269"/>
      <c r="AQ1269" s="20"/>
    </row>
    <row r="1270" spans="2:43">
      <c r="B1270"/>
      <c r="C1270"/>
      <c r="D1270"/>
      <c r="Q1270"/>
      <c r="AQ1270" s="20"/>
    </row>
    <row r="1271" spans="2:43">
      <c r="B1271"/>
      <c r="C1271"/>
      <c r="D1271"/>
      <c r="Q1271"/>
      <c r="AQ1271" s="20"/>
    </row>
    <row r="1272" spans="2:43">
      <c r="B1272"/>
      <c r="C1272"/>
      <c r="D1272"/>
      <c r="Q1272"/>
      <c r="AQ1272" s="20"/>
    </row>
    <row r="1273" spans="2:43">
      <c r="B1273"/>
      <c r="C1273"/>
      <c r="D1273"/>
      <c r="Q1273"/>
      <c r="AQ1273" s="20"/>
    </row>
    <row r="1274" spans="2:43">
      <c r="B1274"/>
      <c r="C1274"/>
      <c r="D1274"/>
      <c r="Q1274"/>
      <c r="AQ1274" s="20"/>
    </row>
    <row r="1275" spans="2:43">
      <c r="B1275"/>
      <c r="C1275"/>
      <c r="D1275"/>
      <c r="Q1275"/>
      <c r="AQ1275" s="20"/>
    </row>
    <row r="1276" spans="2:43">
      <c r="B1276"/>
      <c r="C1276"/>
      <c r="D1276"/>
      <c r="Q1276"/>
      <c r="AQ1276" s="20"/>
    </row>
    <row r="1277" spans="2:43">
      <c r="B1277"/>
      <c r="C1277"/>
      <c r="D1277"/>
      <c r="Q1277"/>
      <c r="AQ1277" s="20"/>
    </row>
    <row r="1278" spans="2:43">
      <c r="B1278"/>
      <c r="C1278"/>
      <c r="D1278"/>
      <c r="Q1278"/>
      <c r="AQ1278" s="20"/>
    </row>
    <row r="1279" spans="2:43">
      <c r="B1279"/>
      <c r="C1279"/>
      <c r="D1279"/>
      <c r="Q1279"/>
      <c r="AQ1279" s="20"/>
    </row>
    <row r="1280" spans="2:43">
      <c r="B1280"/>
      <c r="C1280"/>
      <c r="D1280"/>
      <c r="Q1280"/>
      <c r="AQ1280" s="20"/>
    </row>
    <row r="1281" spans="2:43">
      <c r="B1281"/>
      <c r="C1281"/>
      <c r="D1281"/>
      <c r="Q1281"/>
      <c r="AQ1281" s="20"/>
    </row>
    <row r="1282" spans="2:43">
      <c r="B1282"/>
      <c r="C1282"/>
      <c r="D1282"/>
      <c r="Q1282"/>
      <c r="AQ1282" s="20"/>
    </row>
    <row r="1283" spans="2:43">
      <c r="B1283"/>
      <c r="C1283"/>
      <c r="D1283"/>
      <c r="Q1283"/>
      <c r="AQ1283" s="20"/>
    </row>
    <row r="1284" spans="2:43">
      <c r="B1284"/>
      <c r="C1284"/>
      <c r="D1284"/>
      <c r="Q1284"/>
      <c r="AQ1284" s="20"/>
    </row>
    <row r="1285" spans="2:43">
      <c r="B1285"/>
      <c r="C1285"/>
      <c r="D1285"/>
      <c r="Q1285"/>
      <c r="AQ1285" s="20"/>
    </row>
    <row r="1286" spans="2:43">
      <c r="B1286"/>
      <c r="C1286"/>
      <c r="D1286"/>
      <c r="Q1286"/>
      <c r="AQ1286" s="20"/>
    </row>
    <row r="1287" spans="2:43">
      <c r="B1287"/>
      <c r="C1287"/>
      <c r="D1287"/>
      <c r="Q1287"/>
      <c r="AQ1287" s="20"/>
    </row>
    <row r="1288" spans="2:43">
      <c r="B1288"/>
      <c r="C1288"/>
      <c r="D1288"/>
      <c r="Q1288"/>
      <c r="AQ1288" s="20"/>
    </row>
    <row r="1289" spans="2:43">
      <c r="B1289"/>
      <c r="C1289"/>
      <c r="D1289"/>
      <c r="Q1289"/>
      <c r="AQ1289" s="20"/>
    </row>
    <row r="1290" spans="2:43">
      <c r="B1290"/>
      <c r="C1290"/>
      <c r="D1290"/>
      <c r="Q1290"/>
      <c r="AQ1290" s="20"/>
    </row>
    <row r="1291" spans="2:43">
      <c r="B1291"/>
      <c r="C1291"/>
      <c r="D1291"/>
      <c r="Q1291"/>
      <c r="AQ1291" s="20"/>
    </row>
    <row r="1292" spans="2:43">
      <c r="B1292"/>
      <c r="C1292"/>
      <c r="D1292"/>
      <c r="Q1292"/>
      <c r="AQ1292" s="20"/>
    </row>
    <row r="1293" spans="2:43">
      <c r="B1293"/>
      <c r="C1293"/>
      <c r="D1293"/>
      <c r="Q1293"/>
      <c r="AQ1293" s="20"/>
    </row>
    <row r="1294" spans="2:43">
      <c r="B1294"/>
      <c r="C1294"/>
      <c r="D1294"/>
      <c r="Q1294"/>
      <c r="AQ1294" s="20"/>
    </row>
    <row r="1295" spans="2:43">
      <c r="B1295"/>
      <c r="C1295"/>
      <c r="D1295"/>
      <c r="Q1295"/>
      <c r="AQ1295" s="20"/>
    </row>
    <row r="1296" spans="2:43">
      <c r="B1296"/>
      <c r="C1296"/>
      <c r="D1296"/>
      <c r="Q1296"/>
      <c r="AQ1296" s="20"/>
    </row>
    <row r="1297" spans="2:43">
      <c r="B1297"/>
      <c r="C1297"/>
      <c r="D1297"/>
      <c r="Q1297"/>
      <c r="AQ1297" s="20"/>
    </row>
    <row r="1298" spans="2:43">
      <c r="B1298"/>
      <c r="C1298"/>
      <c r="D1298"/>
      <c r="Q1298"/>
      <c r="AQ1298" s="20"/>
    </row>
    <row r="1299" spans="2:43">
      <c r="B1299"/>
      <c r="C1299"/>
      <c r="D1299"/>
      <c r="Q1299"/>
      <c r="AQ1299" s="20"/>
    </row>
    <row r="1300" spans="2:43">
      <c r="B1300"/>
      <c r="C1300"/>
      <c r="D1300"/>
      <c r="Q1300"/>
      <c r="AQ1300" s="20"/>
    </row>
    <row r="1301" spans="2:43">
      <c r="B1301"/>
      <c r="C1301"/>
      <c r="D1301"/>
      <c r="Q1301"/>
      <c r="AQ1301" s="20"/>
    </row>
    <row r="1302" spans="2:43">
      <c r="B1302"/>
      <c r="C1302"/>
      <c r="D1302"/>
      <c r="Q1302"/>
      <c r="AQ1302" s="20"/>
    </row>
    <row r="1303" spans="2:43">
      <c r="B1303"/>
      <c r="C1303"/>
      <c r="D1303"/>
      <c r="Q1303"/>
      <c r="AQ1303" s="20"/>
    </row>
    <row r="1304" spans="2:43">
      <c r="B1304"/>
      <c r="C1304"/>
      <c r="D1304"/>
      <c r="Q1304"/>
      <c r="AQ1304" s="20"/>
    </row>
    <row r="1305" spans="2:43">
      <c r="B1305"/>
      <c r="C1305"/>
      <c r="D1305"/>
      <c r="Q1305"/>
      <c r="AQ1305" s="20"/>
    </row>
    <row r="1306" spans="2:43">
      <c r="B1306"/>
      <c r="C1306"/>
      <c r="D1306"/>
      <c r="Q1306"/>
      <c r="AQ1306" s="20"/>
    </row>
    <row r="1307" spans="2:43">
      <c r="B1307"/>
      <c r="C1307"/>
      <c r="D1307"/>
      <c r="Q1307"/>
      <c r="AQ1307" s="20"/>
    </row>
    <row r="1308" spans="2:43">
      <c r="B1308"/>
      <c r="C1308"/>
      <c r="D1308"/>
      <c r="Q1308"/>
      <c r="AQ1308" s="20"/>
    </row>
    <row r="1309" spans="2:43">
      <c r="B1309"/>
      <c r="C1309"/>
      <c r="D1309"/>
      <c r="Q1309"/>
      <c r="AQ1309" s="20"/>
    </row>
    <row r="1310" spans="2:43">
      <c r="B1310"/>
      <c r="C1310"/>
      <c r="D1310"/>
      <c r="Q1310"/>
      <c r="AQ1310" s="20"/>
    </row>
    <row r="1311" spans="2:43">
      <c r="B1311"/>
      <c r="C1311"/>
      <c r="D1311"/>
      <c r="Q1311"/>
      <c r="AQ1311" s="20"/>
    </row>
    <row r="1312" spans="2:43">
      <c r="B1312"/>
      <c r="C1312"/>
      <c r="D1312"/>
      <c r="Q1312"/>
      <c r="AQ1312" s="20"/>
    </row>
    <row r="1313" spans="2:43">
      <c r="B1313"/>
      <c r="C1313"/>
      <c r="D1313"/>
      <c r="Q1313"/>
      <c r="AQ1313" s="20"/>
    </row>
    <row r="1314" spans="2:43">
      <c r="B1314"/>
      <c r="C1314"/>
      <c r="D1314"/>
      <c r="Q1314"/>
      <c r="AQ1314" s="20"/>
    </row>
    <row r="1315" spans="2:43">
      <c r="B1315"/>
      <c r="C1315"/>
      <c r="D1315"/>
      <c r="Q1315"/>
      <c r="AQ1315" s="20"/>
    </row>
    <row r="1316" spans="2:43">
      <c r="B1316"/>
      <c r="C1316"/>
      <c r="D1316"/>
      <c r="Q1316"/>
      <c r="AQ1316" s="20"/>
    </row>
    <row r="1317" spans="2:43">
      <c r="B1317"/>
      <c r="C1317"/>
      <c r="D1317"/>
      <c r="Q1317"/>
      <c r="AQ1317" s="20"/>
    </row>
    <row r="1318" spans="2:43">
      <c r="B1318"/>
      <c r="C1318"/>
      <c r="D1318"/>
      <c r="Q1318"/>
      <c r="AQ1318" s="20"/>
    </row>
    <row r="1319" spans="2:43">
      <c r="B1319"/>
      <c r="C1319"/>
      <c r="D1319"/>
      <c r="Q1319"/>
      <c r="AQ1319" s="20"/>
    </row>
    <row r="1320" spans="2:43">
      <c r="B1320"/>
      <c r="C1320"/>
      <c r="D1320"/>
      <c r="Q1320"/>
      <c r="AQ1320" s="20"/>
    </row>
    <row r="1321" spans="2:43">
      <c r="B1321"/>
      <c r="C1321"/>
      <c r="D1321"/>
      <c r="Q1321"/>
      <c r="AQ1321" s="20"/>
    </row>
    <row r="1322" spans="2:43">
      <c r="B1322"/>
      <c r="C1322"/>
      <c r="D1322"/>
      <c r="Q1322"/>
      <c r="AQ1322" s="20"/>
    </row>
    <row r="1323" spans="2:43">
      <c r="B1323"/>
      <c r="C1323"/>
      <c r="D1323"/>
      <c r="Q1323"/>
      <c r="AQ1323" s="20"/>
    </row>
    <row r="1324" spans="2:43">
      <c r="B1324"/>
      <c r="C1324"/>
      <c r="D1324"/>
      <c r="Q1324"/>
      <c r="AQ1324" s="20"/>
    </row>
    <row r="1325" spans="2:43">
      <c r="B1325"/>
      <c r="C1325"/>
      <c r="D1325"/>
      <c r="Q1325"/>
      <c r="AQ1325" s="20"/>
    </row>
    <row r="1326" spans="2:43">
      <c r="B1326"/>
      <c r="C1326"/>
      <c r="D1326"/>
      <c r="Q1326"/>
      <c r="AQ1326" s="20"/>
    </row>
    <row r="1327" spans="2:43">
      <c r="B1327"/>
      <c r="C1327"/>
      <c r="D1327"/>
      <c r="Q1327"/>
      <c r="AQ1327" s="20"/>
    </row>
    <row r="1328" spans="2:43">
      <c r="B1328"/>
      <c r="C1328"/>
      <c r="D1328"/>
      <c r="Q1328"/>
      <c r="AQ1328" s="20"/>
    </row>
    <row r="1329" spans="2:43">
      <c r="B1329"/>
      <c r="C1329"/>
      <c r="D1329"/>
      <c r="Q1329"/>
      <c r="AQ1329" s="20"/>
    </row>
    <row r="1330" spans="2:43">
      <c r="B1330"/>
      <c r="C1330"/>
      <c r="D1330"/>
      <c r="Q1330"/>
      <c r="AQ1330" s="20"/>
    </row>
    <row r="1331" spans="2:43">
      <c r="B1331"/>
      <c r="C1331"/>
      <c r="D1331"/>
      <c r="Q1331"/>
      <c r="AQ1331" s="20"/>
    </row>
    <row r="1332" spans="2:43">
      <c r="B1332"/>
      <c r="C1332"/>
      <c r="D1332"/>
      <c r="Q1332"/>
      <c r="AQ1332" s="20"/>
    </row>
    <row r="1333" spans="2:43">
      <c r="B1333"/>
      <c r="C1333"/>
      <c r="D1333"/>
      <c r="Q1333"/>
      <c r="AQ1333" s="20"/>
    </row>
    <row r="1334" spans="2:43">
      <c r="B1334"/>
      <c r="C1334"/>
      <c r="D1334"/>
      <c r="Q1334"/>
      <c r="AQ1334" s="20"/>
    </row>
    <row r="1335" spans="2:43">
      <c r="B1335"/>
      <c r="C1335"/>
      <c r="D1335"/>
      <c r="Q1335"/>
      <c r="AQ1335" s="20"/>
    </row>
    <row r="1336" spans="2:43">
      <c r="B1336"/>
      <c r="C1336"/>
      <c r="D1336"/>
      <c r="Q1336"/>
      <c r="AQ1336" s="20"/>
    </row>
    <row r="1337" spans="2:43">
      <c r="B1337"/>
      <c r="C1337"/>
      <c r="D1337"/>
      <c r="Q1337"/>
      <c r="AQ1337" s="20"/>
    </row>
    <row r="1338" spans="2:43">
      <c r="B1338"/>
      <c r="C1338"/>
      <c r="D1338"/>
      <c r="Q1338"/>
      <c r="AQ1338" s="20"/>
    </row>
    <row r="1339" spans="2:43">
      <c r="B1339"/>
      <c r="C1339"/>
      <c r="D1339"/>
      <c r="Q1339"/>
      <c r="AQ1339" s="20"/>
    </row>
    <row r="1340" spans="2:43">
      <c r="B1340"/>
      <c r="C1340"/>
      <c r="D1340"/>
      <c r="Q1340"/>
      <c r="AQ1340" s="20"/>
    </row>
    <row r="1341" spans="2:43">
      <c r="B1341"/>
      <c r="C1341"/>
      <c r="D1341"/>
      <c r="Q1341"/>
      <c r="AQ1341" s="20"/>
    </row>
    <row r="1342" spans="2:43">
      <c r="B1342"/>
      <c r="C1342"/>
      <c r="D1342"/>
      <c r="Q1342"/>
      <c r="AQ1342" s="20"/>
    </row>
    <row r="1343" spans="2:43">
      <c r="B1343"/>
      <c r="C1343"/>
      <c r="D1343"/>
      <c r="Q1343"/>
      <c r="AQ1343" s="20"/>
    </row>
    <row r="1344" spans="2:43">
      <c r="B1344"/>
      <c r="C1344"/>
      <c r="D1344"/>
      <c r="Q1344"/>
      <c r="AQ1344" s="20"/>
    </row>
    <row r="1345" spans="2:43">
      <c r="B1345"/>
      <c r="C1345"/>
      <c r="D1345"/>
      <c r="Q1345"/>
      <c r="AQ1345" s="20"/>
    </row>
    <row r="1346" spans="2:43">
      <c r="B1346"/>
      <c r="C1346"/>
      <c r="D1346"/>
      <c r="Q1346"/>
      <c r="AQ1346" s="20"/>
    </row>
    <row r="1347" spans="2:43">
      <c r="B1347"/>
      <c r="C1347"/>
      <c r="D1347"/>
      <c r="Q1347"/>
      <c r="AQ1347" s="20"/>
    </row>
    <row r="1348" spans="2:43">
      <c r="B1348"/>
      <c r="C1348"/>
      <c r="D1348"/>
      <c r="Q1348"/>
      <c r="AQ1348" s="20"/>
    </row>
    <row r="1349" spans="2:43">
      <c r="B1349"/>
      <c r="C1349"/>
      <c r="D1349"/>
      <c r="Q1349"/>
      <c r="AQ1349" s="20"/>
    </row>
    <row r="1350" spans="2:43">
      <c r="B1350"/>
      <c r="C1350"/>
      <c r="D1350"/>
      <c r="Q1350"/>
      <c r="AQ1350" s="20"/>
    </row>
    <row r="1351" spans="2:43">
      <c r="B1351"/>
      <c r="C1351"/>
      <c r="D1351"/>
      <c r="Q1351"/>
      <c r="AQ1351" s="20"/>
    </row>
    <row r="1352" spans="2:43">
      <c r="B1352"/>
      <c r="C1352"/>
      <c r="D1352"/>
      <c r="Q1352"/>
      <c r="AQ1352" s="20"/>
    </row>
    <row r="1353" spans="2:43">
      <c r="B1353"/>
      <c r="C1353"/>
      <c r="D1353"/>
      <c r="Q1353"/>
      <c r="AQ1353" s="20"/>
    </row>
    <row r="1354" spans="2:43">
      <c r="B1354"/>
      <c r="C1354"/>
      <c r="D1354"/>
      <c r="Q1354"/>
      <c r="AQ1354" s="20"/>
    </row>
    <row r="1355" spans="2:43">
      <c r="B1355"/>
      <c r="C1355"/>
      <c r="D1355"/>
      <c r="Q1355"/>
      <c r="AQ1355" s="20"/>
    </row>
    <row r="1356" spans="2:43">
      <c r="B1356"/>
      <c r="C1356"/>
      <c r="D1356"/>
      <c r="Q1356"/>
      <c r="AQ1356" s="20"/>
    </row>
    <row r="1357" spans="2:43">
      <c r="B1357"/>
      <c r="C1357"/>
      <c r="D1357"/>
      <c r="Q1357"/>
      <c r="AQ1357" s="20"/>
    </row>
    <row r="1358" spans="2:43">
      <c r="B1358"/>
      <c r="C1358"/>
      <c r="D1358"/>
      <c r="Q1358"/>
      <c r="AQ1358" s="20"/>
    </row>
    <row r="1359" spans="2:43">
      <c r="B1359"/>
      <c r="C1359"/>
      <c r="D1359"/>
      <c r="Q1359"/>
      <c r="AQ1359" s="20"/>
    </row>
    <row r="1360" spans="2:43">
      <c r="B1360"/>
      <c r="C1360"/>
      <c r="D1360"/>
      <c r="Q1360"/>
      <c r="AQ1360" s="20"/>
    </row>
    <row r="1361" spans="2:43">
      <c r="B1361"/>
      <c r="C1361"/>
      <c r="D1361"/>
      <c r="Q1361"/>
      <c r="AQ1361" s="20"/>
    </row>
    <row r="1362" spans="2:43">
      <c r="B1362"/>
      <c r="C1362"/>
      <c r="D1362"/>
      <c r="Q1362"/>
      <c r="AQ1362" s="20"/>
    </row>
    <row r="1363" spans="2:43">
      <c r="B1363"/>
      <c r="C1363"/>
      <c r="D1363"/>
      <c r="Q1363"/>
      <c r="AQ1363" s="20"/>
    </row>
    <row r="1364" spans="2:43">
      <c r="B1364"/>
      <c r="C1364"/>
      <c r="D1364"/>
      <c r="Q1364"/>
      <c r="AQ1364" s="20"/>
    </row>
    <row r="1365" spans="2:43">
      <c r="B1365"/>
      <c r="C1365"/>
      <c r="D1365"/>
      <c r="Q1365"/>
      <c r="AQ1365" s="20"/>
    </row>
    <row r="1366" spans="2:43">
      <c r="B1366"/>
      <c r="C1366"/>
      <c r="D1366"/>
      <c r="Q1366"/>
      <c r="AQ1366" s="20"/>
    </row>
    <row r="1367" spans="2:43">
      <c r="B1367"/>
      <c r="C1367"/>
      <c r="D1367"/>
      <c r="Q1367"/>
      <c r="AQ1367" s="20"/>
    </row>
    <row r="1368" spans="2:43">
      <c r="B1368"/>
      <c r="C1368"/>
      <c r="D1368"/>
      <c r="Q1368"/>
      <c r="AQ1368" s="20"/>
    </row>
    <row r="1369" spans="2:43">
      <c r="B1369"/>
      <c r="C1369"/>
      <c r="D1369"/>
      <c r="Q1369"/>
      <c r="AQ1369" s="20"/>
    </row>
    <row r="1370" spans="2:43">
      <c r="B1370"/>
      <c r="C1370"/>
      <c r="D1370"/>
      <c r="Q1370"/>
      <c r="AQ1370" s="20"/>
    </row>
    <row r="1371" spans="2:43">
      <c r="B1371"/>
      <c r="C1371"/>
      <c r="D1371"/>
      <c r="Q1371"/>
      <c r="AQ1371" s="20"/>
    </row>
    <row r="1372" spans="2:43">
      <c r="B1372"/>
      <c r="C1372"/>
      <c r="D1372"/>
      <c r="Q1372"/>
      <c r="AQ1372" s="20"/>
    </row>
    <row r="1373" spans="2:43">
      <c r="B1373"/>
      <c r="C1373"/>
      <c r="D1373"/>
      <c r="Q1373"/>
      <c r="AQ1373" s="20"/>
    </row>
    <row r="1374" spans="2:43">
      <c r="B1374"/>
      <c r="C1374"/>
      <c r="D1374"/>
      <c r="Q1374"/>
      <c r="AQ1374" s="20"/>
    </row>
    <row r="1375" spans="2:43">
      <c r="B1375"/>
      <c r="C1375"/>
      <c r="D1375"/>
      <c r="Q1375"/>
      <c r="AQ1375" s="20"/>
    </row>
    <row r="1376" spans="2:43">
      <c r="B1376"/>
      <c r="C1376"/>
      <c r="D1376"/>
      <c r="Q1376"/>
      <c r="AQ1376" s="20"/>
    </row>
    <row r="1377" spans="2:43">
      <c r="B1377"/>
      <c r="C1377"/>
      <c r="D1377"/>
      <c r="Q1377"/>
      <c r="AQ1377" s="20"/>
    </row>
    <row r="1378" spans="2:43">
      <c r="B1378"/>
      <c r="C1378"/>
      <c r="D1378"/>
      <c r="Q1378"/>
      <c r="AQ1378" s="20"/>
    </row>
    <row r="1379" spans="2:43">
      <c r="B1379"/>
      <c r="C1379"/>
      <c r="D1379"/>
      <c r="Q1379"/>
      <c r="AQ1379" s="20"/>
    </row>
    <row r="1380" spans="2:43">
      <c r="B1380"/>
      <c r="C1380"/>
      <c r="D1380"/>
      <c r="Q1380"/>
      <c r="AQ1380" s="20"/>
    </row>
    <row r="1381" spans="2:43">
      <c r="B1381"/>
      <c r="C1381"/>
      <c r="D1381"/>
      <c r="Q1381"/>
      <c r="AQ1381" s="20"/>
    </row>
    <row r="1382" spans="2:43">
      <c r="B1382"/>
      <c r="C1382"/>
      <c r="D1382"/>
      <c r="Q1382"/>
      <c r="AQ1382" s="20"/>
    </row>
    <row r="1383" spans="2:43">
      <c r="B1383"/>
      <c r="C1383"/>
      <c r="D1383"/>
      <c r="Q1383"/>
      <c r="AQ1383" s="20"/>
    </row>
    <row r="1384" spans="2:43">
      <c r="B1384"/>
      <c r="C1384"/>
      <c r="D1384"/>
      <c r="Q1384"/>
      <c r="AQ1384" s="20"/>
    </row>
    <row r="1385" spans="2:43">
      <c r="B1385"/>
      <c r="C1385"/>
      <c r="D1385"/>
      <c r="Q1385"/>
      <c r="AQ1385" s="20"/>
    </row>
    <row r="1386" spans="2:43">
      <c r="B1386"/>
      <c r="C1386"/>
      <c r="D1386"/>
      <c r="Q1386"/>
      <c r="AQ1386" s="20"/>
    </row>
    <row r="1387" spans="2:43">
      <c r="B1387"/>
      <c r="C1387"/>
      <c r="D1387"/>
      <c r="Q1387"/>
      <c r="AQ1387" s="20"/>
    </row>
    <row r="1388" spans="2:43">
      <c r="B1388"/>
      <c r="C1388"/>
      <c r="D1388"/>
      <c r="Q1388"/>
      <c r="AQ1388" s="20"/>
    </row>
    <row r="1389" spans="2:43">
      <c r="B1389"/>
      <c r="C1389"/>
      <c r="D1389"/>
      <c r="Q1389"/>
      <c r="AQ1389" s="20"/>
    </row>
    <row r="1390" spans="2:43">
      <c r="B1390"/>
      <c r="C1390"/>
      <c r="D1390"/>
      <c r="Q1390"/>
      <c r="AQ1390" s="20"/>
    </row>
    <row r="1391" spans="2:43">
      <c r="B1391"/>
      <c r="C1391"/>
      <c r="D1391"/>
      <c r="Q1391"/>
      <c r="AQ1391" s="20"/>
    </row>
    <row r="1392" spans="2:43">
      <c r="B1392"/>
      <c r="C1392"/>
      <c r="D1392"/>
      <c r="Q1392"/>
      <c r="AQ1392" s="20"/>
    </row>
    <row r="1393" spans="2:43">
      <c r="B1393"/>
      <c r="C1393"/>
      <c r="D1393"/>
      <c r="Q1393"/>
      <c r="AQ1393" s="20"/>
    </row>
    <row r="1394" spans="2:43">
      <c r="B1394"/>
      <c r="C1394"/>
      <c r="D1394"/>
      <c r="Q1394"/>
      <c r="AQ1394" s="20"/>
    </row>
    <row r="1395" spans="2:43">
      <c r="B1395"/>
      <c r="C1395"/>
      <c r="D1395"/>
      <c r="Q1395"/>
      <c r="AQ1395" s="20"/>
    </row>
    <row r="1396" spans="2:43">
      <c r="B1396"/>
      <c r="C1396"/>
      <c r="D1396"/>
      <c r="Q1396"/>
      <c r="AQ1396" s="20"/>
    </row>
    <row r="1397" spans="2:43">
      <c r="B1397"/>
      <c r="C1397"/>
      <c r="D1397"/>
      <c r="Q1397"/>
      <c r="AQ1397" s="20"/>
    </row>
    <row r="1398" spans="2:43">
      <c r="B1398"/>
      <c r="C1398"/>
      <c r="D1398"/>
      <c r="Q1398"/>
      <c r="AQ1398" s="20"/>
    </row>
    <row r="1399" spans="2:43">
      <c r="B1399"/>
      <c r="C1399"/>
      <c r="D1399"/>
      <c r="Q1399"/>
      <c r="AQ1399" s="20"/>
    </row>
    <row r="1400" spans="2:43">
      <c r="B1400"/>
      <c r="C1400"/>
      <c r="D1400"/>
      <c r="Q1400"/>
      <c r="AQ1400" s="20"/>
    </row>
    <row r="1401" spans="2:43">
      <c r="B1401"/>
      <c r="C1401"/>
      <c r="D1401"/>
      <c r="Q1401"/>
      <c r="AQ1401" s="20"/>
    </row>
    <row r="1402" spans="2:43">
      <c r="B1402"/>
      <c r="C1402"/>
      <c r="D1402"/>
      <c r="Q1402"/>
      <c r="AQ1402" s="20"/>
    </row>
    <row r="1403" spans="2:43">
      <c r="B1403"/>
      <c r="C1403"/>
      <c r="D1403"/>
      <c r="Q1403"/>
      <c r="AQ1403" s="20"/>
    </row>
    <row r="1404" spans="2:43">
      <c r="B1404"/>
      <c r="C1404"/>
      <c r="D1404"/>
      <c r="Q1404"/>
      <c r="AQ1404" s="20"/>
    </row>
    <row r="1405" spans="2:43">
      <c r="B1405"/>
      <c r="C1405"/>
      <c r="D1405"/>
      <c r="Q1405"/>
      <c r="AQ1405" s="20"/>
    </row>
    <row r="1406" spans="2:43">
      <c r="B1406"/>
      <c r="C1406"/>
      <c r="D1406"/>
      <c r="Q1406"/>
      <c r="AQ1406" s="20"/>
    </row>
    <row r="1407" spans="2:43">
      <c r="B1407"/>
      <c r="C1407"/>
      <c r="D1407"/>
      <c r="Q1407"/>
      <c r="AQ1407" s="20"/>
    </row>
    <row r="1408" spans="2:43">
      <c r="B1408"/>
      <c r="C1408"/>
      <c r="D1408"/>
      <c r="Q1408"/>
      <c r="AQ1408" s="20"/>
    </row>
    <row r="1409" spans="2:43">
      <c r="B1409"/>
      <c r="C1409"/>
      <c r="D1409"/>
      <c r="Q1409"/>
      <c r="AQ1409" s="20"/>
    </row>
    <row r="1410" spans="2:43">
      <c r="B1410"/>
      <c r="C1410"/>
      <c r="D1410"/>
      <c r="Q1410"/>
      <c r="AQ1410" s="20"/>
    </row>
    <row r="1411" spans="2:43">
      <c r="B1411"/>
      <c r="C1411"/>
      <c r="D1411"/>
      <c r="Q1411"/>
      <c r="AQ1411" s="20"/>
    </row>
    <row r="1412" spans="2:43">
      <c r="B1412"/>
      <c r="C1412"/>
      <c r="D1412"/>
      <c r="Q1412"/>
      <c r="AQ1412" s="20"/>
    </row>
    <row r="1413" spans="2:43">
      <c r="B1413"/>
      <c r="C1413"/>
      <c r="D1413"/>
      <c r="Q1413"/>
      <c r="AQ1413" s="20"/>
    </row>
    <row r="1414" spans="2:43">
      <c r="B1414"/>
      <c r="C1414"/>
      <c r="D1414"/>
      <c r="Q1414"/>
      <c r="AQ1414" s="20"/>
    </row>
    <row r="1415" spans="2:43">
      <c r="B1415"/>
      <c r="C1415"/>
      <c r="D1415"/>
      <c r="Q1415"/>
      <c r="AQ1415" s="20"/>
    </row>
    <row r="1416" spans="2:43">
      <c r="B1416"/>
      <c r="C1416"/>
      <c r="D1416"/>
      <c r="Q1416"/>
      <c r="AQ1416" s="20"/>
    </row>
    <row r="1417" spans="2:43">
      <c r="B1417"/>
      <c r="C1417"/>
      <c r="D1417"/>
      <c r="Q1417"/>
      <c r="AQ1417" s="20"/>
    </row>
    <row r="1418" spans="2:43">
      <c r="B1418"/>
      <c r="C1418"/>
      <c r="D1418"/>
      <c r="Q1418"/>
      <c r="AQ1418" s="20"/>
    </row>
    <row r="1419" spans="2:43">
      <c r="B1419"/>
      <c r="C1419"/>
      <c r="D1419"/>
      <c r="Q1419"/>
      <c r="AQ1419" s="20"/>
    </row>
    <row r="1420" spans="2:43">
      <c r="B1420"/>
      <c r="C1420"/>
      <c r="D1420"/>
      <c r="Q1420"/>
      <c r="AQ1420" s="20"/>
    </row>
    <row r="1421" spans="2:43">
      <c r="B1421"/>
      <c r="C1421"/>
      <c r="D1421"/>
      <c r="Q1421"/>
      <c r="AQ1421" s="20"/>
    </row>
    <row r="1422" spans="2:43">
      <c r="B1422"/>
      <c r="C1422"/>
      <c r="D1422"/>
      <c r="Q1422"/>
      <c r="AQ1422" s="20"/>
    </row>
    <row r="1423" spans="2:43">
      <c r="B1423"/>
      <c r="C1423"/>
      <c r="D1423"/>
      <c r="Q1423"/>
      <c r="AQ1423" s="20"/>
    </row>
    <row r="1424" spans="2:43">
      <c r="B1424"/>
      <c r="C1424"/>
      <c r="D1424"/>
      <c r="Q1424"/>
      <c r="AQ1424" s="20"/>
    </row>
    <row r="1425" spans="2:43">
      <c r="B1425"/>
      <c r="C1425"/>
      <c r="D1425"/>
      <c r="Q1425"/>
      <c r="AQ1425" s="20"/>
    </row>
    <row r="1426" spans="2:43">
      <c r="B1426"/>
      <c r="C1426"/>
      <c r="D1426"/>
      <c r="Q1426"/>
      <c r="AQ1426" s="20"/>
    </row>
    <row r="1427" spans="2:43">
      <c r="B1427"/>
      <c r="C1427"/>
      <c r="D1427"/>
      <c r="Q1427"/>
      <c r="AQ1427" s="20"/>
    </row>
    <row r="1428" spans="2:43">
      <c r="B1428"/>
      <c r="C1428"/>
      <c r="D1428"/>
      <c r="Q1428"/>
      <c r="AQ1428" s="20"/>
    </row>
    <row r="1429" spans="2:43">
      <c r="B1429"/>
      <c r="C1429"/>
      <c r="D1429"/>
      <c r="Q1429"/>
      <c r="AQ1429" s="20"/>
    </row>
    <row r="1430" spans="2:43">
      <c r="B1430"/>
      <c r="C1430"/>
      <c r="D1430"/>
      <c r="Q1430"/>
      <c r="AQ1430" s="20"/>
    </row>
    <row r="1431" spans="2:43">
      <c r="B1431"/>
      <c r="C1431"/>
      <c r="D1431"/>
      <c r="Q1431"/>
      <c r="AQ1431" s="20"/>
    </row>
    <row r="1432" spans="2:43">
      <c r="B1432"/>
      <c r="C1432"/>
      <c r="D1432"/>
      <c r="Q1432"/>
      <c r="AQ1432" s="20"/>
    </row>
    <row r="1433" spans="2:43">
      <c r="B1433"/>
      <c r="C1433"/>
      <c r="D1433"/>
      <c r="Q1433"/>
      <c r="AQ1433" s="20"/>
    </row>
    <row r="1434" spans="2:43">
      <c r="B1434"/>
      <c r="C1434"/>
      <c r="D1434"/>
      <c r="Q1434"/>
      <c r="AQ1434" s="20"/>
    </row>
    <row r="1435" spans="2:43">
      <c r="B1435"/>
      <c r="C1435"/>
      <c r="D1435"/>
      <c r="Q1435"/>
      <c r="AQ1435" s="20"/>
    </row>
    <row r="1436" spans="2:43">
      <c r="B1436"/>
      <c r="C1436"/>
      <c r="D1436"/>
      <c r="Q1436"/>
      <c r="AQ1436" s="20"/>
    </row>
    <row r="1437" spans="2:43">
      <c r="B1437"/>
      <c r="C1437"/>
      <c r="D1437"/>
      <c r="Q1437"/>
      <c r="AQ1437" s="20"/>
    </row>
    <row r="1438" spans="2:43">
      <c r="B1438"/>
      <c r="C1438"/>
      <c r="D1438"/>
      <c r="Q1438"/>
      <c r="AQ1438" s="20"/>
    </row>
    <row r="1439" spans="2:43">
      <c r="B1439"/>
      <c r="C1439"/>
      <c r="D1439"/>
      <c r="Q1439"/>
      <c r="AQ1439" s="20"/>
    </row>
    <row r="1440" spans="2:43">
      <c r="B1440"/>
      <c r="C1440"/>
      <c r="D1440"/>
      <c r="Q1440"/>
      <c r="AQ1440" s="20"/>
    </row>
    <row r="1441" spans="2:43">
      <c r="B1441"/>
      <c r="C1441"/>
      <c r="D1441"/>
      <c r="Q1441"/>
      <c r="AQ1441" s="20"/>
    </row>
    <row r="1442" spans="2:43">
      <c r="B1442"/>
      <c r="C1442"/>
      <c r="D1442"/>
      <c r="Q1442"/>
      <c r="AQ1442" s="20"/>
    </row>
    <row r="1443" spans="2:43">
      <c r="B1443"/>
      <c r="C1443"/>
      <c r="D1443"/>
      <c r="Q1443"/>
      <c r="AQ1443" s="20"/>
    </row>
    <row r="1444" spans="2:43">
      <c r="B1444"/>
      <c r="C1444"/>
      <c r="D1444"/>
      <c r="Q1444"/>
      <c r="AQ1444" s="20"/>
    </row>
    <row r="1445" spans="2:43">
      <c r="B1445"/>
      <c r="C1445"/>
      <c r="D1445"/>
      <c r="Q1445"/>
      <c r="AQ1445" s="20"/>
    </row>
    <row r="1446" spans="2:43">
      <c r="B1446"/>
      <c r="C1446"/>
      <c r="D1446"/>
      <c r="Q1446"/>
      <c r="AQ1446" s="20"/>
    </row>
    <row r="1447" spans="2:43">
      <c r="B1447"/>
      <c r="C1447"/>
      <c r="D1447"/>
      <c r="Q1447"/>
      <c r="AQ1447" s="20"/>
    </row>
    <row r="1448" spans="2:43">
      <c r="B1448"/>
      <c r="C1448"/>
      <c r="D1448"/>
      <c r="Q1448"/>
      <c r="AQ1448" s="20"/>
    </row>
    <row r="1449" spans="2:43">
      <c r="B1449"/>
      <c r="C1449"/>
      <c r="D1449"/>
      <c r="Q1449"/>
      <c r="AQ1449" s="20"/>
    </row>
    <row r="1450" spans="2:43">
      <c r="B1450"/>
      <c r="C1450"/>
      <c r="D1450"/>
      <c r="Q1450"/>
      <c r="AQ1450" s="20"/>
    </row>
    <row r="1451" spans="2:43">
      <c r="B1451"/>
      <c r="C1451"/>
      <c r="D1451"/>
      <c r="Q1451"/>
      <c r="AQ1451" s="20"/>
    </row>
    <row r="1452" spans="2:43">
      <c r="B1452"/>
      <c r="C1452"/>
      <c r="D1452"/>
      <c r="Q1452"/>
      <c r="AQ1452" s="20"/>
    </row>
    <row r="1453" spans="2:43">
      <c r="B1453"/>
      <c r="C1453"/>
      <c r="D1453"/>
      <c r="Q1453"/>
      <c r="AQ1453" s="20"/>
    </row>
    <row r="1454" spans="2:43">
      <c r="B1454"/>
      <c r="C1454"/>
      <c r="D1454"/>
      <c r="Q1454"/>
      <c r="AQ1454" s="20"/>
    </row>
    <row r="1455" spans="2:43">
      <c r="B1455"/>
      <c r="C1455"/>
      <c r="D1455"/>
      <c r="Q1455"/>
      <c r="AQ1455" s="20"/>
    </row>
    <row r="1456" spans="2:43">
      <c r="B1456"/>
      <c r="C1456"/>
      <c r="D1456"/>
      <c r="Q1456"/>
      <c r="AQ1456" s="20"/>
    </row>
    <row r="1457" spans="2:43">
      <c r="B1457"/>
      <c r="C1457"/>
      <c r="D1457"/>
      <c r="Q1457"/>
      <c r="AQ1457" s="20"/>
    </row>
    <row r="1458" spans="2:43">
      <c r="B1458"/>
      <c r="C1458"/>
      <c r="D1458"/>
      <c r="Q1458"/>
      <c r="AQ1458" s="20"/>
    </row>
    <row r="1459" spans="2:43">
      <c r="B1459"/>
      <c r="C1459"/>
      <c r="D1459"/>
      <c r="Q1459"/>
      <c r="AQ1459" s="20"/>
    </row>
    <row r="1460" spans="2:43">
      <c r="B1460"/>
      <c r="C1460"/>
      <c r="D1460"/>
      <c r="Q1460"/>
      <c r="AQ1460" s="20"/>
    </row>
    <row r="1461" spans="2:43">
      <c r="B1461"/>
      <c r="C1461"/>
      <c r="D1461"/>
      <c r="Q1461"/>
      <c r="AQ1461" s="20"/>
    </row>
    <row r="1462" spans="2:43">
      <c r="B1462"/>
      <c r="C1462"/>
      <c r="D1462"/>
      <c r="Q1462"/>
      <c r="AQ1462" s="20"/>
    </row>
    <row r="1463" spans="2:43">
      <c r="B1463"/>
      <c r="C1463"/>
      <c r="D1463"/>
      <c r="Q1463"/>
      <c r="AQ1463" s="20"/>
    </row>
    <row r="1464" spans="2:43">
      <c r="B1464"/>
      <c r="C1464"/>
      <c r="D1464"/>
      <c r="Q1464"/>
      <c r="AQ1464" s="20"/>
    </row>
    <row r="1465" spans="2:43">
      <c r="B1465"/>
      <c r="C1465"/>
      <c r="D1465"/>
      <c r="Q1465"/>
      <c r="AQ1465" s="20"/>
    </row>
    <row r="1466" spans="2:43">
      <c r="B1466"/>
      <c r="C1466"/>
      <c r="D1466"/>
      <c r="Q1466"/>
      <c r="AQ1466" s="20"/>
    </row>
    <row r="1467" spans="2:43">
      <c r="B1467"/>
      <c r="C1467"/>
      <c r="D1467"/>
      <c r="Q1467"/>
      <c r="AQ1467" s="20"/>
    </row>
    <row r="1468" spans="2:43">
      <c r="B1468"/>
      <c r="C1468"/>
      <c r="D1468"/>
      <c r="Q1468"/>
      <c r="AQ1468" s="20"/>
    </row>
    <row r="1469" spans="2:43">
      <c r="B1469"/>
      <c r="C1469"/>
      <c r="D1469"/>
      <c r="Q1469"/>
      <c r="AQ1469" s="20"/>
    </row>
    <row r="1470" spans="2:43">
      <c r="B1470"/>
      <c r="C1470"/>
      <c r="D1470"/>
      <c r="Q1470"/>
      <c r="AQ1470" s="20"/>
    </row>
    <row r="1471" spans="2:43">
      <c r="B1471"/>
      <c r="C1471"/>
      <c r="D1471"/>
      <c r="Q1471"/>
      <c r="AQ1471" s="20"/>
    </row>
    <row r="1472" spans="2:43">
      <c r="B1472"/>
      <c r="C1472"/>
      <c r="D1472"/>
      <c r="Q1472"/>
      <c r="AQ1472" s="20"/>
    </row>
    <row r="1473" spans="2:43">
      <c r="B1473"/>
      <c r="C1473"/>
      <c r="D1473"/>
      <c r="Q1473"/>
      <c r="AQ1473" s="20"/>
    </row>
    <row r="1474" spans="2:43">
      <c r="B1474"/>
      <c r="C1474"/>
      <c r="D1474"/>
      <c r="Q1474"/>
      <c r="AQ1474" s="20"/>
    </row>
    <row r="1475" spans="2:43">
      <c r="B1475"/>
      <c r="C1475"/>
      <c r="D1475"/>
      <c r="Q1475"/>
      <c r="AQ1475" s="20"/>
    </row>
    <row r="1476" spans="2:43">
      <c r="B1476"/>
      <c r="C1476"/>
      <c r="D1476"/>
      <c r="Q1476"/>
      <c r="AQ1476" s="20"/>
    </row>
    <row r="1477" spans="2:43">
      <c r="B1477"/>
      <c r="C1477"/>
      <c r="D1477"/>
      <c r="Q1477"/>
      <c r="AQ1477" s="20"/>
    </row>
    <row r="1478" spans="2:43">
      <c r="B1478"/>
      <c r="C1478"/>
      <c r="D1478"/>
      <c r="Q1478"/>
      <c r="AQ1478" s="20"/>
    </row>
    <row r="1479" spans="2:43">
      <c r="B1479"/>
      <c r="C1479"/>
      <c r="D1479"/>
      <c r="Q1479"/>
      <c r="AQ1479" s="20"/>
    </row>
    <row r="1480" spans="2:43">
      <c r="B1480"/>
      <c r="C1480"/>
      <c r="D1480"/>
      <c r="Q1480"/>
      <c r="AQ1480" s="20"/>
    </row>
    <row r="1481" spans="2:43">
      <c r="B1481"/>
      <c r="C1481"/>
      <c r="D1481"/>
      <c r="Q1481"/>
      <c r="AQ1481" s="20"/>
    </row>
    <row r="1482" spans="2:43">
      <c r="B1482"/>
      <c r="C1482"/>
      <c r="D1482"/>
      <c r="Q1482"/>
      <c r="AQ1482" s="20"/>
    </row>
    <row r="1483" spans="2:43">
      <c r="B1483"/>
      <c r="C1483"/>
      <c r="D1483"/>
      <c r="Q1483"/>
      <c r="AQ1483" s="20"/>
    </row>
    <row r="1484" spans="2:43">
      <c r="B1484"/>
      <c r="C1484"/>
      <c r="D1484"/>
      <c r="Q1484"/>
      <c r="AQ1484" s="20"/>
    </row>
    <row r="1485" spans="2:43">
      <c r="B1485"/>
      <c r="C1485"/>
      <c r="D1485"/>
      <c r="Q1485"/>
      <c r="AQ1485" s="20"/>
    </row>
    <row r="1486" spans="2:43">
      <c r="B1486"/>
      <c r="C1486"/>
      <c r="D1486"/>
      <c r="Q1486"/>
      <c r="AQ1486" s="20"/>
    </row>
    <row r="1487" spans="2:43">
      <c r="B1487"/>
      <c r="C1487"/>
      <c r="D1487"/>
      <c r="Q1487"/>
      <c r="AQ1487" s="20"/>
    </row>
    <row r="1488" spans="2:43">
      <c r="B1488"/>
      <c r="C1488"/>
      <c r="D1488"/>
      <c r="Q1488"/>
      <c r="AQ1488" s="20"/>
    </row>
    <row r="1489" spans="2:43">
      <c r="B1489"/>
      <c r="C1489"/>
      <c r="D1489"/>
      <c r="Q1489"/>
      <c r="AQ1489" s="20"/>
    </row>
    <row r="1490" spans="2:43">
      <c r="B1490"/>
      <c r="C1490"/>
      <c r="D1490"/>
      <c r="Q1490"/>
      <c r="AQ1490" s="20"/>
    </row>
    <row r="1491" spans="2:43">
      <c r="B1491"/>
      <c r="C1491"/>
      <c r="D1491"/>
      <c r="Q1491"/>
      <c r="AQ1491" s="20"/>
    </row>
    <row r="1492" spans="2:43">
      <c r="B1492"/>
      <c r="C1492"/>
      <c r="D1492"/>
      <c r="Q1492"/>
      <c r="AQ1492" s="20"/>
    </row>
    <row r="1493" spans="2:43">
      <c r="B1493"/>
      <c r="C1493"/>
      <c r="D1493"/>
      <c r="Q1493"/>
      <c r="AQ1493" s="20"/>
    </row>
    <row r="1494" spans="2:43">
      <c r="B1494"/>
      <c r="C1494"/>
      <c r="D1494"/>
      <c r="Q1494"/>
      <c r="AQ1494" s="20"/>
    </row>
    <row r="1495" spans="2:43">
      <c r="B1495"/>
      <c r="C1495"/>
      <c r="D1495"/>
      <c r="Q1495"/>
      <c r="AQ1495" s="20"/>
    </row>
    <row r="1496" spans="2:43">
      <c r="B1496"/>
      <c r="C1496"/>
      <c r="D1496"/>
      <c r="Q1496"/>
      <c r="AQ1496" s="20"/>
    </row>
    <row r="1497" spans="2:43">
      <c r="B1497"/>
      <c r="C1497"/>
      <c r="D1497"/>
      <c r="Q1497"/>
      <c r="AQ1497" s="20"/>
    </row>
    <row r="1498" spans="2:43">
      <c r="B1498"/>
      <c r="C1498"/>
      <c r="D1498"/>
      <c r="Q1498"/>
      <c r="AQ1498" s="20"/>
    </row>
    <row r="1499" spans="2:43">
      <c r="B1499"/>
      <c r="C1499"/>
      <c r="D1499"/>
      <c r="Q1499"/>
      <c r="AQ1499" s="20"/>
    </row>
    <row r="1500" spans="2:43">
      <c r="B1500"/>
      <c r="C1500"/>
      <c r="D1500"/>
      <c r="Q1500"/>
      <c r="AQ1500" s="20"/>
    </row>
    <row r="1501" spans="2:43">
      <c r="B1501"/>
      <c r="C1501"/>
      <c r="D1501"/>
      <c r="Q1501"/>
      <c r="AQ1501" s="20"/>
    </row>
    <row r="1502" spans="2:43">
      <c r="B1502"/>
      <c r="C1502"/>
      <c r="D1502"/>
      <c r="Q1502"/>
      <c r="AQ1502" s="20"/>
    </row>
    <row r="1503" spans="2:43">
      <c r="B1503"/>
      <c r="C1503"/>
      <c r="D1503"/>
      <c r="Q1503"/>
      <c r="AQ1503" s="20"/>
    </row>
    <row r="1504" spans="2:43">
      <c r="B1504"/>
      <c r="C1504"/>
      <c r="D1504"/>
      <c r="Q1504"/>
      <c r="AQ1504" s="20"/>
    </row>
    <row r="1505" spans="2:43">
      <c r="B1505"/>
      <c r="C1505"/>
      <c r="D1505"/>
      <c r="Q1505"/>
      <c r="AQ1505" s="20"/>
    </row>
    <row r="1506" spans="2:43">
      <c r="B1506"/>
      <c r="C1506"/>
      <c r="D1506"/>
      <c r="Q1506"/>
      <c r="AQ1506" s="20"/>
    </row>
    <row r="1507" spans="2:43">
      <c r="B1507"/>
      <c r="C1507"/>
      <c r="D1507"/>
      <c r="Q1507"/>
      <c r="AQ1507" s="20"/>
    </row>
    <row r="1508" spans="2:43">
      <c r="B1508"/>
      <c r="C1508"/>
      <c r="D1508"/>
      <c r="Q1508"/>
      <c r="AQ1508" s="20"/>
    </row>
    <row r="1509" spans="2:43">
      <c r="B1509"/>
      <c r="C1509"/>
      <c r="D1509"/>
      <c r="Q1509"/>
      <c r="AQ1509" s="20"/>
    </row>
    <row r="1510" spans="2:43">
      <c r="B1510"/>
      <c r="C1510"/>
      <c r="D1510"/>
      <c r="Q1510"/>
      <c r="AQ1510" s="20"/>
    </row>
    <row r="1511" spans="2:43">
      <c r="B1511"/>
      <c r="C1511"/>
      <c r="D1511"/>
      <c r="Q1511"/>
      <c r="AQ1511" s="20"/>
    </row>
    <row r="1512" spans="2:43">
      <c r="B1512"/>
      <c r="C1512"/>
      <c r="D1512"/>
      <c r="Q1512"/>
      <c r="AQ1512" s="20"/>
    </row>
    <row r="1513" spans="2:43">
      <c r="B1513"/>
      <c r="C1513"/>
      <c r="D1513"/>
      <c r="Q1513"/>
      <c r="AQ1513" s="20"/>
    </row>
    <row r="1514" spans="2:43">
      <c r="B1514"/>
      <c r="C1514"/>
      <c r="D1514"/>
      <c r="Q1514"/>
      <c r="AQ1514" s="20"/>
    </row>
    <row r="1515" spans="2:43">
      <c r="B1515"/>
      <c r="C1515"/>
      <c r="D1515"/>
      <c r="Q1515"/>
      <c r="AQ1515" s="20"/>
    </row>
    <row r="1516" spans="2:43">
      <c r="B1516"/>
      <c r="C1516"/>
      <c r="D1516"/>
      <c r="Q1516"/>
      <c r="AQ1516" s="20"/>
    </row>
    <row r="1517" spans="2:43">
      <c r="B1517"/>
      <c r="C1517"/>
      <c r="D1517"/>
      <c r="Q1517"/>
      <c r="AQ1517" s="20"/>
    </row>
    <row r="1518" spans="2:43">
      <c r="B1518"/>
      <c r="C1518"/>
      <c r="D1518"/>
      <c r="Q1518"/>
      <c r="AQ1518" s="20"/>
    </row>
    <row r="1519" spans="2:43">
      <c r="B1519"/>
      <c r="C1519"/>
      <c r="D1519"/>
      <c r="Q1519"/>
      <c r="AQ1519" s="20"/>
    </row>
    <row r="1520" spans="2:43">
      <c r="B1520"/>
      <c r="C1520"/>
      <c r="D1520"/>
      <c r="Q1520"/>
      <c r="AQ1520" s="20"/>
    </row>
    <row r="1521" spans="2:43">
      <c r="B1521"/>
      <c r="C1521"/>
      <c r="D1521"/>
      <c r="Q1521"/>
      <c r="AQ1521" s="20"/>
    </row>
    <row r="1522" spans="2:43">
      <c r="B1522"/>
      <c r="C1522"/>
      <c r="D1522"/>
      <c r="Q1522"/>
      <c r="AQ1522" s="20"/>
    </row>
    <row r="1523" spans="2:43">
      <c r="B1523"/>
      <c r="C1523"/>
      <c r="D1523"/>
      <c r="Q1523"/>
      <c r="AQ1523" s="20"/>
    </row>
    <row r="1524" spans="2:43">
      <c r="B1524"/>
      <c r="C1524"/>
      <c r="D1524"/>
      <c r="Q1524"/>
      <c r="AQ1524" s="20"/>
    </row>
    <row r="1525" spans="2:43">
      <c r="B1525"/>
      <c r="C1525"/>
      <c r="D1525"/>
      <c r="Q1525"/>
      <c r="AQ1525" s="20"/>
    </row>
    <row r="1526" spans="2:43">
      <c r="B1526"/>
      <c r="C1526"/>
      <c r="D1526"/>
      <c r="Q1526"/>
      <c r="AQ1526" s="20"/>
    </row>
    <row r="1527" spans="2:43">
      <c r="B1527"/>
      <c r="C1527"/>
      <c r="D1527"/>
      <c r="Q1527"/>
      <c r="AQ1527" s="20"/>
    </row>
    <row r="1528" spans="2:43">
      <c r="B1528"/>
      <c r="C1528"/>
      <c r="D1528"/>
      <c r="Q1528"/>
      <c r="AQ1528" s="20"/>
    </row>
    <row r="1529" spans="2:43">
      <c r="B1529"/>
      <c r="C1529"/>
      <c r="D1529"/>
      <c r="Q1529"/>
      <c r="AQ1529" s="20"/>
    </row>
    <row r="1530" spans="2:43">
      <c r="B1530"/>
      <c r="C1530"/>
      <c r="D1530"/>
      <c r="Q1530"/>
      <c r="AQ1530" s="20"/>
    </row>
    <row r="1531" spans="2:43">
      <c r="B1531"/>
      <c r="C1531"/>
      <c r="D1531"/>
      <c r="Q1531"/>
      <c r="AQ1531" s="20"/>
    </row>
    <row r="1532" spans="2:43">
      <c r="B1532"/>
      <c r="C1532"/>
      <c r="D1532"/>
      <c r="Q1532"/>
      <c r="AQ1532" s="20"/>
    </row>
    <row r="1533" spans="2:43">
      <c r="B1533"/>
      <c r="C1533"/>
      <c r="D1533"/>
      <c r="Q1533"/>
      <c r="AQ1533" s="20"/>
    </row>
    <row r="1534" spans="2:43">
      <c r="B1534"/>
      <c r="C1534"/>
      <c r="D1534"/>
      <c r="Q1534"/>
      <c r="AQ1534" s="20"/>
    </row>
    <row r="1535" spans="2:43">
      <c r="B1535"/>
      <c r="C1535"/>
      <c r="D1535"/>
      <c r="Q1535"/>
      <c r="AQ1535" s="20"/>
    </row>
    <row r="1536" spans="2:43">
      <c r="B1536"/>
      <c r="C1536"/>
      <c r="D1536"/>
      <c r="Q1536"/>
      <c r="AQ1536" s="20"/>
    </row>
    <row r="1537" spans="2:43">
      <c r="B1537"/>
      <c r="C1537"/>
      <c r="D1537"/>
      <c r="Q1537"/>
      <c r="AQ1537" s="20"/>
    </row>
    <row r="1538" spans="2:43">
      <c r="B1538"/>
      <c r="C1538"/>
      <c r="D1538"/>
      <c r="Q1538"/>
      <c r="AQ1538" s="20"/>
    </row>
    <row r="1539" spans="2:43">
      <c r="B1539"/>
      <c r="C1539"/>
      <c r="D1539"/>
      <c r="Q1539"/>
      <c r="AQ1539" s="20"/>
    </row>
    <row r="1540" spans="2:43">
      <c r="B1540"/>
      <c r="C1540"/>
      <c r="D1540"/>
      <c r="Q1540"/>
      <c r="AQ1540" s="20"/>
    </row>
    <row r="1541" spans="2:43">
      <c r="B1541"/>
      <c r="C1541"/>
      <c r="D1541"/>
      <c r="Q1541"/>
      <c r="AQ1541" s="20"/>
    </row>
    <row r="1542" spans="2:43">
      <c r="B1542"/>
      <c r="C1542"/>
      <c r="D1542"/>
      <c r="Q1542"/>
      <c r="AQ1542" s="20"/>
    </row>
    <row r="1543" spans="2:43">
      <c r="B1543"/>
      <c r="C1543"/>
      <c r="D1543"/>
      <c r="Q1543"/>
      <c r="AQ1543" s="20"/>
    </row>
    <row r="1544" spans="2:43">
      <c r="B1544"/>
      <c r="C1544"/>
      <c r="D1544"/>
      <c r="Q1544"/>
      <c r="AQ1544" s="20"/>
    </row>
    <row r="1545" spans="2:43">
      <c r="B1545"/>
      <c r="C1545"/>
      <c r="D1545"/>
      <c r="Q1545"/>
      <c r="AQ1545" s="20"/>
    </row>
    <row r="1546" spans="2:43">
      <c r="B1546"/>
      <c r="C1546"/>
      <c r="D1546"/>
      <c r="Q1546"/>
      <c r="AQ1546" s="20"/>
    </row>
    <row r="1547" spans="2:43">
      <c r="B1547"/>
      <c r="C1547"/>
      <c r="D1547"/>
      <c r="Q1547"/>
      <c r="AQ1547" s="20"/>
    </row>
    <row r="1548" spans="2:43">
      <c r="B1548"/>
      <c r="C1548"/>
      <c r="D1548"/>
      <c r="Q1548"/>
      <c r="AQ1548" s="20"/>
    </row>
    <row r="1549" spans="2:43">
      <c r="B1549"/>
      <c r="C1549"/>
      <c r="D1549"/>
      <c r="Q1549"/>
      <c r="AQ1549" s="20"/>
    </row>
    <row r="1550" spans="2:43">
      <c r="B1550"/>
      <c r="C1550"/>
      <c r="D1550"/>
      <c r="Q1550"/>
      <c r="AQ1550" s="20"/>
    </row>
    <row r="1551" spans="2:43">
      <c r="B1551"/>
      <c r="C1551"/>
      <c r="D1551"/>
      <c r="Q1551"/>
      <c r="AQ1551" s="20"/>
    </row>
    <row r="1552" spans="2:43">
      <c r="B1552"/>
      <c r="C1552"/>
      <c r="D1552"/>
      <c r="Q1552"/>
      <c r="AQ1552" s="20"/>
    </row>
    <row r="1553" spans="2:43">
      <c r="B1553"/>
      <c r="C1553"/>
      <c r="D1553"/>
      <c r="Q1553"/>
      <c r="AQ1553" s="20"/>
    </row>
    <row r="1554" spans="2:43">
      <c r="B1554"/>
      <c r="C1554"/>
      <c r="D1554"/>
      <c r="Q1554"/>
      <c r="AQ1554" s="20"/>
    </row>
    <row r="1555" spans="2:43">
      <c r="B1555"/>
      <c r="C1555"/>
      <c r="D1555"/>
      <c r="Q1555"/>
      <c r="AQ1555" s="20"/>
    </row>
    <row r="1556" spans="2:43">
      <c r="B1556"/>
      <c r="C1556"/>
      <c r="D1556"/>
      <c r="Q1556"/>
      <c r="AQ1556" s="20"/>
    </row>
    <row r="1557" spans="2:43">
      <c r="B1557"/>
      <c r="C1557"/>
      <c r="D1557"/>
      <c r="Q1557"/>
      <c r="AQ1557" s="20"/>
    </row>
    <row r="1558" spans="2:43">
      <c r="B1558"/>
      <c r="C1558"/>
      <c r="D1558"/>
      <c r="Q1558"/>
      <c r="AQ1558" s="20"/>
    </row>
    <row r="1559" spans="2:43">
      <c r="B1559"/>
      <c r="C1559"/>
      <c r="D1559"/>
      <c r="Q1559"/>
      <c r="AQ1559" s="20"/>
    </row>
    <row r="1560" spans="2:43">
      <c r="B1560"/>
      <c r="C1560"/>
      <c r="D1560"/>
      <c r="Q1560"/>
      <c r="AQ1560" s="20"/>
    </row>
    <row r="1561" spans="2:43">
      <c r="B1561"/>
      <c r="C1561"/>
      <c r="D1561"/>
      <c r="Q1561"/>
      <c r="AQ1561" s="20"/>
    </row>
    <row r="1562" spans="2:43">
      <c r="B1562"/>
      <c r="C1562"/>
      <c r="D1562"/>
      <c r="Q1562"/>
      <c r="AQ1562" s="20"/>
    </row>
    <row r="1563" spans="2:43">
      <c r="B1563"/>
      <c r="C1563"/>
      <c r="D1563"/>
      <c r="Q1563"/>
      <c r="AQ1563" s="20"/>
    </row>
    <row r="1564" spans="2:43">
      <c r="B1564"/>
      <c r="C1564"/>
      <c r="D1564"/>
      <c r="Q1564"/>
      <c r="AQ1564" s="20"/>
    </row>
    <row r="1565" spans="2:43">
      <c r="B1565"/>
      <c r="C1565"/>
      <c r="D1565"/>
      <c r="Q1565"/>
      <c r="AQ1565" s="20"/>
    </row>
    <row r="1566" spans="2:43">
      <c r="B1566"/>
      <c r="C1566"/>
      <c r="D1566"/>
      <c r="Q1566"/>
      <c r="AQ1566" s="20"/>
    </row>
    <row r="1567" spans="2:43">
      <c r="B1567"/>
      <c r="C1567"/>
      <c r="D1567"/>
      <c r="Q1567"/>
      <c r="AQ1567" s="20"/>
    </row>
    <row r="1568" spans="2:43">
      <c r="B1568"/>
      <c r="C1568"/>
      <c r="D1568"/>
      <c r="Q1568"/>
      <c r="AQ1568" s="20"/>
    </row>
    <row r="1569" spans="2:43">
      <c r="B1569"/>
      <c r="C1569"/>
      <c r="D1569"/>
      <c r="Q1569"/>
      <c r="AQ1569" s="20"/>
    </row>
    <row r="1570" spans="2:43">
      <c r="B1570"/>
      <c r="C1570"/>
      <c r="D1570"/>
      <c r="Q1570"/>
      <c r="AQ1570" s="20"/>
    </row>
    <row r="1571" spans="2:43">
      <c r="B1571"/>
      <c r="C1571"/>
      <c r="D1571"/>
      <c r="Q1571"/>
      <c r="AQ1571" s="20"/>
    </row>
    <row r="1572" spans="2:43">
      <c r="B1572"/>
      <c r="C1572"/>
      <c r="D1572"/>
      <c r="Q1572"/>
      <c r="AQ1572" s="20"/>
    </row>
    <row r="1573" spans="2:43">
      <c r="B1573"/>
      <c r="C1573"/>
      <c r="D1573"/>
      <c r="Q1573"/>
      <c r="AQ1573" s="20"/>
    </row>
    <row r="1574" spans="2:43">
      <c r="B1574"/>
      <c r="C1574"/>
      <c r="D1574"/>
      <c r="Q1574"/>
      <c r="AQ1574" s="20"/>
    </row>
    <row r="1575" spans="2:43">
      <c r="B1575"/>
      <c r="C1575"/>
      <c r="D1575"/>
      <c r="Q1575"/>
      <c r="AQ1575" s="20"/>
    </row>
    <row r="1576" spans="2:43">
      <c r="B1576"/>
      <c r="C1576"/>
      <c r="D1576"/>
      <c r="Q1576"/>
      <c r="AQ1576" s="20"/>
    </row>
    <row r="1577" spans="2:43">
      <c r="B1577"/>
      <c r="C1577"/>
      <c r="D1577"/>
      <c r="Q1577"/>
      <c r="AQ1577" s="20"/>
    </row>
    <row r="1578" spans="2:43">
      <c r="B1578"/>
      <c r="C1578"/>
      <c r="D1578"/>
      <c r="Q1578"/>
      <c r="AQ1578" s="20"/>
    </row>
    <row r="1579" spans="2:43">
      <c r="B1579"/>
      <c r="C1579"/>
      <c r="D1579"/>
      <c r="Q1579"/>
      <c r="AQ1579" s="20"/>
    </row>
    <row r="1580" spans="2:43">
      <c r="B1580"/>
      <c r="C1580"/>
      <c r="D1580"/>
      <c r="Q1580"/>
      <c r="AQ1580" s="20"/>
    </row>
    <row r="1581" spans="2:43">
      <c r="B1581"/>
      <c r="C1581"/>
      <c r="D1581"/>
      <c r="Q1581"/>
      <c r="AQ1581" s="20"/>
    </row>
    <row r="1582" spans="2:43">
      <c r="B1582"/>
      <c r="C1582"/>
      <c r="D1582"/>
      <c r="Q1582"/>
      <c r="AQ1582" s="20"/>
    </row>
    <row r="1583" spans="2:43">
      <c r="B1583"/>
      <c r="C1583"/>
      <c r="D1583"/>
      <c r="Q1583"/>
      <c r="AQ1583" s="20"/>
    </row>
    <row r="1584" spans="2:43">
      <c r="B1584"/>
      <c r="C1584"/>
      <c r="D1584"/>
      <c r="Q1584"/>
      <c r="AQ1584" s="20"/>
    </row>
    <row r="1585" spans="2:43">
      <c r="B1585"/>
      <c r="C1585"/>
      <c r="D1585"/>
      <c r="Q1585"/>
      <c r="AQ1585" s="20"/>
    </row>
    <row r="1586" spans="2:43">
      <c r="B1586"/>
      <c r="C1586"/>
      <c r="D1586"/>
      <c r="Q1586"/>
      <c r="AQ1586" s="20"/>
    </row>
    <row r="1587" spans="2:43">
      <c r="B1587"/>
      <c r="C1587"/>
      <c r="D1587"/>
      <c r="Q1587"/>
      <c r="AQ1587" s="20"/>
    </row>
    <row r="1588" spans="2:43">
      <c r="B1588"/>
      <c r="C1588"/>
      <c r="D1588"/>
      <c r="Q1588"/>
      <c r="AQ1588" s="20"/>
    </row>
    <row r="1589" spans="2:43">
      <c r="B1589"/>
      <c r="C1589"/>
      <c r="D1589"/>
      <c r="Q1589"/>
      <c r="AQ1589" s="20"/>
    </row>
    <row r="1590" spans="2:43">
      <c r="B1590"/>
      <c r="C1590"/>
      <c r="D1590"/>
      <c r="Q1590"/>
      <c r="AQ1590" s="20"/>
    </row>
    <row r="1591" spans="2:43">
      <c r="B1591"/>
      <c r="C1591"/>
      <c r="D1591"/>
      <c r="Q1591"/>
      <c r="AQ1591" s="20"/>
    </row>
    <row r="1592" spans="2:43">
      <c r="B1592"/>
      <c r="C1592"/>
      <c r="D1592"/>
      <c r="Q1592"/>
      <c r="AQ1592" s="20"/>
    </row>
    <row r="1593" spans="2:43">
      <c r="B1593"/>
      <c r="C1593"/>
      <c r="D1593"/>
      <c r="Q1593"/>
      <c r="AQ1593" s="20"/>
    </row>
    <row r="1594" spans="2:43">
      <c r="B1594"/>
      <c r="C1594"/>
      <c r="D1594"/>
      <c r="Q1594"/>
      <c r="AQ1594" s="20"/>
    </row>
    <row r="1595" spans="2:43">
      <c r="B1595"/>
      <c r="C1595"/>
      <c r="D1595"/>
      <c r="Q1595"/>
      <c r="AQ1595" s="20"/>
    </row>
    <row r="1596" spans="2:43">
      <c r="B1596"/>
      <c r="C1596"/>
      <c r="D1596"/>
      <c r="Q1596"/>
      <c r="AQ1596" s="20"/>
    </row>
    <row r="1597" spans="2:43">
      <c r="B1597"/>
      <c r="C1597"/>
      <c r="D1597"/>
      <c r="Q1597"/>
      <c r="AQ1597" s="20"/>
    </row>
    <row r="1598" spans="2:43">
      <c r="B1598"/>
      <c r="C1598"/>
      <c r="D1598"/>
      <c r="Q1598"/>
      <c r="AQ1598" s="20"/>
    </row>
    <row r="1599" spans="2:43">
      <c r="B1599"/>
      <c r="C1599"/>
      <c r="D1599"/>
      <c r="Q1599"/>
      <c r="AQ1599" s="20"/>
    </row>
    <row r="1600" spans="2:43">
      <c r="B1600"/>
      <c r="C1600"/>
      <c r="D1600"/>
      <c r="Q1600"/>
      <c r="AQ1600" s="20"/>
    </row>
    <row r="1601" spans="2:43">
      <c r="B1601"/>
      <c r="C1601"/>
      <c r="D1601"/>
      <c r="Q1601"/>
      <c r="AQ1601" s="20"/>
    </row>
    <row r="1602" spans="2:43">
      <c r="B1602"/>
      <c r="C1602"/>
      <c r="D1602"/>
      <c r="Q1602"/>
      <c r="AQ1602" s="20"/>
    </row>
    <row r="1603" spans="2:43">
      <c r="B1603"/>
      <c r="C1603"/>
      <c r="D1603"/>
      <c r="Q1603"/>
      <c r="AQ1603" s="20"/>
    </row>
    <row r="1604" spans="2:43">
      <c r="B1604"/>
      <c r="C1604"/>
      <c r="D1604"/>
      <c r="Q1604"/>
      <c r="AQ1604" s="20"/>
    </row>
    <row r="1605" spans="2:43">
      <c r="B1605"/>
      <c r="C1605"/>
      <c r="D1605"/>
      <c r="Q1605"/>
      <c r="AQ1605" s="20"/>
    </row>
    <row r="1606" spans="2:43">
      <c r="B1606"/>
      <c r="C1606"/>
      <c r="D1606"/>
      <c r="Q1606"/>
      <c r="AQ1606" s="20"/>
    </row>
    <row r="1607" spans="2:43">
      <c r="B1607"/>
      <c r="C1607"/>
      <c r="D1607"/>
      <c r="Q1607"/>
      <c r="AQ1607" s="20"/>
    </row>
    <row r="1608" spans="2:43">
      <c r="B1608"/>
      <c r="C1608"/>
      <c r="D1608"/>
      <c r="Q1608"/>
      <c r="AQ1608" s="20"/>
    </row>
    <row r="1609" spans="2:43">
      <c r="B1609"/>
      <c r="C1609"/>
      <c r="D1609"/>
      <c r="Q1609"/>
      <c r="AQ1609" s="20"/>
    </row>
    <row r="1610" spans="2:43">
      <c r="B1610"/>
      <c r="C1610"/>
      <c r="D1610"/>
      <c r="Q1610"/>
      <c r="AQ1610" s="20"/>
    </row>
    <row r="1611" spans="2:43">
      <c r="B1611"/>
      <c r="C1611"/>
      <c r="D1611"/>
      <c r="Q1611"/>
      <c r="AQ1611" s="20"/>
    </row>
    <row r="1612" spans="2:43">
      <c r="B1612"/>
      <c r="C1612"/>
      <c r="D1612"/>
      <c r="Q1612"/>
      <c r="AQ1612" s="20"/>
    </row>
    <row r="1613" spans="2:43">
      <c r="B1613"/>
      <c r="C1613"/>
      <c r="D1613"/>
      <c r="Q1613"/>
      <c r="AQ1613" s="20"/>
    </row>
    <row r="1614" spans="2:43">
      <c r="B1614"/>
      <c r="C1614"/>
      <c r="D1614"/>
      <c r="Q1614"/>
      <c r="AQ1614" s="20"/>
    </row>
    <row r="1615" spans="2:43">
      <c r="B1615"/>
      <c r="C1615"/>
      <c r="D1615"/>
      <c r="Q1615"/>
      <c r="AQ1615" s="20"/>
    </row>
    <row r="1616" spans="2:43">
      <c r="B1616"/>
      <c r="C1616"/>
      <c r="D1616"/>
      <c r="Q1616"/>
      <c r="AQ1616" s="20"/>
    </row>
    <row r="1617" spans="2:43">
      <c r="B1617"/>
      <c r="C1617"/>
      <c r="D1617"/>
      <c r="Q1617"/>
      <c r="AQ1617" s="20"/>
    </row>
    <row r="1618" spans="2:43">
      <c r="B1618"/>
      <c r="C1618"/>
      <c r="D1618"/>
      <c r="Q1618"/>
      <c r="AQ1618" s="20"/>
    </row>
    <row r="1619" spans="2:43">
      <c r="B1619"/>
      <c r="C1619"/>
      <c r="D1619"/>
      <c r="Q1619"/>
      <c r="AQ1619" s="20"/>
    </row>
    <row r="1620" spans="2:43">
      <c r="B1620"/>
      <c r="C1620"/>
      <c r="D1620"/>
      <c r="Q1620"/>
      <c r="AQ1620" s="20"/>
    </row>
    <row r="1621" spans="2:43">
      <c r="B1621"/>
      <c r="C1621"/>
      <c r="D1621"/>
      <c r="Q1621"/>
      <c r="AQ1621" s="20"/>
    </row>
    <row r="1622" spans="2:43">
      <c r="B1622"/>
      <c r="C1622"/>
      <c r="D1622"/>
      <c r="Q1622"/>
      <c r="AQ1622" s="20"/>
    </row>
    <row r="1623" spans="2:43">
      <c r="B1623"/>
      <c r="C1623"/>
      <c r="D1623"/>
      <c r="Q1623"/>
      <c r="AQ1623" s="20"/>
    </row>
    <row r="1624" spans="2:43">
      <c r="B1624"/>
      <c r="C1624"/>
      <c r="D1624"/>
      <c r="Q1624"/>
      <c r="AQ1624" s="20"/>
    </row>
    <row r="1625" spans="2:43">
      <c r="B1625"/>
      <c r="C1625"/>
      <c r="D1625"/>
      <c r="Q1625"/>
      <c r="AQ1625" s="20"/>
    </row>
    <row r="1626" spans="2:43">
      <c r="B1626"/>
      <c r="C1626"/>
      <c r="D1626"/>
      <c r="Q1626"/>
      <c r="AQ1626" s="20"/>
    </row>
    <row r="1627" spans="2:43">
      <c r="B1627"/>
      <c r="C1627"/>
      <c r="D1627"/>
      <c r="Q1627"/>
      <c r="AQ1627" s="20"/>
    </row>
    <row r="1628" spans="2:43">
      <c r="B1628"/>
      <c r="C1628"/>
      <c r="D1628"/>
      <c r="Q1628"/>
      <c r="AQ1628" s="20"/>
    </row>
    <row r="1629" spans="2:43">
      <c r="B1629"/>
      <c r="C1629"/>
      <c r="D1629"/>
      <c r="Q1629"/>
      <c r="AQ1629" s="20"/>
    </row>
    <row r="1630" spans="2:43">
      <c r="B1630"/>
      <c r="C1630"/>
      <c r="D1630"/>
      <c r="Q1630"/>
      <c r="AQ1630" s="20"/>
    </row>
    <row r="1631" spans="2:43">
      <c r="B1631"/>
      <c r="C1631"/>
      <c r="D1631"/>
      <c r="Q1631"/>
      <c r="AQ1631" s="20"/>
    </row>
    <row r="1632" spans="2:43">
      <c r="B1632"/>
      <c r="C1632"/>
      <c r="D1632"/>
      <c r="Q1632"/>
      <c r="AQ1632" s="20"/>
    </row>
    <row r="1633" spans="2:43">
      <c r="B1633"/>
      <c r="C1633"/>
      <c r="D1633"/>
      <c r="Q1633"/>
      <c r="AQ1633" s="20"/>
    </row>
    <row r="1634" spans="2:43">
      <c r="B1634"/>
      <c r="C1634"/>
      <c r="D1634"/>
      <c r="Q1634"/>
      <c r="AQ1634" s="20"/>
    </row>
    <row r="1635" spans="2:43">
      <c r="B1635"/>
      <c r="C1635"/>
      <c r="D1635"/>
      <c r="Q1635"/>
      <c r="AQ1635" s="20"/>
    </row>
    <row r="1636" spans="2:43">
      <c r="B1636"/>
      <c r="C1636"/>
      <c r="D1636"/>
      <c r="Q1636"/>
      <c r="AQ1636" s="20"/>
    </row>
    <row r="1637" spans="2:43">
      <c r="B1637"/>
      <c r="C1637"/>
      <c r="D1637"/>
      <c r="Q1637"/>
      <c r="AQ1637" s="20"/>
    </row>
    <row r="1638" spans="2:43">
      <c r="B1638"/>
      <c r="C1638"/>
      <c r="D1638"/>
      <c r="Q1638"/>
      <c r="AQ1638" s="20"/>
    </row>
    <row r="1639" spans="2:43">
      <c r="B1639"/>
      <c r="C1639"/>
      <c r="D1639"/>
      <c r="Q1639"/>
      <c r="AQ1639" s="20"/>
    </row>
    <row r="1640" spans="2:43">
      <c r="B1640"/>
      <c r="C1640"/>
      <c r="D1640"/>
      <c r="Q1640"/>
      <c r="AQ1640" s="20"/>
    </row>
    <row r="1641" spans="2:43">
      <c r="B1641"/>
      <c r="C1641"/>
      <c r="D1641"/>
      <c r="Q1641"/>
      <c r="AQ1641" s="20"/>
    </row>
    <row r="1642" spans="2:43">
      <c r="B1642"/>
      <c r="C1642"/>
      <c r="D1642"/>
      <c r="Q1642"/>
      <c r="AQ1642" s="20"/>
    </row>
    <row r="1643" spans="2:43">
      <c r="B1643"/>
      <c r="C1643"/>
      <c r="D1643"/>
      <c r="Q1643"/>
      <c r="AQ1643" s="20"/>
    </row>
    <row r="1644" spans="2:43">
      <c r="B1644"/>
      <c r="C1644"/>
      <c r="D1644"/>
      <c r="Q1644"/>
      <c r="AQ1644" s="20"/>
    </row>
    <row r="1645" spans="2:43">
      <c r="B1645"/>
      <c r="C1645"/>
      <c r="D1645"/>
      <c r="Q1645"/>
      <c r="AQ1645" s="20"/>
    </row>
    <row r="1646" spans="2:43">
      <c r="B1646"/>
      <c r="C1646"/>
      <c r="D1646"/>
      <c r="Q1646"/>
      <c r="AQ1646" s="20"/>
    </row>
    <row r="1647" spans="2:43">
      <c r="B1647"/>
      <c r="C1647"/>
      <c r="D1647"/>
      <c r="Q1647"/>
      <c r="AQ1647" s="20"/>
    </row>
    <row r="1648" spans="2:43">
      <c r="B1648"/>
      <c r="C1648"/>
      <c r="D1648"/>
      <c r="Q1648"/>
      <c r="AQ1648" s="20"/>
    </row>
    <row r="1649" spans="2:43">
      <c r="B1649"/>
      <c r="C1649"/>
      <c r="D1649"/>
      <c r="Q1649"/>
      <c r="AQ1649" s="20"/>
    </row>
    <row r="1650" spans="2:43">
      <c r="B1650"/>
      <c r="C1650"/>
      <c r="D1650"/>
      <c r="Q1650"/>
      <c r="AQ1650" s="20"/>
    </row>
    <row r="1651" spans="2:43">
      <c r="B1651"/>
      <c r="C1651"/>
      <c r="D1651"/>
      <c r="Q1651"/>
      <c r="AQ1651" s="20"/>
    </row>
    <row r="1652" spans="2:43">
      <c r="B1652"/>
      <c r="C1652"/>
      <c r="D1652"/>
      <c r="Q1652"/>
      <c r="AQ1652" s="20"/>
    </row>
    <row r="1653" spans="2:43">
      <c r="B1653"/>
      <c r="C1653"/>
      <c r="D1653"/>
      <c r="Q1653"/>
      <c r="AQ1653" s="20"/>
    </row>
    <row r="1654" spans="2:43">
      <c r="B1654"/>
      <c r="C1654"/>
      <c r="D1654"/>
      <c r="Q1654"/>
      <c r="AQ1654" s="20"/>
    </row>
    <row r="1655" spans="2:43">
      <c r="B1655"/>
      <c r="C1655"/>
      <c r="D1655"/>
      <c r="Q1655"/>
      <c r="AQ1655" s="20"/>
    </row>
    <row r="1656" spans="2:43">
      <c r="B1656"/>
      <c r="C1656"/>
      <c r="D1656"/>
      <c r="Q1656"/>
      <c r="AQ1656" s="20"/>
    </row>
    <row r="1657" spans="2:43">
      <c r="B1657"/>
      <c r="C1657"/>
      <c r="D1657"/>
      <c r="Q1657"/>
      <c r="AQ1657" s="20"/>
    </row>
    <row r="1658" spans="2:43">
      <c r="B1658"/>
      <c r="C1658"/>
      <c r="D1658"/>
      <c r="Q1658"/>
      <c r="AQ1658" s="20"/>
    </row>
    <row r="1659" spans="2:43">
      <c r="B1659"/>
      <c r="C1659"/>
      <c r="D1659"/>
      <c r="Q1659"/>
      <c r="AQ1659" s="20"/>
    </row>
    <row r="1660" spans="2:43">
      <c r="B1660"/>
      <c r="C1660"/>
      <c r="D1660"/>
      <c r="Q1660"/>
      <c r="AQ1660" s="20"/>
    </row>
    <row r="1661" spans="2:43">
      <c r="B1661"/>
      <c r="C1661"/>
      <c r="D1661"/>
      <c r="Q1661"/>
      <c r="AQ1661" s="20"/>
    </row>
    <row r="1662" spans="2:43">
      <c r="B1662"/>
      <c r="C1662"/>
      <c r="D1662"/>
      <c r="Q1662"/>
      <c r="AQ1662" s="20"/>
    </row>
    <row r="1663" spans="2:43">
      <c r="B1663"/>
      <c r="C1663"/>
      <c r="D1663"/>
      <c r="Q1663"/>
      <c r="AQ1663" s="20"/>
    </row>
    <row r="1664" spans="2:43">
      <c r="B1664"/>
      <c r="C1664"/>
      <c r="D1664"/>
      <c r="Q1664"/>
      <c r="AQ1664" s="20"/>
    </row>
    <row r="1665" spans="2:43">
      <c r="B1665"/>
      <c r="C1665"/>
      <c r="D1665"/>
      <c r="Q1665"/>
      <c r="AQ1665" s="20"/>
    </row>
    <row r="1666" spans="2:43">
      <c r="B1666"/>
      <c r="C1666"/>
      <c r="D1666"/>
      <c r="Q1666"/>
      <c r="AQ1666" s="20"/>
    </row>
    <row r="1667" spans="2:43">
      <c r="B1667"/>
      <c r="C1667"/>
      <c r="D1667"/>
      <c r="Q1667"/>
      <c r="AQ1667" s="20"/>
    </row>
    <row r="1668" spans="2:43">
      <c r="B1668"/>
      <c r="C1668"/>
      <c r="D1668"/>
      <c r="Q1668"/>
      <c r="AQ1668" s="20"/>
    </row>
    <row r="1669" spans="2:43">
      <c r="B1669"/>
      <c r="C1669"/>
      <c r="D1669"/>
      <c r="Q1669"/>
      <c r="AQ1669" s="20"/>
    </row>
    <row r="1670" spans="2:43">
      <c r="B1670"/>
      <c r="C1670"/>
      <c r="D1670"/>
      <c r="Q1670"/>
      <c r="AQ1670" s="20"/>
    </row>
    <row r="1671" spans="2:43">
      <c r="B1671"/>
      <c r="C1671"/>
      <c r="D1671"/>
      <c r="Q1671"/>
      <c r="AQ1671" s="20"/>
    </row>
    <row r="1672" spans="2:43">
      <c r="B1672"/>
      <c r="C1672"/>
      <c r="D1672"/>
      <c r="Q1672"/>
      <c r="AQ1672" s="20"/>
    </row>
    <row r="1673" spans="2:43">
      <c r="B1673"/>
      <c r="C1673"/>
      <c r="D1673"/>
      <c r="Q1673"/>
      <c r="AQ1673" s="20"/>
    </row>
    <row r="1674" spans="2:43">
      <c r="B1674"/>
      <c r="C1674"/>
      <c r="D1674"/>
      <c r="Q1674"/>
      <c r="AQ1674" s="20"/>
    </row>
    <row r="1675" spans="2:43">
      <c r="B1675"/>
      <c r="C1675"/>
      <c r="D1675"/>
      <c r="Q1675"/>
      <c r="AQ1675" s="20"/>
    </row>
    <row r="1676" spans="2:43">
      <c r="B1676"/>
      <c r="C1676"/>
      <c r="D1676"/>
      <c r="Q1676"/>
      <c r="AQ1676" s="20"/>
    </row>
    <row r="1677" spans="2:43">
      <c r="B1677"/>
      <c r="C1677"/>
      <c r="D1677"/>
      <c r="Q1677"/>
      <c r="AQ1677" s="20"/>
    </row>
    <row r="1678" spans="2:43">
      <c r="B1678"/>
      <c r="C1678"/>
      <c r="D1678"/>
      <c r="Q1678"/>
      <c r="AQ1678" s="20"/>
    </row>
    <row r="1679" spans="2:43">
      <c r="B1679"/>
      <c r="C1679"/>
      <c r="D1679"/>
      <c r="Q1679"/>
      <c r="AQ1679" s="20"/>
    </row>
    <row r="1680" spans="2:43">
      <c r="B1680"/>
      <c r="C1680"/>
      <c r="D1680"/>
      <c r="Q1680"/>
      <c r="AQ1680" s="20"/>
    </row>
    <row r="1681" spans="2:43">
      <c r="B1681"/>
      <c r="C1681"/>
      <c r="D1681"/>
      <c r="Q1681"/>
      <c r="AQ1681" s="20"/>
    </row>
    <row r="1682" spans="2:43">
      <c r="B1682"/>
      <c r="C1682"/>
      <c r="D1682"/>
      <c r="Q1682"/>
      <c r="AQ1682" s="20"/>
    </row>
    <row r="1683" spans="2:43">
      <c r="B1683"/>
      <c r="C1683"/>
      <c r="D1683"/>
      <c r="Q1683"/>
      <c r="AQ1683" s="20"/>
    </row>
    <row r="1684" spans="2:43">
      <c r="B1684"/>
      <c r="C1684"/>
      <c r="D1684"/>
      <c r="Q1684"/>
      <c r="AQ1684" s="20"/>
    </row>
    <row r="1685" spans="2:43">
      <c r="B1685"/>
      <c r="C1685"/>
      <c r="D1685"/>
      <c r="Q1685"/>
      <c r="AQ1685" s="20"/>
    </row>
    <row r="1686" spans="2:43">
      <c r="B1686"/>
      <c r="C1686"/>
      <c r="D1686"/>
      <c r="Q1686"/>
      <c r="AQ1686" s="20"/>
    </row>
    <row r="1687" spans="2:43">
      <c r="B1687"/>
      <c r="C1687"/>
      <c r="D1687"/>
      <c r="Q1687"/>
      <c r="AQ1687" s="20"/>
    </row>
    <row r="1688" spans="2:43">
      <c r="B1688"/>
      <c r="C1688"/>
      <c r="D1688"/>
      <c r="Q1688"/>
      <c r="AQ1688" s="20"/>
    </row>
    <row r="1689" spans="2:43">
      <c r="B1689"/>
      <c r="C1689"/>
      <c r="D1689"/>
      <c r="Q1689"/>
      <c r="AQ1689" s="20"/>
    </row>
    <row r="1690" spans="2:43">
      <c r="B1690"/>
      <c r="C1690"/>
      <c r="D1690"/>
      <c r="Q1690"/>
      <c r="AQ1690" s="20"/>
    </row>
    <row r="1691" spans="2:43">
      <c r="B1691"/>
      <c r="C1691"/>
      <c r="D1691"/>
      <c r="Q1691"/>
      <c r="AQ1691" s="20"/>
    </row>
    <row r="1692" spans="2:43">
      <c r="B1692"/>
      <c r="C1692"/>
      <c r="D1692"/>
      <c r="Q1692"/>
      <c r="AQ1692" s="20"/>
    </row>
    <row r="1693" spans="2:43">
      <c r="B1693"/>
      <c r="C1693"/>
      <c r="D1693"/>
      <c r="Q1693"/>
      <c r="AQ1693" s="20"/>
    </row>
    <row r="1694" spans="2:43">
      <c r="B1694"/>
      <c r="C1694"/>
      <c r="D1694"/>
      <c r="Q1694"/>
      <c r="AQ1694" s="20"/>
    </row>
    <row r="1695" spans="2:43">
      <c r="B1695"/>
      <c r="C1695"/>
      <c r="D1695"/>
      <c r="Q1695"/>
      <c r="AQ1695" s="20"/>
    </row>
    <row r="1696" spans="2:43">
      <c r="B1696"/>
      <c r="C1696"/>
      <c r="D1696"/>
      <c r="Q1696"/>
      <c r="AQ1696" s="20"/>
    </row>
    <row r="1697" spans="2:43">
      <c r="B1697"/>
      <c r="C1697"/>
      <c r="D1697"/>
      <c r="Q1697"/>
      <c r="AQ1697" s="20"/>
    </row>
    <row r="1698" spans="2:43">
      <c r="B1698"/>
      <c r="C1698"/>
      <c r="D1698"/>
      <c r="Q1698"/>
      <c r="AQ1698" s="20"/>
    </row>
    <row r="1699" spans="2:43">
      <c r="B1699"/>
      <c r="C1699"/>
      <c r="D1699"/>
      <c r="Q1699"/>
      <c r="AQ1699" s="20"/>
    </row>
    <row r="1700" spans="2:43">
      <c r="B1700"/>
      <c r="C1700"/>
      <c r="D1700"/>
      <c r="Q1700"/>
      <c r="AQ1700" s="20"/>
    </row>
    <row r="1701" spans="2:43">
      <c r="B1701"/>
      <c r="C1701"/>
      <c r="D1701"/>
      <c r="Q1701"/>
      <c r="AQ1701" s="20"/>
    </row>
    <row r="1702" spans="2:43">
      <c r="B1702"/>
      <c r="C1702"/>
      <c r="D1702"/>
      <c r="Q1702"/>
      <c r="AQ1702" s="20"/>
    </row>
    <row r="1703" spans="2:43">
      <c r="B1703"/>
      <c r="C1703"/>
      <c r="D1703"/>
      <c r="Q1703"/>
      <c r="AQ1703" s="20"/>
    </row>
    <row r="1704" spans="2:43">
      <c r="B1704"/>
      <c r="C1704"/>
      <c r="D1704"/>
      <c r="Q1704"/>
      <c r="AQ1704" s="20"/>
    </row>
    <row r="1705" spans="2:43">
      <c r="B1705"/>
      <c r="C1705"/>
      <c r="D1705"/>
      <c r="Q1705"/>
      <c r="AQ1705" s="20"/>
    </row>
    <row r="1706" spans="2:43">
      <c r="B1706"/>
      <c r="C1706"/>
      <c r="D1706"/>
      <c r="Q1706"/>
      <c r="AQ1706" s="20"/>
    </row>
    <row r="1707" spans="2:43">
      <c r="B1707"/>
      <c r="C1707"/>
      <c r="D1707"/>
      <c r="Q1707"/>
      <c r="AQ1707" s="20"/>
    </row>
    <row r="1708" spans="2:43">
      <c r="B1708"/>
      <c r="C1708"/>
      <c r="D1708"/>
      <c r="Q1708"/>
      <c r="AQ1708" s="20"/>
    </row>
    <row r="1709" spans="2:43">
      <c r="B1709"/>
      <c r="C1709"/>
      <c r="D1709"/>
      <c r="Q1709"/>
      <c r="AQ1709" s="20"/>
    </row>
    <row r="1710" spans="2:43">
      <c r="B1710"/>
      <c r="C1710"/>
      <c r="D1710"/>
      <c r="Q1710"/>
      <c r="AQ1710" s="20"/>
    </row>
    <row r="1711" spans="2:43">
      <c r="B1711"/>
      <c r="C1711"/>
      <c r="D1711"/>
      <c r="Q1711"/>
      <c r="AQ1711" s="20"/>
    </row>
    <row r="1712" spans="2:43">
      <c r="B1712"/>
      <c r="C1712"/>
      <c r="D1712"/>
      <c r="Q1712"/>
      <c r="AQ1712" s="20"/>
    </row>
    <row r="1713" spans="2:43">
      <c r="B1713"/>
      <c r="C1713"/>
      <c r="D1713"/>
      <c r="Q1713"/>
      <c r="AQ1713" s="20"/>
    </row>
    <row r="1714" spans="2:43">
      <c r="B1714"/>
      <c r="C1714"/>
      <c r="D1714"/>
      <c r="Q1714"/>
      <c r="AQ1714" s="20"/>
    </row>
    <row r="1715" spans="2:43">
      <c r="B1715"/>
      <c r="C1715"/>
      <c r="D1715"/>
      <c r="Q1715"/>
      <c r="AQ1715" s="20"/>
    </row>
    <row r="1716" spans="2:43">
      <c r="B1716"/>
      <c r="C1716"/>
      <c r="D1716"/>
      <c r="Q1716"/>
      <c r="AQ1716" s="20"/>
    </row>
    <row r="1717" spans="2:43">
      <c r="B1717"/>
      <c r="C1717"/>
      <c r="D1717"/>
      <c r="Q1717"/>
      <c r="AQ1717" s="20"/>
    </row>
    <row r="1718" spans="2:43">
      <c r="B1718"/>
      <c r="C1718"/>
      <c r="D1718"/>
      <c r="Q1718"/>
      <c r="AQ1718" s="20"/>
    </row>
    <row r="1719" spans="2:43">
      <c r="B1719"/>
      <c r="C1719"/>
      <c r="D1719"/>
      <c r="Q1719"/>
      <c r="AQ1719" s="20"/>
    </row>
    <row r="1720" spans="2:43">
      <c r="B1720"/>
      <c r="C1720"/>
      <c r="D1720"/>
      <c r="Q1720"/>
      <c r="AQ1720" s="20"/>
    </row>
    <row r="1721" spans="2:43">
      <c r="B1721"/>
      <c r="C1721"/>
      <c r="D1721"/>
      <c r="Q1721"/>
      <c r="AQ1721" s="20"/>
    </row>
    <row r="1722" spans="2:43">
      <c r="B1722"/>
      <c r="C1722"/>
      <c r="D1722"/>
      <c r="Q1722"/>
      <c r="AQ1722" s="20"/>
    </row>
    <row r="1723" spans="2:43">
      <c r="B1723"/>
      <c r="C1723"/>
      <c r="D1723"/>
      <c r="Q1723"/>
      <c r="AQ1723" s="20"/>
    </row>
    <row r="1724" spans="2:43">
      <c r="B1724"/>
      <c r="C1724"/>
      <c r="D1724"/>
      <c r="Q1724"/>
      <c r="AQ1724" s="20"/>
    </row>
    <row r="1725" spans="2:43">
      <c r="B1725"/>
      <c r="C1725"/>
      <c r="D1725"/>
      <c r="Q1725"/>
      <c r="AQ1725" s="20"/>
    </row>
    <row r="1726" spans="2:43">
      <c r="B1726"/>
      <c r="C1726"/>
      <c r="D1726"/>
      <c r="Q1726"/>
      <c r="AQ1726" s="20"/>
    </row>
    <row r="1727" spans="2:43">
      <c r="B1727"/>
      <c r="C1727"/>
      <c r="D1727"/>
      <c r="Q1727"/>
      <c r="AQ1727" s="20"/>
    </row>
    <row r="1728" spans="2:43">
      <c r="B1728"/>
      <c r="C1728"/>
      <c r="D1728"/>
      <c r="Q1728"/>
      <c r="AQ1728" s="20"/>
    </row>
    <row r="1729" spans="2:43">
      <c r="B1729"/>
      <c r="C1729"/>
      <c r="D1729"/>
      <c r="Q1729"/>
      <c r="AQ1729" s="20"/>
    </row>
    <row r="1730" spans="2:43">
      <c r="B1730"/>
      <c r="C1730"/>
      <c r="D1730"/>
      <c r="Q1730"/>
      <c r="AQ1730" s="20"/>
    </row>
    <row r="1731" spans="2:43">
      <c r="B1731"/>
      <c r="C1731"/>
      <c r="D1731"/>
      <c r="Q1731"/>
      <c r="AQ1731" s="20"/>
    </row>
    <row r="1732" spans="2:43">
      <c r="B1732"/>
      <c r="C1732"/>
      <c r="D1732"/>
      <c r="Q1732"/>
      <c r="AQ1732" s="20"/>
    </row>
    <row r="1733" spans="2:43">
      <c r="B1733"/>
      <c r="C1733"/>
      <c r="D1733"/>
      <c r="Q1733"/>
      <c r="AQ1733" s="20"/>
    </row>
    <row r="1734" spans="2:43">
      <c r="B1734"/>
      <c r="C1734"/>
      <c r="D1734"/>
      <c r="Q1734"/>
      <c r="AQ1734" s="20"/>
    </row>
    <row r="1735" spans="2:43">
      <c r="B1735"/>
      <c r="C1735"/>
      <c r="D1735"/>
      <c r="Q1735"/>
      <c r="AQ1735" s="20"/>
    </row>
    <row r="1736" spans="2:43">
      <c r="B1736"/>
      <c r="C1736"/>
      <c r="D1736"/>
      <c r="Q1736"/>
      <c r="AQ1736" s="20"/>
    </row>
    <row r="1737" spans="2:43">
      <c r="B1737"/>
      <c r="C1737"/>
      <c r="D1737"/>
      <c r="Q1737"/>
      <c r="AQ1737" s="20"/>
    </row>
    <row r="1738" spans="2:43">
      <c r="B1738"/>
      <c r="C1738"/>
      <c r="D1738"/>
      <c r="Q1738"/>
      <c r="AQ1738" s="20"/>
    </row>
    <row r="1739" spans="2:43">
      <c r="B1739"/>
      <c r="C1739"/>
      <c r="D1739"/>
      <c r="Q1739"/>
      <c r="AQ1739" s="20"/>
    </row>
    <row r="1740" spans="2:43">
      <c r="B1740"/>
      <c r="C1740"/>
      <c r="D1740"/>
      <c r="Q1740"/>
      <c r="AQ1740" s="20"/>
    </row>
    <row r="1741" spans="2:43">
      <c r="B1741"/>
      <c r="C1741"/>
      <c r="D1741"/>
      <c r="Q1741"/>
      <c r="AQ1741" s="20"/>
    </row>
    <row r="1742" spans="2:43">
      <c r="B1742"/>
      <c r="C1742"/>
      <c r="D1742"/>
      <c r="Q1742"/>
      <c r="AQ1742" s="20"/>
    </row>
    <row r="1743" spans="2:43">
      <c r="B1743"/>
      <c r="C1743"/>
      <c r="D1743"/>
      <c r="Q1743"/>
      <c r="AQ1743" s="20"/>
    </row>
    <row r="1744" spans="2:43">
      <c r="B1744"/>
      <c r="C1744"/>
      <c r="D1744"/>
      <c r="Q1744"/>
      <c r="AQ1744" s="20"/>
    </row>
    <row r="1745" spans="2:43">
      <c r="B1745"/>
      <c r="C1745"/>
      <c r="D1745"/>
      <c r="Q1745"/>
      <c r="AQ1745" s="20"/>
    </row>
    <row r="1746" spans="2:43">
      <c r="B1746"/>
      <c r="C1746"/>
      <c r="D1746"/>
      <c r="Q1746"/>
      <c r="AQ1746" s="20"/>
    </row>
    <row r="1747" spans="2:43">
      <c r="B1747"/>
      <c r="C1747"/>
      <c r="D1747"/>
      <c r="Q1747"/>
      <c r="AQ1747" s="20"/>
    </row>
    <row r="1748" spans="2:43">
      <c r="B1748"/>
      <c r="C1748"/>
      <c r="D1748"/>
      <c r="Q1748"/>
      <c r="AQ1748" s="20"/>
    </row>
    <row r="1749" spans="2:43">
      <c r="B1749"/>
      <c r="C1749"/>
      <c r="D1749"/>
      <c r="Q1749"/>
      <c r="AQ1749" s="20"/>
    </row>
    <row r="1750" spans="2:43">
      <c r="B1750"/>
      <c r="C1750"/>
      <c r="D1750"/>
      <c r="Q1750"/>
      <c r="AQ1750" s="20"/>
    </row>
    <row r="1751" spans="2:43">
      <c r="B1751"/>
      <c r="C1751"/>
      <c r="D1751"/>
      <c r="Q1751"/>
      <c r="AQ1751" s="20"/>
    </row>
    <row r="1752" spans="2:43">
      <c r="B1752"/>
      <c r="C1752"/>
      <c r="D1752"/>
      <c r="Q1752"/>
      <c r="AQ1752" s="20"/>
    </row>
    <row r="1753" spans="2:43">
      <c r="B1753"/>
      <c r="C1753"/>
      <c r="D1753"/>
      <c r="Q1753"/>
      <c r="AQ1753" s="20"/>
    </row>
    <row r="1754" spans="2:43">
      <c r="B1754"/>
      <c r="C1754"/>
      <c r="D1754"/>
      <c r="Q1754"/>
      <c r="AQ1754" s="20"/>
    </row>
    <row r="1755" spans="2:43">
      <c r="B1755"/>
      <c r="C1755"/>
      <c r="D1755"/>
      <c r="Q1755"/>
      <c r="AQ1755" s="20"/>
    </row>
    <row r="1756" spans="2:43">
      <c r="B1756"/>
      <c r="C1756"/>
      <c r="D1756"/>
      <c r="Q1756"/>
      <c r="AQ1756" s="20"/>
    </row>
    <row r="1757" spans="2:43">
      <c r="B1757"/>
      <c r="C1757"/>
      <c r="D1757"/>
      <c r="Q1757"/>
      <c r="AQ1757" s="20"/>
    </row>
    <row r="1758" spans="2:43">
      <c r="B1758"/>
      <c r="C1758"/>
      <c r="D1758"/>
      <c r="Q1758"/>
      <c r="AQ1758" s="20"/>
    </row>
    <row r="1759" spans="2:43">
      <c r="B1759"/>
      <c r="C1759"/>
      <c r="D1759"/>
      <c r="Q1759"/>
      <c r="AQ1759" s="20"/>
    </row>
    <row r="1760" spans="2:43">
      <c r="B1760"/>
      <c r="C1760"/>
      <c r="D1760"/>
      <c r="Q1760"/>
      <c r="AQ1760" s="20"/>
    </row>
    <row r="1761" spans="2:43">
      <c r="B1761"/>
      <c r="C1761"/>
      <c r="D1761"/>
      <c r="Q1761"/>
      <c r="AQ1761" s="20"/>
    </row>
    <row r="1762" spans="2:43">
      <c r="B1762"/>
      <c r="C1762"/>
      <c r="D1762"/>
      <c r="Q1762"/>
      <c r="AQ1762" s="20"/>
    </row>
    <row r="1763" spans="2:43">
      <c r="B1763"/>
      <c r="C1763"/>
      <c r="D1763"/>
      <c r="Q1763"/>
      <c r="AQ1763" s="20"/>
    </row>
    <row r="1764" spans="2:43">
      <c r="B1764"/>
      <c r="C1764"/>
      <c r="D1764"/>
      <c r="Q1764"/>
      <c r="AQ1764" s="20"/>
    </row>
    <row r="1765" spans="2:43">
      <c r="B1765"/>
      <c r="C1765"/>
      <c r="D1765"/>
      <c r="Q1765"/>
      <c r="AQ1765" s="20"/>
    </row>
    <row r="1766" spans="2:43">
      <c r="B1766"/>
      <c r="C1766"/>
      <c r="D1766"/>
      <c r="Q1766"/>
      <c r="AQ1766" s="20"/>
    </row>
    <row r="1767" spans="2:43">
      <c r="B1767"/>
      <c r="C1767"/>
      <c r="D1767"/>
      <c r="Q1767"/>
      <c r="AQ1767" s="20"/>
    </row>
    <row r="1768" spans="2:43">
      <c r="B1768"/>
      <c r="C1768"/>
      <c r="D1768"/>
      <c r="Q1768"/>
      <c r="AQ1768" s="20"/>
    </row>
    <row r="1769" spans="2:43">
      <c r="B1769"/>
      <c r="C1769"/>
      <c r="D1769"/>
      <c r="Q1769"/>
      <c r="AQ1769" s="20"/>
    </row>
    <row r="1770" spans="2:43">
      <c r="B1770"/>
      <c r="C1770"/>
      <c r="D1770"/>
      <c r="Q1770"/>
      <c r="AQ1770" s="20"/>
    </row>
    <row r="1771" spans="2:43">
      <c r="B1771"/>
      <c r="C1771"/>
      <c r="D1771"/>
      <c r="Q1771"/>
      <c r="AQ1771" s="20"/>
    </row>
    <row r="1772" spans="2:43">
      <c r="B1772"/>
      <c r="C1772"/>
      <c r="D1772"/>
      <c r="Q1772"/>
      <c r="AQ1772" s="20"/>
    </row>
    <row r="1773" spans="2:43">
      <c r="B1773"/>
      <c r="C1773"/>
      <c r="D1773"/>
      <c r="Q1773"/>
      <c r="AQ1773" s="20"/>
    </row>
    <row r="1774" spans="2:43">
      <c r="B1774"/>
      <c r="C1774"/>
      <c r="D1774"/>
      <c r="Q1774"/>
      <c r="AQ1774" s="20"/>
    </row>
    <row r="1775" spans="2:43">
      <c r="B1775"/>
      <c r="C1775"/>
      <c r="D1775"/>
      <c r="Q1775"/>
      <c r="AQ1775" s="20"/>
    </row>
    <row r="1776" spans="2:43">
      <c r="B1776"/>
      <c r="C1776"/>
      <c r="D1776"/>
      <c r="Q1776"/>
      <c r="AQ1776" s="20"/>
    </row>
    <row r="1777" spans="2:43">
      <c r="B1777"/>
      <c r="C1777"/>
      <c r="D1777"/>
      <c r="Q1777"/>
      <c r="AQ1777" s="20"/>
    </row>
    <row r="1778" spans="2:43">
      <c r="B1778"/>
      <c r="C1778"/>
      <c r="D1778"/>
      <c r="Q1778"/>
      <c r="AQ1778" s="20"/>
    </row>
    <row r="1779" spans="2:43">
      <c r="B1779"/>
      <c r="C1779"/>
      <c r="D1779"/>
      <c r="Q1779"/>
      <c r="AQ1779" s="20"/>
    </row>
    <row r="1780" spans="2:43">
      <c r="B1780"/>
      <c r="C1780"/>
      <c r="D1780"/>
      <c r="Q1780"/>
      <c r="AQ1780" s="20"/>
    </row>
    <row r="1781" spans="2:43">
      <c r="B1781"/>
      <c r="C1781"/>
      <c r="D1781"/>
      <c r="Q1781"/>
      <c r="AQ1781" s="20"/>
    </row>
    <row r="1782" spans="2:43">
      <c r="B1782"/>
      <c r="C1782"/>
      <c r="D1782"/>
      <c r="Q1782"/>
      <c r="AQ1782" s="20"/>
    </row>
    <row r="1783" spans="2:43">
      <c r="B1783"/>
      <c r="C1783"/>
      <c r="D1783"/>
      <c r="Q1783"/>
      <c r="AQ1783" s="20"/>
    </row>
    <row r="1784" spans="2:43">
      <c r="B1784"/>
      <c r="C1784"/>
      <c r="D1784"/>
      <c r="Q1784"/>
      <c r="AQ1784" s="20"/>
    </row>
    <row r="1785" spans="2:43">
      <c r="B1785"/>
      <c r="C1785"/>
      <c r="D1785"/>
      <c r="Q1785"/>
      <c r="AQ1785" s="20"/>
    </row>
    <row r="1786" spans="2:43">
      <c r="B1786"/>
      <c r="C1786"/>
      <c r="D1786"/>
      <c r="Q1786"/>
      <c r="AQ1786" s="20"/>
    </row>
    <row r="1787" spans="2:43">
      <c r="B1787"/>
      <c r="C1787"/>
      <c r="D1787"/>
      <c r="Q1787"/>
      <c r="AQ1787" s="20"/>
    </row>
    <row r="1788" spans="2:43">
      <c r="B1788"/>
      <c r="C1788"/>
      <c r="D1788"/>
      <c r="Q1788"/>
      <c r="AQ1788" s="20"/>
    </row>
    <row r="1789" spans="2:43">
      <c r="B1789"/>
      <c r="C1789"/>
      <c r="D1789"/>
      <c r="Q1789"/>
      <c r="AQ1789" s="20"/>
    </row>
    <row r="1790" spans="2:43">
      <c r="B1790"/>
      <c r="C1790"/>
      <c r="D1790"/>
      <c r="Q1790"/>
      <c r="AQ1790" s="20"/>
    </row>
    <row r="1791" spans="2:43">
      <c r="B1791"/>
      <c r="C1791"/>
      <c r="D1791"/>
      <c r="Q1791"/>
      <c r="AQ1791" s="20"/>
    </row>
    <row r="1792" spans="2:43">
      <c r="B1792"/>
      <c r="C1792"/>
      <c r="D1792"/>
      <c r="Q1792"/>
      <c r="AQ1792" s="20"/>
    </row>
    <row r="1793" spans="2:43">
      <c r="B1793"/>
      <c r="C1793"/>
      <c r="D1793"/>
      <c r="Q1793"/>
      <c r="AQ1793" s="20"/>
    </row>
    <row r="1794" spans="2:43">
      <c r="B1794"/>
      <c r="C1794"/>
      <c r="D1794"/>
      <c r="Q1794"/>
      <c r="AQ1794" s="20"/>
    </row>
    <row r="1795" spans="2:43">
      <c r="B1795"/>
      <c r="C1795"/>
      <c r="D1795"/>
      <c r="Q1795"/>
      <c r="AQ1795" s="20"/>
    </row>
    <row r="1796" spans="2:43">
      <c r="B1796"/>
      <c r="C1796"/>
      <c r="D1796"/>
      <c r="Q1796"/>
      <c r="AQ1796" s="20"/>
    </row>
    <row r="1797" spans="2:43">
      <c r="B1797"/>
      <c r="C1797"/>
      <c r="D1797"/>
      <c r="Q1797"/>
      <c r="AQ1797" s="20"/>
    </row>
    <row r="1798" spans="2:43">
      <c r="B1798"/>
      <c r="C1798"/>
      <c r="D1798"/>
      <c r="Q1798"/>
      <c r="AQ1798" s="20"/>
    </row>
    <row r="1799" spans="2:43">
      <c r="B1799"/>
      <c r="C1799"/>
      <c r="D1799"/>
      <c r="Q1799"/>
      <c r="AQ1799" s="20"/>
    </row>
    <row r="1800" spans="2:43">
      <c r="B1800"/>
      <c r="C1800"/>
      <c r="D1800"/>
      <c r="Q1800"/>
      <c r="AQ1800" s="20"/>
    </row>
    <row r="1801" spans="2:43">
      <c r="B1801"/>
      <c r="C1801"/>
      <c r="D1801"/>
      <c r="Q1801"/>
      <c r="AQ1801" s="20"/>
    </row>
    <row r="1802" spans="2:43">
      <c r="B1802"/>
      <c r="C1802"/>
      <c r="D1802"/>
      <c r="Q1802"/>
      <c r="AQ1802" s="20"/>
    </row>
    <row r="1803" spans="2:43">
      <c r="B1803"/>
      <c r="C1803"/>
      <c r="D1803"/>
      <c r="Q1803"/>
      <c r="AQ1803" s="20"/>
    </row>
    <row r="1804" spans="2:43">
      <c r="B1804"/>
      <c r="C1804"/>
      <c r="D1804"/>
      <c r="Q1804"/>
      <c r="AQ1804" s="20"/>
    </row>
    <row r="1805" spans="2:43">
      <c r="B1805"/>
      <c r="C1805"/>
      <c r="D1805"/>
      <c r="Q1805"/>
      <c r="AQ1805" s="20"/>
    </row>
    <row r="1806" spans="2:43">
      <c r="B1806"/>
      <c r="C1806"/>
      <c r="D1806"/>
      <c r="Q1806"/>
      <c r="AQ1806" s="20"/>
    </row>
    <row r="1807" spans="2:43">
      <c r="B1807"/>
      <c r="C1807"/>
      <c r="D1807"/>
      <c r="Q1807"/>
      <c r="AQ1807" s="20"/>
    </row>
    <row r="1808" spans="2:43">
      <c r="B1808"/>
      <c r="C1808"/>
      <c r="D1808"/>
      <c r="Q1808"/>
      <c r="AQ1808" s="20"/>
    </row>
    <row r="1809" spans="2:43">
      <c r="B1809"/>
      <c r="C1809"/>
      <c r="D1809"/>
      <c r="Q1809"/>
      <c r="AQ1809" s="20"/>
    </row>
    <row r="1810" spans="2:43">
      <c r="B1810"/>
      <c r="C1810"/>
      <c r="D1810"/>
      <c r="Q1810"/>
      <c r="AQ1810" s="20"/>
    </row>
    <row r="1811" spans="2:43">
      <c r="B1811"/>
      <c r="C1811"/>
      <c r="D1811"/>
      <c r="Q1811"/>
      <c r="AQ1811" s="20"/>
    </row>
    <row r="1812" spans="2:43">
      <c r="B1812"/>
      <c r="C1812"/>
      <c r="D1812"/>
      <c r="Q1812"/>
      <c r="AQ1812" s="20"/>
    </row>
    <row r="1813" spans="2:43">
      <c r="B1813"/>
      <c r="C1813"/>
      <c r="D1813"/>
      <c r="Q1813"/>
      <c r="AQ1813" s="20"/>
    </row>
    <row r="1814" spans="2:43">
      <c r="B1814"/>
      <c r="C1814"/>
      <c r="D1814"/>
      <c r="Q1814"/>
      <c r="AQ1814" s="20"/>
    </row>
    <row r="1815" spans="2:43">
      <c r="B1815"/>
      <c r="C1815"/>
      <c r="D1815"/>
      <c r="Q1815"/>
      <c r="AQ1815" s="20"/>
    </row>
    <row r="1816" spans="2:43">
      <c r="B1816"/>
      <c r="C1816"/>
      <c r="D1816"/>
      <c r="Q1816"/>
      <c r="AQ1816" s="20"/>
    </row>
    <row r="1817" spans="2:43">
      <c r="B1817"/>
      <c r="C1817"/>
      <c r="D1817"/>
      <c r="Q1817"/>
      <c r="AQ1817" s="20"/>
    </row>
    <row r="1818" spans="2:43">
      <c r="B1818"/>
      <c r="C1818"/>
      <c r="D1818"/>
      <c r="Q1818"/>
      <c r="AQ1818" s="20"/>
    </row>
    <row r="1819" spans="2:43">
      <c r="B1819"/>
      <c r="C1819"/>
      <c r="D1819"/>
      <c r="Q1819"/>
      <c r="AQ1819" s="20"/>
    </row>
    <row r="1820" spans="2:43">
      <c r="B1820"/>
      <c r="C1820"/>
      <c r="D1820"/>
      <c r="Q1820"/>
      <c r="AQ1820" s="20"/>
    </row>
    <row r="1821" spans="2:43">
      <c r="B1821"/>
      <c r="C1821"/>
      <c r="D1821"/>
      <c r="Q1821"/>
      <c r="AQ1821" s="20"/>
    </row>
    <row r="1822" spans="2:43">
      <c r="B1822"/>
      <c r="C1822"/>
      <c r="D1822"/>
      <c r="Q1822"/>
      <c r="AQ1822" s="20"/>
    </row>
    <row r="1823" spans="2:43">
      <c r="B1823"/>
      <c r="C1823"/>
      <c r="D1823"/>
      <c r="Q1823"/>
      <c r="AQ1823" s="20"/>
    </row>
    <row r="1824" spans="2:43">
      <c r="B1824"/>
      <c r="C1824"/>
      <c r="D1824"/>
      <c r="Q1824"/>
      <c r="AQ1824" s="20"/>
    </row>
    <row r="1825" spans="2:43">
      <c r="B1825"/>
      <c r="C1825"/>
      <c r="D1825"/>
      <c r="Q1825"/>
      <c r="AQ1825" s="20"/>
    </row>
    <row r="1826" spans="2:43">
      <c r="B1826"/>
      <c r="C1826"/>
      <c r="D1826"/>
      <c r="Q1826"/>
      <c r="AQ1826" s="20"/>
    </row>
    <row r="1827" spans="2:43">
      <c r="B1827"/>
      <c r="C1827"/>
      <c r="D1827"/>
      <c r="Q1827"/>
      <c r="AQ1827" s="20"/>
    </row>
    <row r="1828" spans="2:43">
      <c r="B1828"/>
      <c r="C1828"/>
      <c r="D1828"/>
      <c r="Q1828"/>
      <c r="AQ1828" s="20"/>
    </row>
    <row r="1829" spans="2:43">
      <c r="B1829"/>
      <c r="C1829"/>
      <c r="D1829"/>
      <c r="Q1829"/>
      <c r="AQ1829" s="20"/>
    </row>
    <row r="1830" spans="2:43">
      <c r="B1830"/>
      <c r="C1830"/>
      <c r="D1830"/>
      <c r="Q1830"/>
      <c r="AQ1830" s="20"/>
    </row>
    <row r="1831" spans="2:43">
      <c r="B1831"/>
      <c r="C1831"/>
      <c r="D1831"/>
      <c r="Q1831"/>
      <c r="AQ1831" s="20"/>
    </row>
    <row r="1832" spans="2:43">
      <c r="B1832"/>
      <c r="C1832"/>
      <c r="D1832"/>
      <c r="Q1832"/>
      <c r="AQ1832" s="20"/>
    </row>
    <row r="1833" spans="2:43">
      <c r="B1833"/>
      <c r="C1833"/>
      <c r="D1833"/>
      <c r="Q1833"/>
      <c r="AQ1833" s="20"/>
    </row>
    <row r="1834" spans="2:43">
      <c r="B1834"/>
      <c r="C1834"/>
      <c r="D1834"/>
      <c r="Q1834"/>
      <c r="AQ1834" s="20"/>
    </row>
    <row r="1835" spans="2:43">
      <c r="B1835"/>
      <c r="C1835"/>
      <c r="D1835"/>
      <c r="Q1835"/>
      <c r="AQ1835" s="20"/>
    </row>
    <row r="1836" spans="2:43">
      <c r="B1836"/>
      <c r="C1836"/>
      <c r="D1836"/>
      <c r="Q1836"/>
      <c r="AQ1836" s="20"/>
    </row>
    <row r="1837" spans="2:43">
      <c r="B1837"/>
      <c r="C1837"/>
      <c r="D1837"/>
      <c r="Q1837"/>
      <c r="AQ1837" s="20"/>
    </row>
    <row r="1838" spans="2:43">
      <c r="B1838"/>
      <c r="C1838"/>
      <c r="D1838"/>
      <c r="Q1838"/>
      <c r="AQ1838" s="20"/>
    </row>
    <row r="1839" spans="2:43">
      <c r="B1839"/>
      <c r="C1839"/>
      <c r="D1839"/>
      <c r="Q1839"/>
      <c r="AQ1839" s="20"/>
    </row>
    <row r="1840" spans="2:43">
      <c r="B1840"/>
      <c r="C1840"/>
      <c r="D1840"/>
      <c r="Q1840"/>
      <c r="AQ1840" s="20"/>
    </row>
    <row r="1841" spans="2:43">
      <c r="B1841"/>
      <c r="C1841"/>
      <c r="D1841"/>
      <c r="Q1841"/>
      <c r="AQ1841" s="20"/>
    </row>
    <row r="1842" spans="2:43">
      <c r="B1842"/>
      <c r="C1842"/>
      <c r="D1842"/>
      <c r="Q1842"/>
      <c r="AQ1842" s="20"/>
    </row>
    <row r="1843" spans="2:43">
      <c r="B1843"/>
      <c r="C1843"/>
      <c r="D1843"/>
      <c r="Q1843"/>
      <c r="AQ1843" s="20"/>
    </row>
    <row r="1844" spans="2:43">
      <c r="B1844"/>
      <c r="C1844"/>
      <c r="D1844"/>
      <c r="Q1844"/>
      <c r="AQ1844" s="20"/>
    </row>
    <row r="1845" spans="2:43">
      <c r="B1845"/>
      <c r="C1845"/>
      <c r="D1845"/>
      <c r="Q1845"/>
      <c r="AQ1845" s="20"/>
    </row>
    <row r="1846" spans="2:43">
      <c r="B1846"/>
      <c r="C1846"/>
      <c r="D1846"/>
      <c r="Q1846"/>
      <c r="AQ1846" s="20"/>
    </row>
    <row r="1847" spans="2:43">
      <c r="B1847"/>
      <c r="C1847"/>
      <c r="D1847"/>
      <c r="Q1847"/>
      <c r="AQ1847" s="20"/>
    </row>
    <row r="1848" spans="2:43">
      <c r="B1848"/>
      <c r="C1848"/>
      <c r="D1848"/>
      <c r="Q1848"/>
      <c r="AQ1848" s="20"/>
    </row>
    <row r="1849" spans="2:43">
      <c r="B1849"/>
      <c r="C1849"/>
      <c r="D1849"/>
      <c r="Q1849"/>
      <c r="AQ1849" s="20"/>
    </row>
    <row r="1850" spans="2:43">
      <c r="B1850"/>
      <c r="C1850"/>
      <c r="D1850"/>
      <c r="Q1850"/>
      <c r="AQ1850" s="20"/>
    </row>
    <row r="1851" spans="2:43">
      <c r="B1851"/>
      <c r="C1851"/>
      <c r="D1851"/>
      <c r="Q1851"/>
      <c r="AQ1851" s="20"/>
    </row>
    <row r="1852" spans="2:43">
      <c r="B1852"/>
      <c r="C1852"/>
      <c r="D1852"/>
      <c r="Q1852"/>
      <c r="AQ1852" s="20"/>
    </row>
    <row r="1853" spans="2:43">
      <c r="B1853"/>
      <c r="C1853"/>
      <c r="D1853"/>
      <c r="Q1853"/>
      <c r="AQ1853" s="20"/>
    </row>
    <row r="1854" spans="2:43">
      <c r="B1854"/>
      <c r="C1854"/>
      <c r="D1854"/>
      <c r="Q1854"/>
      <c r="AQ1854" s="20"/>
    </row>
    <row r="1855" spans="2:43">
      <c r="B1855"/>
      <c r="C1855"/>
      <c r="D1855"/>
      <c r="Q1855"/>
      <c r="AQ1855" s="20"/>
    </row>
    <row r="1856" spans="2:43">
      <c r="B1856"/>
      <c r="C1856"/>
      <c r="D1856"/>
      <c r="Q1856"/>
      <c r="AQ1856" s="20"/>
    </row>
    <row r="1857" spans="2:43">
      <c r="B1857"/>
      <c r="C1857"/>
      <c r="D1857"/>
      <c r="Q1857"/>
      <c r="AQ1857" s="20"/>
    </row>
    <row r="1858" spans="2:43">
      <c r="B1858"/>
      <c r="C1858"/>
      <c r="D1858"/>
      <c r="Q1858"/>
      <c r="AQ1858" s="20"/>
    </row>
    <row r="1859" spans="2:43">
      <c r="B1859"/>
      <c r="C1859"/>
      <c r="D1859"/>
      <c r="Q1859"/>
      <c r="AQ1859" s="20"/>
    </row>
    <row r="1860" spans="2:43">
      <c r="B1860"/>
      <c r="C1860"/>
      <c r="D1860"/>
      <c r="Q1860"/>
      <c r="AQ1860" s="20"/>
    </row>
    <row r="1861" spans="2:43">
      <c r="B1861"/>
      <c r="C1861"/>
      <c r="D1861"/>
      <c r="Q1861"/>
      <c r="AQ1861" s="20"/>
    </row>
    <row r="1862" spans="2:43">
      <c r="B1862"/>
      <c r="C1862"/>
      <c r="D1862"/>
      <c r="Q1862"/>
      <c r="AQ1862" s="20"/>
    </row>
    <row r="1863" spans="2:43">
      <c r="B1863"/>
      <c r="C1863"/>
      <c r="D1863"/>
      <c r="Q1863"/>
      <c r="AQ1863" s="20"/>
    </row>
    <row r="1864" spans="2:43">
      <c r="B1864"/>
      <c r="C1864"/>
      <c r="D1864"/>
      <c r="Q1864"/>
      <c r="AQ1864" s="20"/>
    </row>
    <row r="1865" spans="2:43">
      <c r="B1865"/>
      <c r="C1865"/>
      <c r="D1865"/>
      <c r="Q1865"/>
      <c r="AQ1865" s="20"/>
    </row>
    <row r="1866" spans="2:43">
      <c r="B1866"/>
      <c r="C1866"/>
      <c r="D1866"/>
      <c r="Q1866"/>
      <c r="AQ1866" s="20"/>
    </row>
    <row r="1867" spans="2:43">
      <c r="B1867"/>
      <c r="C1867"/>
      <c r="D1867"/>
      <c r="Q1867"/>
      <c r="AQ1867" s="20"/>
    </row>
    <row r="1868" spans="2:43">
      <c r="B1868"/>
      <c r="C1868"/>
      <c r="D1868"/>
      <c r="Q1868"/>
      <c r="AQ1868" s="20"/>
    </row>
    <row r="1869" spans="2:43">
      <c r="B1869"/>
      <c r="C1869"/>
      <c r="D1869"/>
      <c r="Q1869"/>
      <c r="AQ1869" s="20"/>
    </row>
    <row r="1870" spans="2:43">
      <c r="B1870"/>
      <c r="C1870"/>
      <c r="D1870"/>
      <c r="Q1870"/>
      <c r="AQ1870" s="20"/>
    </row>
    <row r="1871" spans="2:43">
      <c r="B1871"/>
      <c r="C1871"/>
      <c r="D1871"/>
      <c r="Q1871"/>
      <c r="AQ1871" s="20"/>
    </row>
    <row r="1872" spans="2:43">
      <c r="B1872"/>
      <c r="C1872"/>
      <c r="D1872"/>
      <c r="Q1872"/>
      <c r="AQ1872" s="20"/>
    </row>
    <row r="1873" spans="2:43">
      <c r="B1873"/>
      <c r="C1873"/>
      <c r="D1873"/>
      <c r="Q1873"/>
      <c r="AQ1873" s="20"/>
    </row>
    <row r="1874" spans="2:43">
      <c r="B1874"/>
      <c r="C1874"/>
      <c r="D1874"/>
      <c r="Q1874"/>
      <c r="AQ1874" s="20"/>
    </row>
    <row r="1875" spans="2:43">
      <c r="B1875"/>
      <c r="C1875"/>
      <c r="D1875"/>
      <c r="Q1875"/>
      <c r="AQ1875" s="20"/>
    </row>
    <row r="1876" spans="2:43">
      <c r="B1876"/>
      <c r="C1876"/>
      <c r="D1876"/>
      <c r="Q1876"/>
      <c r="AQ1876" s="20"/>
    </row>
    <row r="1877" spans="2:43">
      <c r="B1877"/>
      <c r="C1877"/>
      <c r="D1877"/>
      <c r="Q1877"/>
      <c r="AQ1877" s="20"/>
    </row>
    <row r="1878" spans="2:43">
      <c r="B1878"/>
      <c r="C1878"/>
      <c r="D1878"/>
      <c r="Q1878"/>
      <c r="AQ1878" s="20"/>
    </row>
    <row r="1879" spans="2:43">
      <c r="B1879"/>
      <c r="C1879"/>
      <c r="D1879"/>
      <c r="Q1879"/>
      <c r="AQ1879" s="20"/>
    </row>
    <row r="1880" spans="2:43">
      <c r="B1880"/>
      <c r="C1880"/>
      <c r="D1880"/>
      <c r="Q1880"/>
      <c r="AQ1880" s="20"/>
    </row>
    <row r="1881" spans="2:43">
      <c r="B1881"/>
      <c r="C1881"/>
      <c r="D1881"/>
      <c r="Q1881"/>
      <c r="AQ1881" s="20"/>
    </row>
    <row r="1882" spans="2:43">
      <c r="B1882"/>
      <c r="C1882"/>
      <c r="D1882"/>
      <c r="Q1882"/>
      <c r="AQ1882" s="20"/>
    </row>
    <row r="1883" spans="2:43">
      <c r="B1883"/>
      <c r="C1883"/>
      <c r="D1883"/>
      <c r="Q1883"/>
      <c r="AQ1883" s="20"/>
    </row>
    <row r="1884" spans="2:43">
      <c r="B1884"/>
      <c r="C1884"/>
      <c r="D1884"/>
      <c r="Q1884"/>
      <c r="AQ1884" s="20"/>
    </row>
    <row r="1885" spans="2:43">
      <c r="B1885"/>
      <c r="C1885"/>
      <c r="D1885"/>
      <c r="Q1885"/>
      <c r="AQ1885" s="20"/>
    </row>
    <row r="1886" spans="2:43">
      <c r="B1886"/>
      <c r="C1886"/>
      <c r="D1886"/>
      <c r="Q1886"/>
      <c r="AQ1886" s="20"/>
    </row>
    <row r="1887" spans="2:43">
      <c r="B1887"/>
      <c r="C1887"/>
      <c r="D1887"/>
      <c r="Q1887"/>
      <c r="AQ1887" s="20"/>
    </row>
    <row r="1888" spans="2:43">
      <c r="B1888"/>
      <c r="C1888"/>
      <c r="D1888"/>
      <c r="Q1888"/>
      <c r="AQ1888" s="20"/>
    </row>
    <row r="1889" spans="2:43">
      <c r="B1889"/>
      <c r="C1889"/>
      <c r="D1889"/>
      <c r="Q1889"/>
      <c r="AQ1889" s="20"/>
    </row>
    <row r="1890" spans="2:43">
      <c r="B1890"/>
      <c r="C1890"/>
      <c r="D1890"/>
      <c r="Q1890"/>
      <c r="AQ1890" s="20"/>
    </row>
    <row r="1891" spans="2:43">
      <c r="B1891"/>
      <c r="C1891"/>
      <c r="D1891"/>
      <c r="Q1891"/>
      <c r="AQ1891" s="20"/>
    </row>
    <row r="1892" spans="2:43">
      <c r="B1892"/>
      <c r="C1892"/>
      <c r="D1892"/>
      <c r="Q1892"/>
      <c r="AQ1892" s="20"/>
    </row>
    <row r="1893" spans="2:43">
      <c r="B1893"/>
      <c r="C1893"/>
      <c r="D1893"/>
      <c r="Q1893"/>
      <c r="AQ1893" s="20"/>
    </row>
    <row r="1894" spans="2:43">
      <c r="B1894"/>
      <c r="C1894"/>
      <c r="D1894"/>
      <c r="Q1894"/>
      <c r="AQ1894" s="20"/>
    </row>
    <row r="1895" spans="2:43">
      <c r="B1895"/>
      <c r="C1895"/>
      <c r="D1895"/>
      <c r="Q1895"/>
      <c r="AQ1895" s="20"/>
    </row>
    <row r="1896" spans="2:43">
      <c r="B1896"/>
      <c r="C1896"/>
      <c r="D1896"/>
      <c r="Q1896"/>
      <c r="AQ1896" s="20"/>
    </row>
    <row r="1897" spans="2:43">
      <c r="B1897"/>
      <c r="C1897"/>
      <c r="D1897"/>
      <c r="Q1897"/>
      <c r="AQ1897" s="20"/>
    </row>
    <row r="1898" spans="2:43">
      <c r="B1898"/>
      <c r="C1898"/>
      <c r="D1898"/>
      <c r="Q1898"/>
      <c r="AQ1898" s="20"/>
    </row>
    <row r="1899" spans="2:43">
      <c r="B1899"/>
      <c r="C1899"/>
      <c r="D1899"/>
      <c r="Q1899"/>
      <c r="AQ1899" s="20"/>
    </row>
    <row r="1900" spans="2:43">
      <c r="B1900"/>
      <c r="C1900"/>
      <c r="D1900"/>
      <c r="Q1900"/>
      <c r="AQ1900" s="20"/>
    </row>
    <row r="1901" spans="2:43">
      <c r="B1901"/>
      <c r="C1901"/>
      <c r="D1901"/>
      <c r="Q1901"/>
      <c r="AQ1901" s="20"/>
    </row>
    <row r="1902" spans="2:43">
      <c r="B1902"/>
      <c r="C1902"/>
      <c r="D1902"/>
      <c r="Q1902"/>
      <c r="AQ1902" s="20"/>
    </row>
    <row r="1903" spans="2:43">
      <c r="B1903"/>
      <c r="C1903"/>
      <c r="D1903"/>
      <c r="Q1903"/>
      <c r="AQ1903" s="20"/>
    </row>
    <row r="1904" spans="2:43">
      <c r="B1904"/>
      <c r="C1904"/>
      <c r="D1904"/>
      <c r="Q1904"/>
      <c r="AQ1904" s="20"/>
    </row>
    <row r="1905" spans="2:43">
      <c r="B1905"/>
      <c r="C1905"/>
      <c r="D1905"/>
      <c r="Q1905"/>
      <c r="AQ1905" s="20"/>
    </row>
    <row r="1906" spans="2:43">
      <c r="B1906"/>
      <c r="C1906"/>
      <c r="D1906"/>
      <c r="Q1906"/>
      <c r="AQ1906" s="20"/>
    </row>
    <row r="1907" spans="2:43">
      <c r="B1907"/>
      <c r="C1907"/>
      <c r="D1907"/>
      <c r="Q1907"/>
      <c r="AQ1907" s="20"/>
    </row>
    <row r="1908" spans="2:43">
      <c r="B1908"/>
      <c r="C1908"/>
      <c r="D1908"/>
      <c r="Q1908"/>
      <c r="AQ1908" s="20"/>
    </row>
    <row r="1909" spans="2:43">
      <c r="B1909"/>
      <c r="C1909"/>
      <c r="D1909"/>
      <c r="Q1909"/>
      <c r="AQ1909" s="20"/>
    </row>
    <row r="1910" spans="2:43">
      <c r="B1910"/>
      <c r="C1910"/>
      <c r="D1910"/>
      <c r="Q1910"/>
      <c r="AQ1910" s="20"/>
    </row>
    <row r="1911" spans="2:43">
      <c r="B1911"/>
      <c r="C1911"/>
      <c r="D1911"/>
      <c r="Q1911"/>
      <c r="AQ1911" s="20"/>
    </row>
    <row r="1912" spans="2:43">
      <c r="B1912"/>
      <c r="C1912"/>
      <c r="D1912"/>
      <c r="Q1912"/>
      <c r="AQ1912" s="20"/>
    </row>
    <row r="1913" spans="2:43">
      <c r="B1913"/>
      <c r="C1913"/>
      <c r="D1913"/>
      <c r="Q1913"/>
      <c r="AQ1913" s="20"/>
    </row>
    <row r="1914" spans="2:43">
      <c r="B1914"/>
      <c r="C1914"/>
      <c r="D1914"/>
      <c r="Q1914"/>
      <c r="AQ1914" s="20"/>
    </row>
    <row r="1915" spans="2:43">
      <c r="B1915"/>
      <c r="C1915"/>
      <c r="D1915"/>
      <c r="Q1915"/>
      <c r="AQ1915" s="20"/>
    </row>
    <row r="1916" spans="2:43">
      <c r="B1916"/>
      <c r="C1916"/>
      <c r="D1916"/>
      <c r="Q1916"/>
      <c r="AQ1916" s="20"/>
    </row>
    <row r="1917" spans="2:43">
      <c r="B1917"/>
      <c r="C1917"/>
      <c r="D1917"/>
      <c r="Q1917"/>
      <c r="AQ1917" s="20"/>
    </row>
    <row r="1918" spans="2:43">
      <c r="B1918"/>
      <c r="C1918"/>
      <c r="D1918"/>
      <c r="Q1918"/>
      <c r="AQ1918" s="20"/>
    </row>
    <row r="1919" spans="2:43">
      <c r="B1919"/>
      <c r="C1919"/>
      <c r="D1919"/>
      <c r="Q1919"/>
      <c r="AQ1919" s="20"/>
    </row>
    <row r="1920" spans="2:43">
      <c r="B1920"/>
      <c r="C1920"/>
      <c r="D1920"/>
      <c r="Q1920"/>
      <c r="AQ1920" s="20"/>
    </row>
    <row r="1921" spans="2:43">
      <c r="B1921"/>
      <c r="C1921"/>
      <c r="D1921"/>
      <c r="Q1921"/>
      <c r="AQ1921" s="20"/>
    </row>
    <row r="1922" spans="2:43">
      <c r="B1922"/>
      <c r="C1922"/>
      <c r="D1922"/>
      <c r="Q1922"/>
      <c r="AQ1922" s="20"/>
    </row>
    <row r="1923" spans="2:43">
      <c r="B1923"/>
      <c r="C1923"/>
      <c r="D1923"/>
      <c r="Q1923"/>
      <c r="AQ1923" s="20"/>
    </row>
    <row r="1924" spans="2:43">
      <c r="B1924"/>
      <c r="C1924"/>
      <c r="D1924"/>
      <c r="Q1924"/>
      <c r="AQ1924" s="20"/>
    </row>
    <row r="1925" spans="2:43">
      <c r="B1925"/>
      <c r="C1925"/>
      <c r="D1925"/>
      <c r="Q1925"/>
      <c r="AQ1925" s="20"/>
    </row>
    <row r="1926" spans="2:43">
      <c r="B1926"/>
      <c r="C1926"/>
      <c r="D1926"/>
      <c r="Q1926"/>
      <c r="AQ1926" s="20"/>
    </row>
    <row r="1927" spans="2:43">
      <c r="B1927"/>
      <c r="C1927"/>
      <c r="D1927"/>
      <c r="Q1927"/>
      <c r="AQ1927" s="20"/>
    </row>
    <row r="1928" spans="2:43">
      <c r="B1928"/>
      <c r="C1928"/>
      <c r="D1928"/>
      <c r="Q1928"/>
      <c r="AQ1928" s="20"/>
    </row>
    <row r="1929" spans="2:43">
      <c r="B1929"/>
      <c r="C1929"/>
      <c r="D1929"/>
      <c r="Q1929"/>
      <c r="AQ1929" s="20"/>
    </row>
    <row r="1930" spans="2:43">
      <c r="B1930"/>
      <c r="C1930"/>
      <c r="D1930"/>
      <c r="Q1930"/>
      <c r="AQ1930" s="20"/>
    </row>
    <row r="1931" spans="2:43">
      <c r="B1931"/>
      <c r="C1931"/>
      <c r="D1931"/>
      <c r="Q1931"/>
      <c r="AQ1931" s="20"/>
    </row>
    <row r="1932" spans="2:43">
      <c r="B1932"/>
      <c r="C1932"/>
      <c r="D1932"/>
      <c r="Q1932"/>
      <c r="AQ1932" s="20"/>
    </row>
    <row r="1933" spans="2:43">
      <c r="B1933"/>
      <c r="C1933"/>
      <c r="D1933"/>
      <c r="Q1933"/>
      <c r="AQ1933" s="20"/>
    </row>
    <row r="1934" spans="2:43">
      <c r="B1934"/>
      <c r="C1934"/>
      <c r="D1934"/>
      <c r="Q1934"/>
      <c r="AQ1934" s="20"/>
    </row>
    <row r="1935" spans="2:43">
      <c r="B1935"/>
      <c r="C1935"/>
      <c r="D1935"/>
      <c r="Q1935"/>
      <c r="AQ1935" s="20"/>
    </row>
    <row r="1936" spans="2:43">
      <c r="B1936"/>
      <c r="C1936"/>
      <c r="D1936"/>
      <c r="Q1936"/>
      <c r="AQ1936" s="20"/>
    </row>
    <row r="1937" spans="2:43">
      <c r="B1937"/>
      <c r="C1937"/>
      <c r="D1937"/>
      <c r="Q1937"/>
      <c r="AQ1937" s="20"/>
    </row>
    <row r="1938" spans="2:43">
      <c r="B1938"/>
      <c r="C1938"/>
      <c r="D1938"/>
      <c r="Q1938"/>
      <c r="AQ1938" s="20"/>
    </row>
    <row r="1939" spans="2:43">
      <c r="B1939"/>
      <c r="C1939"/>
      <c r="D1939"/>
      <c r="Q1939"/>
      <c r="AQ1939" s="20"/>
    </row>
    <row r="1940" spans="2:43">
      <c r="B1940"/>
      <c r="C1940"/>
      <c r="D1940"/>
      <c r="Q1940"/>
      <c r="AQ1940" s="20"/>
    </row>
    <row r="1941" spans="2:43">
      <c r="B1941"/>
      <c r="C1941"/>
      <c r="D1941"/>
      <c r="Q1941"/>
      <c r="AQ1941" s="20"/>
    </row>
    <row r="1942" spans="2:43">
      <c r="B1942"/>
      <c r="C1942"/>
      <c r="D1942"/>
      <c r="Q1942"/>
      <c r="AQ1942" s="20"/>
    </row>
    <row r="1943" spans="2:43">
      <c r="B1943"/>
      <c r="C1943"/>
      <c r="D1943"/>
      <c r="Q1943"/>
      <c r="AQ1943" s="20"/>
    </row>
    <row r="1944" spans="2:43">
      <c r="B1944"/>
      <c r="C1944"/>
      <c r="D1944"/>
      <c r="Q1944"/>
      <c r="AQ1944" s="20"/>
    </row>
    <row r="1945" spans="2:43">
      <c r="B1945"/>
      <c r="C1945"/>
      <c r="D1945"/>
      <c r="Q1945"/>
      <c r="AQ1945" s="20"/>
    </row>
    <row r="1946" spans="2:43">
      <c r="B1946"/>
      <c r="C1946"/>
      <c r="D1946"/>
      <c r="Q1946"/>
      <c r="AQ1946" s="20"/>
    </row>
    <row r="1947" spans="2:43">
      <c r="B1947"/>
      <c r="C1947"/>
      <c r="D1947"/>
      <c r="Q1947"/>
      <c r="AQ1947" s="20"/>
    </row>
    <row r="1948" spans="2:43">
      <c r="B1948"/>
      <c r="C1948"/>
      <c r="D1948"/>
      <c r="Q1948"/>
      <c r="AQ1948" s="20"/>
    </row>
    <row r="1949" spans="2:43">
      <c r="B1949"/>
      <c r="C1949"/>
      <c r="D1949"/>
      <c r="Q1949"/>
      <c r="AQ1949" s="20"/>
    </row>
    <row r="1950" spans="2:43">
      <c r="B1950"/>
      <c r="C1950"/>
      <c r="D1950"/>
      <c r="Q1950"/>
      <c r="AQ1950" s="20"/>
    </row>
    <row r="1951" spans="2:43">
      <c r="B1951"/>
      <c r="C1951"/>
      <c r="D1951"/>
      <c r="Q1951"/>
      <c r="AQ1951" s="20"/>
    </row>
    <row r="1952" spans="2:43">
      <c r="B1952"/>
      <c r="C1952"/>
      <c r="D1952"/>
      <c r="Q1952"/>
      <c r="AQ1952" s="20"/>
    </row>
    <row r="1953" spans="2:43">
      <c r="B1953"/>
      <c r="C1953"/>
      <c r="D1953"/>
      <c r="Q1953"/>
      <c r="AQ1953" s="20"/>
    </row>
    <row r="1954" spans="2:43">
      <c r="B1954"/>
      <c r="C1954"/>
      <c r="D1954"/>
      <c r="Q1954"/>
      <c r="AQ1954" s="20"/>
    </row>
    <row r="1955" spans="2:43">
      <c r="B1955"/>
      <c r="C1955"/>
      <c r="D1955"/>
      <c r="Q1955"/>
      <c r="AQ1955" s="20"/>
    </row>
    <row r="1956" spans="2:43">
      <c r="B1956"/>
      <c r="C1956"/>
      <c r="D1956"/>
      <c r="Q1956"/>
      <c r="AQ1956" s="20"/>
    </row>
    <row r="1957" spans="2:43">
      <c r="B1957"/>
      <c r="C1957"/>
      <c r="D1957"/>
      <c r="Q1957"/>
      <c r="AQ1957" s="20"/>
    </row>
    <row r="1958" spans="2:43">
      <c r="B1958"/>
      <c r="C1958"/>
      <c r="D1958"/>
      <c r="Q1958"/>
      <c r="AQ1958" s="20"/>
    </row>
    <row r="1959" spans="2:43">
      <c r="B1959"/>
      <c r="C1959"/>
      <c r="D1959"/>
      <c r="Q1959"/>
      <c r="AQ1959" s="20"/>
    </row>
    <row r="1960" spans="2:43">
      <c r="B1960"/>
      <c r="C1960"/>
      <c r="D1960"/>
      <c r="Q1960"/>
      <c r="AQ1960" s="20"/>
    </row>
    <row r="1961" spans="2:43">
      <c r="B1961"/>
      <c r="C1961"/>
      <c r="D1961"/>
      <c r="Q1961"/>
      <c r="AQ1961" s="20"/>
    </row>
    <row r="1962" spans="2:43">
      <c r="B1962"/>
      <c r="C1962"/>
      <c r="D1962"/>
      <c r="Q1962"/>
      <c r="AQ1962" s="20"/>
    </row>
    <row r="1963" spans="2:43">
      <c r="B1963"/>
      <c r="C1963"/>
      <c r="D1963"/>
      <c r="Q1963"/>
      <c r="AQ1963" s="20"/>
    </row>
    <row r="1964" spans="2:43">
      <c r="B1964"/>
      <c r="C1964"/>
      <c r="D1964"/>
      <c r="Q1964"/>
      <c r="AQ1964" s="20"/>
    </row>
    <row r="1965" spans="2:43">
      <c r="B1965"/>
      <c r="C1965"/>
      <c r="D1965"/>
      <c r="Q1965"/>
      <c r="AQ1965" s="20"/>
    </row>
    <row r="1966" spans="2:43">
      <c r="B1966"/>
      <c r="C1966"/>
      <c r="D1966"/>
      <c r="Q1966"/>
      <c r="AQ1966" s="20"/>
    </row>
    <row r="1967" spans="2:43">
      <c r="B1967"/>
      <c r="C1967"/>
      <c r="D1967"/>
      <c r="Q1967"/>
      <c r="AQ1967" s="20"/>
    </row>
    <row r="1968" spans="2:43">
      <c r="B1968"/>
      <c r="C1968"/>
      <c r="D1968"/>
      <c r="Q1968"/>
      <c r="AQ1968" s="20"/>
    </row>
    <row r="1969" spans="2:43">
      <c r="B1969"/>
      <c r="C1969"/>
      <c r="D1969"/>
      <c r="Q1969"/>
      <c r="AQ1969" s="20"/>
    </row>
    <row r="1970" spans="2:43">
      <c r="B1970"/>
      <c r="C1970"/>
      <c r="D1970"/>
      <c r="Q1970"/>
      <c r="AQ1970" s="20"/>
    </row>
    <row r="1971" spans="2:43">
      <c r="B1971"/>
      <c r="C1971"/>
      <c r="D1971"/>
      <c r="Q1971"/>
      <c r="AQ1971" s="20"/>
    </row>
    <row r="1972" spans="2:43">
      <c r="B1972"/>
      <c r="C1972"/>
      <c r="D1972"/>
      <c r="Q1972"/>
      <c r="AQ1972" s="20"/>
    </row>
    <row r="1973" spans="2:43">
      <c r="B1973"/>
      <c r="C1973"/>
      <c r="D1973"/>
      <c r="Q1973"/>
      <c r="AQ1973" s="20"/>
    </row>
    <row r="1974" spans="2:43">
      <c r="B1974"/>
      <c r="C1974"/>
      <c r="D1974"/>
      <c r="Q1974"/>
      <c r="AQ1974" s="20"/>
    </row>
    <row r="1975" spans="2:43">
      <c r="B1975"/>
      <c r="C1975"/>
      <c r="D1975"/>
      <c r="Q1975"/>
      <c r="AQ1975" s="20"/>
    </row>
    <row r="1976" spans="2:43">
      <c r="B1976"/>
      <c r="C1976"/>
      <c r="D1976"/>
      <c r="Q1976"/>
      <c r="AQ1976" s="20"/>
    </row>
    <row r="1977" spans="2:43">
      <c r="B1977"/>
      <c r="C1977"/>
      <c r="D1977"/>
      <c r="Q1977"/>
      <c r="AQ1977" s="20"/>
    </row>
    <row r="1978" spans="2:43">
      <c r="B1978"/>
      <c r="C1978"/>
      <c r="D1978"/>
      <c r="Q1978"/>
      <c r="AQ1978" s="20"/>
    </row>
    <row r="1979" spans="2:43">
      <c r="B1979"/>
      <c r="C1979"/>
      <c r="D1979"/>
      <c r="Q1979"/>
      <c r="AQ1979" s="20"/>
    </row>
    <row r="1980" spans="2:43">
      <c r="B1980"/>
      <c r="C1980"/>
      <c r="D1980"/>
      <c r="Q1980"/>
      <c r="AQ1980" s="20"/>
    </row>
    <row r="1981" spans="2:43">
      <c r="B1981"/>
      <c r="C1981"/>
      <c r="D1981"/>
      <c r="Q1981"/>
      <c r="AQ1981" s="20"/>
    </row>
    <row r="1982" spans="2:43">
      <c r="B1982"/>
      <c r="C1982"/>
      <c r="D1982"/>
      <c r="Q1982"/>
      <c r="AQ1982" s="20"/>
    </row>
    <row r="1983" spans="2:43">
      <c r="B1983"/>
      <c r="C1983"/>
      <c r="D1983"/>
      <c r="Q1983"/>
      <c r="AQ1983" s="20"/>
    </row>
    <row r="1984" spans="2:43">
      <c r="B1984"/>
      <c r="C1984"/>
      <c r="D1984"/>
      <c r="Q1984"/>
      <c r="AQ1984" s="20"/>
    </row>
    <row r="1985" spans="2:43">
      <c r="B1985"/>
      <c r="C1985"/>
      <c r="D1985"/>
      <c r="Q1985"/>
      <c r="AQ1985" s="20"/>
    </row>
    <row r="1986" spans="2:43">
      <c r="B1986"/>
      <c r="C1986"/>
      <c r="D1986"/>
      <c r="Q1986"/>
      <c r="AQ1986" s="20"/>
    </row>
    <row r="1987" spans="2:43">
      <c r="B1987"/>
      <c r="C1987"/>
      <c r="D1987"/>
      <c r="Q1987"/>
      <c r="AQ1987" s="20"/>
    </row>
    <row r="1988" spans="2:43">
      <c r="B1988"/>
      <c r="C1988"/>
      <c r="D1988"/>
      <c r="Q1988"/>
      <c r="AQ1988" s="20"/>
    </row>
    <row r="1989" spans="2:43">
      <c r="B1989"/>
      <c r="C1989"/>
      <c r="D1989"/>
      <c r="Q1989"/>
      <c r="AQ1989" s="20"/>
    </row>
    <row r="1990" spans="2:43">
      <c r="B1990"/>
      <c r="C1990"/>
      <c r="D1990"/>
      <c r="Q1990"/>
      <c r="AQ1990" s="20"/>
    </row>
    <row r="1991" spans="2:43">
      <c r="B1991"/>
      <c r="C1991"/>
      <c r="D1991"/>
      <c r="Q1991"/>
      <c r="AQ1991" s="20"/>
    </row>
    <row r="1992" spans="2:43">
      <c r="B1992"/>
      <c r="C1992"/>
      <c r="D1992"/>
      <c r="Q1992"/>
      <c r="AQ1992" s="20"/>
    </row>
    <row r="1993" spans="2:43">
      <c r="B1993"/>
      <c r="C1993"/>
      <c r="D1993"/>
      <c r="Q1993"/>
      <c r="AQ1993" s="20"/>
    </row>
    <row r="1994" spans="2:43">
      <c r="B1994"/>
      <c r="C1994"/>
      <c r="D1994"/>
      <c r="Q1994"/>
      <c r="AQ1994" s="20"/>
    </row>
    <row r="1995" spans="2:43">
      <c r="B1995"/>
      <c r="C1995"/>
      <c r="D1995"/>
      <c r="Q1995"/>
      <c r="AQ1995" s="20"/>
    </row>
    <row r="1996" spans="2:43">
      <c r="B1996"/>
      <c r="C1996"/>
      <c r="D1996"/>
      <c r="Q1996"/>
      <c r="AQ1996" s="20"/>
    </row>
    <row r="1997" spans="2:43">
      <c r="B1997"/>
      <c r="C1997"/>
      <c r="D1997"/>
      <c r="Q1997"/>
      <c r="AQ1997" s="20"/>
    </row>
    <row r="1998" spans="2:43">
      <c r="B1998"/>
      <c r="C1998"/>
      <c r="D1998"/>
      <c r="Q1998"/>
      <c r="AQ1998" s="20"/>
    </row>
    <row r="1999" spans="2:43">
      <c r="B1999"/>
      <c r="C1999"/>
      <c r="D1999"/>
      <c r="Q1999"/>
      <c r="AQ1999" s="20"/>
    </row>
    <row r="2000" spans="2:43">
      <c r="B2000"/>
      <c r="C2000"/>
      <c r="D2000"/>
      <c r="Q2000"/>
      <c r="AQ2000" s="20"/>
    </row>
    <row r="2001" spans="2:43">
      <c r="B2001"/>
      <c r="C2001"/>
      <c r="D2001"/>
      <c r="Q2001"/>
      <c r="AQ2001" s="20"/>
    </row>
    <row r="2002" spans="2:43">
      <c r="B2002"/>
      <c r="C2002"/>
      <c r="D2002"/>
      <c r="Q2002"/>
      <c r="AQ2002" s="20"/>
    </row>
    <row r="2003" spans="2:43">
      <c r="B2003"/>
      <c r="C2003"/>
      <c r="D2003"/>
      <c r="Q2003"/>
      <c r="AQ2003" s="20"/>
    </row>
    <row r="2004" spans="2:43">
      <c r="B2004"/>
      <c r="C2004"/>
      <c r="D2004"/>
      <c r="Q2004"/>
      <c r="AQ2004" s="20"/>
    </row>
    <row r="2005" spans="2:43">
      <c r="B2005"/>
      <c r="C2005"/>
      <c r="D2005"/>
      <c r="Q2005"/>
      <c r="AQ2005" s="20"/>
    </row>
    <row r="2006" spans="2:43">
      <c r="B2006"/>
      <c r="C2006"/>
      <c r="D2006"/>
      <c r="Q2006"/>
      <c r="AQ2006" s="20"/>
    </row>
    <row r="2007" spans="2:43">
      <c r="B2007"/>
      <c r="C2007"/>
      <c r="D2007"/>
      <c r="Q2007"/>
      <c r="AQ2007" s="20"/>
    </row>
    <row r="2008" spans="2:43">
      <c r="B2008"/>
      <c r="C2008"/>
      <c r="D2008"/>
      <c r="Q2008"/>
      <c r="AQ2008" s="20"/>
    </row>
    <row r="2009" spans="2:43">
      <c r="B2009"/>
      <c r="C2009"/>
      <c r="D2009"/>
      <c r="Q2009"/>
      <c r="AQ2009" s="20"/>
    </row>
    <row r="2010" spans="2:43">
      <c r="B2010"/>
      <c r="C2010"/>
      <c r="D2010"/>
      <c r="Q2010"/>
      <c r="AQ2010" s="20"/>
    </row>
    <row r="2011" spans="2:43">
      <c r="B2011"/>
      <c r="C2011"/>
      <c r="D2011"/>
      <c r="Q2011"/>
      <c r="AQ2011" s="20"/>
    </row>
    <row r="2012" spans="2:43">
      <c r="B2012"/>
      <c r="C2012"/>
      <c r="D2012"/>
      <c r="Q2012"/>
      <c r="AQ2012" s="20"/>
    </row>
    <row r="2013" spans="2:43">
      <c r="B2013"/>
      <c r="C2013"/>
      <c r="D2013"/>
      <c r="Q2013"/>
      <c r="AQ2013" s="20"/>
    </row>
    <row r="2014" spans="2:43">
      <c r="B2014"/>
      <c r="C2014"/>
      <c r="D2014"/>
      <c r="Q2014"/>
      <c r="AQ2014" s="20"/>
    </row>
    <row r="2015" spans="2:43">
      <c r="B2015"/>
      <c r="C2015"/>
      <c r="D2015"/>
      <c r="Q2015"/>
      <c r="AQ2015" s="20"/>
    </row>
    <row r="2016" spans="2:43">
      <c r="B2016"/>
      <c r="C2016"/>
      <c r="D2016"/>
      <c r="Q2016"/>
      <c r="AQ2016" s="20"/>
    </row>
    <row r="2017" spans="2:43">
      <c r="B2017"/>
      <c r="C2017"/>
      <c r="D2017"/>
      <c r="Q2017"/>
      <c r="AQ2017" s="20"/>
    </row>
    <row r="2018" spans="2:43">
      <c r="B2018"/>
      <c r="C2018"/>
      <c r="D2018"/>
      <c r="Q2018"/>
      <c r="AQ2018" s="20"/>
    </row>
    <row r="2019" spans="2:43">
      <c r="B2019"/>
      <c r="C2019"/>
      <c r="D2019"/>
      <c r="Q2019"/>
      <c r="AQ2019" s="20"/>
    </row>
    <row r="2020" spans="2:43">
      <c r="B2020"/>
      <c r="C2020"/>
      <c r="D2020"/>
      <c r="Q2020"/>
      <c r="AQ2020" s="20"/>
    </row>
    <row r="2021" spans="2:43">
      <c r="B2021"/>
      <c r="C2021"/>
      <c r="D2021"/>
      <c r="Q2021"/>
      <c r="AQ2021" s="20"/>
    </row>
    <row r="2022" spans="2:43">
      <c r="B2022"/>
      <c r="C2022"/>
      <c r="D2022"/>
      <c r="Q2022"/>
      <c r="AQ2022" s="20"/>
    </row>
    <row r="2023" spans="2:43">
      <c r="B2023"/>
      <c r="C2023"/>
      <c r="D2023"/>
      <c r="Q2023"/>
      <c r="AQ2023" s="20"/>
    </row>
    <row r="2024" spans="2:43">
      <c r="B2024"/>
      <c r="C2024"/>
      <c r="D2024"/>
      <c r="Q2024"/>
      <c r="AQ2024" s="20"/>
    </row>
    <row r="2025" spans="2:43">
      <c r="B2025"/>
      <c r="C2025"/>
      <c r="D2025"/>
      <c r="Q2025"/>
      <c r="AQ2025" s="20"/>
    </row>
    <row r="2026" spans="2:43">
      <c r="B2026"/>
      <c r="C2026"/>
      <c r="D2026"/>
      <c r="Q2026"/>
      <c r="AQ2026" s="20"/>
    </row>
    <row r="2027" spans="2:43">
      <c r="B2027"/>
      <c r="C2027"/>
      <c r="D2027"/>
      <c r="Q2027"/>
      <c r="AQ2027" s="20"/>
    </row>
    <row r="2028" spans="2:43">
      <c r="B2028"/>
      <c r="C2028"/>
      <c r="D2028"/>
      <c r="Q2028"/>
      <c r="AQ2028" s="20"/>
    </row>
    <row r="2029" spans="2:43">
      <c r="B2029"/>
      <c r="C2029"/>
      <c r="D2029"/>
      <c r="Q2029"/>
      <c r="AQ2029" s="20"/>
    </row>
    <row r="2030" spans="2:43">
      <c r="B2030"/>
      <c r="C2030"/>
      <c r="D2030"/>
      <c r="Q2030"/>
      <c r="AQ2030" s="20"/>
    </row>
    <row r="2031" spans="2:43">
      <c r="B2031"/>
      <c r="C2031"/>
      <c r="D2031"/>
      <c r="Q2031"/>
      <c r="AQ2031" s="20"/>
    </row>
    <row r="2032" spans="2:43">
      <c r="B2032"/>
      <c r="C2032"/>
      <c r="D2032"/>
      <c r="Q2032"/>
      <c r="AQ2032" s="20"/>
    </row>
    <row r="2033" spans="2:43">
      <c r="B2033"/>
      <c r="C2033"/>
      <c r="D2033"/>
      <c r="Q2033"/>
      <c r="AQ2033" s="20"/>
    </row>
    <row r="2034" spans="2:43">
      <c r="B2034"/>
      <c r="C2034"/>
      <c r="D2034"/>
      <c r="Q2034"/>
      <c r="AQ2034" s="20"/>
    </row>
    <row r="2035" spans="2:43">
      <c r="B2035"/>
      <c r="C2035"/>
      <c r="D2035"/>
      <c r="Q2035"/>
      <c r="AQ2035" s="20"/>
    </row>
    <row r="2036" spans="2:43">
      <c r="B2036"/>
      <c r="C2036"/>
      <c r="D2036"/>
      <c r="Q2036"/>
      <c r="AQ2036" s="20"/>
    </row>
    <row r="2037" spans="2:43">
      <c r="B2037"/>
      <c r="C2037"/>
      <c r="D2037"/>
      <c r="Q2037"/>
      <c r="AQ2037" s="20"/>
    </row>
    <row r="2038" spans="2:43">
      <c r="B2038"/>
      <c r="C2038"/>
      <c r="D2038"/>
      <c r="Q2038"/>
      <c r="AQ2038" s="20"/>
    </row>
    <row r="2039" spans="2:43">
      <c r="B2039"/>
      <c r="C2039"/>
      <c r="D2039"/>
      <c r="Q2039"/>
      <c r="AQ2039" s="20"/>
    </row>
    <row r="2040" spans="2:43">
      <c r="B2040"/>
      <c r="C2040"/>
      <c r="D2040"/>
      <c r="Q2040"/>
      <c r="AQ2040" s="20"/>
    </row>
    <row r="2041" spans="2:43">
      <c r="B2041"/>
      <c r="C2041"/>
      <c r="D2041"/>
      <c r="Q2041"/>
      <c r="AQ2041" s="20"/>
    </row>
    <row r="2042" spans="2:43">
      <c r="B2042"/>
      <c r="C2042"/>
      <c r="D2042"/>
      <c r="Q2042"/>
      <c r="AQ2042" s="20"/>
    </row>
    <row r="2043" spans="2:43">
      <c r="B2043"/>
      <c r="C2043"/>
      <c r="D2043"/>
      <c r="Q2043"/>
      <c r="AQ2043" s="20"/>
    </row>
    <row r="2044" spans="2:43">
      <c r="B2044"/>
      <c r="C2044"/>
      <c r="D2044"/>
      <c r="Q2044"/>
      <c r="AQ2044" s="20"/>
    </row>
    <row r="2045" spans="2:43">
      <c r="B2045"/>
      <c r="C2045"/>
      <c r="D2045"/>
      <c r="Q2045"/>
      <c r="AQ2045" s="20"/>
    </row>
    <row r="2046" spans="2:43">
      <c r="B2046"/>
      <c r="C2046"/>
      <c r="D2046"/>
      <c r="Q2046"/>
      <c r="AQ2046" s="20"/>
    </row>
    <row r="2047" spans="2:43">
      <c r="B2047"/>
      <c r="C2047"/>
      <c r="D2047"/>
      <c r="Q2047"/>
      <c r="AQ2047" s="20"/>
    </row>
    <row r="2048" spans="2:43">
      <c r="B2048"/>
      <c r="C2048"/>
      <c r="D2048"/>
      <c r="Q2048"/>
      <c r="AQ2048" s="20"/>
    </row>
    <row r="2049" spans="2:43">
      <c r="B2049"/>
      <c r="C2049"/>
      <c r="D2049"/>
      <c r="Q2049"/>
      <c r="AQ2049" s="20"/>
    </row>
    <row r="2050" spans="2:43">
      <c r="B2050"/>
      <c r="C2050"/>
      <c r="D2050"/>
      <c r="Q2050"/>
      <c r="AQ2050" s="20"/>
    </row>
    <row r="2051" spans="2:43">
      <c r="B2051"/>
      <c r="C2051"/>
      <c r="D2051"/>
      <c r="Q2051"/>
      <c r="AQ2051" s="20"/>
    </row>
    <row r="2052" spans="2:43">
      <c r="B2052"/>
      <c r="C2052"/>
      <c r="D2052"/>
      <c r="Q2052"/>
      <c r="AQ2052" s="20"/>
    </row>
    <row r="2053" spans="2:43">
      <c r="B2053"/>
      <c r="C2053"/>
      <c r="D2053"/>
      <c r="Q2053"/>
      <c r="AQ2053" s="20"/>
    </row>
    <row r="2054" spans="2:43">
      <c r="B2054"/>
      <c r="C2054"/>
      <c r="D2054"/>
      <c r="Q2054"/>
      <c r="AQ2054" s="20"/>
    </row>
    <row r="2055" spans="2:43">
      <c r="B2055"/>
      <c r="C2055"/>
      <c r="D2055"/>
      <c r="Q2055"/>
      <c r="AQ2055" s="20"/>
    </row>
    <row r="2056" spans="2:43">
      <c r="B2056"/>
      <c r="C2056"/>
      <c r="D2056"/>
      <c r="Q2056"/>
      <c r="AQ2056" s="20"/>
    </row>
    <row r="2057" spans="2:43">
      <c r="B2057"/>
      <c r="C2057"/>
      <c r="D2057"/>
      <c r="Q2057"/>
      <c r="AQ2057" s="20"/>
    </row>
    <row r="2058" spans="2:43">
      <c r="B2058"/>
      <c r="C2058"/>
      <c r="D2058"/>
      <c r="Q2058"/>
      <c r="AQ2058" s="20"/>
    </row>
    <row r="2059" spans="2:43">
      <c r="B2059"/>
      <c r="C2059"/>
      <c r="D2059"/>
      <c r="Q2059"/>
      <c r="AQ2059" s="20"/>
    </row>
    <row r="2060" spans="2:43">
      <c r="B2060"/>
      <c r="C2060"/>
      <c r="D2060"/>
      <c r="Q2060"/>
      <c r="AQ2060" s="20"/>
    </row>
    <row r="2061" spans="2:43">
      <c r="B2061"/>
      <c r="C2061"/>
      <c r="D2061"/>
      <c r="Q2061"/>
      <c r="AQ2061" s="20"/>
    </row>
    <row r="2062" spans="2:43">
      <c r="B2062"/>
      <c r="C2062"/>
      <c r="D2062"/>
      <c r="Q2062"/>
      <c r="AQ2062" s="20"/>
    </row>
    <row r="2063" spans="2:43">
      <c r="B2063"/>
      <c r="C2063"/>
      <c r="D2063"/>
      <c r="Q2063"/>
      <c r="AQ2063" s="20"/>
    </row>
    <row r="2064" spans="2:43">
      <c r="B2064"/>
      <c r="C2064"/>
      <c r="D2064"/>
      <c r="Q2064"/>
      <c r="AQ2064" s="20"/>
    </row>
    <row r="2065" spans="2:43">
      <c r="B2065"/>
      <c r="C2065"/>
      <c r="D2065"/>
      <c r="Q2065"/>
      <c r="AQ2065" s="20"/>
    </row>
    <row r="2066" spans="2:43">
      <c r="B2066"/>
      <c r="C2066"/>
      <c r="D2066"/>
      <c r="Q2066"/>
      <c r="AQ2066" s="20"/>
    </row>
    <row r="2067" spans="2:43">
      <c r="B2067"/>
      <c r="C2067"/>
      <c r="D2067"/>
      <c r="Q2067"/>
      <c r="AQ2067" s="20"/>
    </row>
    <row r="2068" spans="2:43">
      <c r="B2068"/>
      <c r="C2068"/>
      <c r="D2068"/>
      <c r="Q2068"/>
      <c r="AQ2068" s="20"/>
    </row>
    <row r="2069" spans="2:43">
      <c r="B2069"/>
      <c r="C2069"/>
      <c r="D2069"/>
      <c r="Q2069"/>
      <c r="AQ2069" s="20"/>
    </row>
    <row r="2070" spans="2:43">
      <c r="B2070"/>
      <c r="C2070"/>
      <c r="D2070"/>
      <c r="Q2070"/>
      <c r="AQ2070" s="20"/>
    </row>
    <row r="2071" spans="2:43">
      <c r="B2071"/>
      <c r="C2071"/>
      <c r="D2071"/>
      <c r="Q2071"/>
      <c r="AQ2071" s="20"/>
    </row>
    <row r="2072" spans="2:43">
      <c r="B2072"/>
      <c r="C2072"/>
      <c r="D2072"/>
      <c r="Q2072"/>
      <c r="AQ2072" s="20"/>
    </row>
    <row r="2073" spans="2:43">
      <c r="B2073"/>
      <c r="C2073"/>
      <c r="D2073"/>
      <c r="Q2073"/>
      <c r="AQ2073" s="20"/>
    </row>
    <row r="2074" spans="2:43">
      <c r="B2074"/>
      <c r="C2074"/>
      <c r="D2074"/>
      <c r="Q2074"/>
      <c r="AQ2074" s="20"/>
    </row>
    <row r="2075" spans="2:43">
      <c r="B2075"/>
      <c r="C2075"/>
      <c r="D2075"/>
      <c r="Q2075"/>
      <c r="AQ2075" s="20"/>
    </row>
    <row r="2076" spans="2:43">
      <c r="B2076"/>
      <c r="C2076"/>
      <c r="D2076"/>
      <c r="Q2076"/>
      <c r="AQ2076" s="20"/>
    </row>
    <row r="2077" spans="2:43">
      <c r="B2077"/>
      <c r="C2077"/>
      <c r="D2077"/>
      <c r="Q2077"/>
      <c r="AQ2077" s="20"/>
    </row>
    <row r="2078" spans="2:43">
      <c r="B2078"/>
      <c r="C2078"/>
      <c r="D2078"/>
      <c r="Q2078"/>
      <c r="AQ2078" s="20"/>
    </row>
    <row r="2079" spans="2:43">
      <c r="B2079"/>
      <c r="C2079"/>
      <c r="D2079"/>
      <c r="Q2079"/>
      <c r="AQ2079" s="20"/>
    </row>
    <row r="2080" spans="2:43">
      <c r="B2080"/>
      <c r="C2080"/>
      <c r="D2080"/>
      <c r="Q2080"/>
      <c r="AQ2080" s="20"/>
    </row>
    <row r="2081" spans="2:43">
      <c r="B2081"/>
      <c r="C2081"/>
      <c r="D2081"/>
      <c r="Q2081"/>
      <c r="AQ2081" s="20"/>
    </row>
    <row r="2082" spans="2:43">
      <c r="B2082"/>
      <c r="C2082"/>
      <c r="D2082"/>
      <c r="Q2082"/>
      <c r="AQ2082" s="20"/>
    </row>
    <row r="2083" spans="2:43">
      <c r="B2083"/>
      <c r="C2083"/>
      <c r="D2083"/>
      <c r="Q2083"/>
      <c r="AQ2083" s="20"/>
    </row>
    <row r="2084" spans="2:43">
      <c r="B2084"/>
      <c r="C2084"/>
      <c r="D2084"/>
      <c r="Q2084"/>
      <c r="AQ2084" s="20"/>
    </row>
    <row r="2085" spans="2:43">
      <c r="B2085"/>
      <c r="C2085"/>
      <c r="D2085"/>
      <c r="Q2085"/>
      <c r="AQ2085" s="20"/>
    </row>
    <row r="2086" spans="2:43">
      <c r="B2086"/>
      <c r="C2086"/>
      <c r="D2086"/>
      <c r="Q2086"/>
      <c r="AQ2086" s="20"/>
    </row>
    <row r="2087" spans="2:43">
      <c r="B2087"/>
      <c r="C2087"/>
      <c r="D2087"/>
      <c r="Q2087"/>
      <c r="AQ2087" s="20"/>
    </row>
    <row r="2088" spans="2:43">
      <c r="B2088"/>
      <c r="C2088"/>
      <c r="D2088"/>
      <c r="Q2088"/>
      <c r="AQ2088" s="20"/>
    </row>
    <row r="2089" spans="2:43">
      <c r="B2089"/>
      <c r="C2089"/>
      <c r="D2089"/>
      <c r="Q2089"/>
      <c r="AQ2089" s="20"/>
    </row>
    <row r="2090" spans="2:43">
      <c r="B2090"/>
      <c r="C2090"/>
      <c r="D2090"/>
      <c r="Q2090"/>
      <c r="AQ2090" s="20"/>
    </row>
    <row r="2091" spans="2:43">
      <c r="B2091"/>
      <c r="C2091"/>
      <c r="D2091"/>
      <c r="Q2091"/>
      <c r="AQ2091" s="20"/>
    </row>
    <row r="2092" spans="2:43">
      <c r="B2092"/>
      <c r="C2092"/>
      <c r="D2092"/>
      <c r="Q2092"/>
      <c r="AQ2092" s="20"/>
    </row>
    <row r="2093" spans="2:43">
      <c r="B2093"/>
      <c r="C2093"/>
      <c r="D2093"/>
      <c r="Q2093"/>
      <c r="AQ2093" s="20"/>
    </row>
    <row r="2094" spans="2:43">
      <c r="B2094"/>
      <c r="C2094"/>
      <c r="D2094"/>
      <c r="Q2094"/>
      <c r="AQ2094" s="20"/>
    </row>
    <row r="2095" spans="2:43">
      <c r="B2095"/>
      <c r="C2095"/>
      <c r="D2095"/>
      <c r="Q2095"/>
      <c r="AQ2095" s="20"/>
    </row>
    <row r="2096" spans="2:43">
      <c r="B2096"/>
      <c r="C2096"/>
      <c r="D2096"/>
      <c r="Q2096"/>
      <c r="AQ2096" s="20"/>
    </row>
    <row r="2097" spans="2:43">
      <c r="B2097"/>
      <c r="C2097"/>
      <c r="D2097"/>
      <c r="Q2097"/>
      <c r="AQ2097" s="20"/>
    </row>
    <row r="2098" spans="2:43">
      <c r="B2098"/>
      <c r="C2098"/>
      <c r="D2098"/>
      <c r="Q2098"/>
      <c r="AQ2098" s="20"/>
    </row>
    <row r="2099" spans="2:43">
      <c r="B2099"/>
      <c r="C2099"/>
      <c r="D2099"/>
      <c r="Q2099"/>
      <c r="AQ2099" s="20"/>
    </row>
    <row r="2100" spans="2:43">
      <c r="B2100"/>
      <c r="C2100"/>
      <c r="D2100"/>
      <c r="Q2100"/>
      <c r="AQ2100" s="20"/>
    </row>
    <row r="2101" spans="2:43">
      <c r="B2101"/>
      <c r="C2101"/>
      <c r="D2101"/>
      <c r="Q2101"/>
      <c r="AQ2101" s="20"/>
    </row>
    <row r="2102" spans="2:43">
      <c r="B2102"/>
      <c r="C2102"/>
      <c r="D2102"/>
      <c r="Q2102"/>
      <c r="AQ2102" s="20"/>
    </row>
    <row r="2103" spans="2:43">
      <c r="B2103"/>
      <c r="C2103"/>
      <c r="D2103"/>
      <c r="Q2103"/>
      <c r="AQ2103" s="20"/>
    </row>
    <row r="2104" spans="2:43">
      <c r="B2104"/>
      <c r="C2104"/>
      <c r="D2104"/>
      <c r="Q2104"/>
      <c r="AQ2104" s="20"/>
    </row>
    <row r="2105" spans="2:43">
      <c r="B2105"/>
      <c r="C2105"/>
      <c r="D2105"/>
      <c r="Q2105"/>
      <c r="AQ2105" s="20"/>
    </row>
    <row r="2106" spans="2:43">
      <c r="B2106"/>
      <c r="C2106"/>
      <c r="D2106"/>
      <c r="Q2106"/>
      <c r="AQ2106" s="20"/>
    </row>
    <row r="2107" spans="2:43">
      <c r="B2107"/>
      <c r="C2107"/>
      <c r="D2107"/>
      <c r="Q2107"/>
      <c r="AQ2107" s="20"/>
    </row>
    <row r="2108" spans="2:43">
      <c r="B2108"/>
      <c r="C2108"/>
      <c r="D2108"/>
      <c r="Q2108"/>
      <c r="AQ2108" s="20"/>
    </row>
    <row r="2109" spans="2:43">
      <c r="B2109"/>
      <c r="C2109"/>
      <c r="D2109"/>
      <c r="Q2109"/>
      <c r="AQ2109" s="20"/>
    </row>
    <row r="2110" spans="2:43">
      <c r="B2110"/>
      <c r="C2110"/>
      <c r="D2110"/>
      <c r="Q2110"/>
      <c r="AQ2110" s="20"/>
    </row>
    <row r="2111" spans="2:43">
      <c r="B2111"/>
      <c r="C2111"/>
      <c r="D2111"/>
      <c r="Q2111"/>
      <c r="AQ2111" s="20"/>
    </row>
    <row r="2112" spans="2:43">
      <c r="B2112"/>
      <c r="C2112"/>
      <c r="D2112"/>
      <c r="Q2112"/>
      <c r="AQ2112" s="20"/>
    </row>
    <row r="2113" spans="2:43">
      <c r="B2113"/>
      <c r="C2113"/>
      <c r="D2113"/>
      <c r="Q2113"/>
      <c r="AQ2113" s="20"/>
    </row>
    <row r="2114" spans="2:43">
      <c r="B2114"/>
      <c r="C2114"/>
      <c r="D2114"/>
      <c r="Q2114"/>
      <c r="AQ2114" s="20"/>
    </row>
    <row r="2115" spans="2:43">
      <c r="B2115"/>
      <c r="C2115"/>
      <c r="D2115"/>
      <c r="Q2115"/>
      <c r="AQ2115" s="20"/>
    </row>
    <row r="2116" spans="2:43">
      <c r="B2116"/>
      <c r="C2116"/>
      <c r="D2116"/>
      <c r="Q2116"/>
      <c r="AQ2116" s="20"/>
    </row>
    <row r="2117" spans="2:43">
      <c r="B2117"/>
      <c r="C2117"/>
      <c r="D2117"/>
      <c r="Q2117"/>
      <c r="AQ2117" s="20"/>
    </row>
    <row r="2118" spans="2:43">
      <c r="B2118"/>
      <c r="C2118"/>
      <c r="D2118"/>
      <c r="Q2118"/>
      <c r="AQ2118" s="20"/>
    </row>
    <row r="2119" spans="2:43">
      <c r="B2119"/>
      <c r="C2119"/>
      <c r="D2119"/>
      <c r="Q2119"/>
      <c r="AQ2119" s="20"/>
    </row>
    <row r="2120" spans="2:43">
      <c r="B2120"/>
      <c r="C2120"/>
      <c r="D2120"/>
      <c r="Q2120"/>
      <c r="AQ2120" s="20"/>
    </row>
    <row r="2121" spans="2:43">
      <c r="B2121"/>
      <c r="C2121"/>
      <c r="D2121"/>
      <c r="Q2121"/>
      <c r="AQ2121" s="20"/>
    </row>
    <row r="2122" spans="2:43">
      <c r="B2122"/>
      <c r="C2122"/>
      <c r="D2122"/>
      <c r="Q2122"/>
      <c r="AQ2122" s="20"/>
    </row>
    <row r="2123" spans="2:43">
      <c r="B2123"/>
      <c r="C2123"/>
      <c r="D2123"/>
      <c r="Q2123"/>
      <c r="AQ2123" s="20"/>
    </row>
    <row r="2124" spans="2:43">
      <c r="B2124"/>
      <c r="C2124"/>
      <c r="D2124"/>
      <c r="Q2124"/>
      <c r="AQ2124" s="20"/>
    </row>
    <row r="2125" spans="2:43">
      <c r="B2125"/>
      <c r="C2125"/>
      <c r="D2125"/>
      <c r="Q2125"/>
      <c r="AQ2125" s="20"/>
    </row>
    <row r="2126" spans="2:43">
      <c r="B2126"/>
      <c r="C2126"/>
      <c r="D2126"/>
      <c r="Q2126"/>
      <c r="AQ2126" s="20"/>
    </row>
    <row r="2127" spans="2:43">
      <c r="B2127"/>
      <c r="C2127"/>
      <c r="D2127"/>
      <c r="Q2127"/>
      <c r="AQ2127" s="20"/>
    </row>
    <row r="2128" spans="2:43">
      <c r="B2128"/>
      <c r="C2128"/>
      <c r="D2128"/>
      <c r="Q2128"/>
      <c r="AQ2128" s="20"/>
    </row>
    <row r="2129" spans="2:43">
      <c r="B2129"/>
      <c r="C2129"/>
      <c r="D2129"/>
      <c r="Q2129"/>
      <c r="AQ2129" s="20"/>
    </row>
    <row r="2130" spans="2:43">
      <c r="B2130"/>
      <c r="C2130"/>
      <c r="D2130"/>
      <c r="Q2130"/>
      <c r="AQ2130" s="20"/>
    </row>
    <row r="2131" spans="2:43">
      <c r="B2131"/>
      <c r="C2131"/>
      <c r="D2131"/>
      <c r="Q2131"/>
      <c r="AQ2131" s="20"/>
    </row>
    <row r="2132" spans="2:43">
      <c r="B2132"/>
      <c r="C2132"/>
      <c r="D2132"/>
      <c r="Q2132"/>
      <c r="AQ2132" s="20"/>
    </row>
    <row r="2133" spans="2:43">
      <c r="B2133"/>
      <c r="C2133"/>
      <c r="D2133"/>
      <c r="Q2133"/>
      <c r="AQ2133" s="20"/>
    </row>
    <row r="2134" spans="2:43">
      <c r="B2134"/>
      <c r="C2134"/>
      <c r="D2134"/>
      <c r="Q2134"/>
      <c r="AQ2134" s="20"/>
    </row>
    <row r="2135" spans="2:43">
      <c r="B2135"/>
      <c r="C2135"/>
      <c r="D2135"/>
      <c r="Q2135"/>
      <c r="AQ2135" s="20"/>
    </row>
    <row r="2136" spans="2:43">
      <c r="B2136"/>
      <c r="C2136"/>
      <c r="D2136"/>
      <c r="Q2136"/>
      <c r="AQ2136" s="20"/>
    </row>
    <row r="2137" spans="2:43">
      <c r="B2137"/>
      <c r="C2137"/>
      <c r="D2137"/>
      <c r="Q2137"/>
      <c r="AQ2137" s="20"/>
    </row>
    <row r="2138" spans="2:43">
      <c r="B2138"/>
      <c r="C2138"/>
      <c r="D2138"/>
      <c r="Q2138"/>
      <c r="AQ2138" s="20"/>
    </row>
    <row r="2139" spans="2:43">
      <c r="B2139"/>
      <c r="C2139"/>
      <c r="D2139"/>
      <c r="Q2139"/>
      <c r="AQ2139" s="20"/>
    </row>
    <row r="2140" spans="2:43">
      <c r="B2140"/>
      <c r="C2140"/>
      <c r="D2140"/>
      <c r="Q2140"/>
      <c r="AQ2140" s="20"/>
    </row>
    <row r="2141" spans="2:43">
      <c r="B2141"/>
      <c r="C2141"/>
      <c r="D2141"/>
      <c r="Q2141"/>
      <c r="AQ2141" s="20"/>
    </row>
    <row r="2142" spans="2:43">
      <c r="B2142"/>
      <c r="C2142"/>
      <c r="D2142"/>
      <c r="Q2142"/>
      <c r="AQ2142" s="20"/>
    </row>
    <row r="2143" spans="2:43">
      <c r="B2143"/>
      <c r="C2143"/>
      <c r="D2143"/>
      <c r="Q2143"/>
      <c r="AQ2143" s="20"/>
    </row>
    <row r="2144" spans="2:43">
      <c r="B2144"/>
      <c r="C2144"/>
      <c r="D2144"/>
      <c r="Q2144"/>
      <c r="AQ2144" s="20"/>
    </row>
    <row r="2145" spans="2:43">
      <c r="B2145"/>
      <c r="C2145"/>
      <c r="D2145"/>
      <c r="Q2145"/>
      <c r="AQ2145" s="20"/>
    </row>
    <row r="2146" spans="2:43">
      <c r="B2146"/>
      <c r="C2146"/>
      <c r="D2146"/>
      <c r="Q2146"/>
      <c r="AQ2146" s="20"/>
    </row>
    <row r="2147" spans="2:43">
      <c r="B2147"/>
      <c r="C2147"/>
      <c r="D2147"/>
      <c r="Q2147"/>
      <c r="AQ2147" s="20"/>
    </row>
    <row r="2148" spans="2:43">
      <c r="B2148"/>
      <c r="C2148"/>
      <c r="D2148"/>
      <c r="Q2148"/>
      <c r="AQ2148" s="20"/>
    </row>
    <row r="2149" spans="2:43">
      <c r="B2149"/>
      <c r="C2149"/>
      <c r="D2149"/>
      <c r="Q2149"/>
      <c r="AQ2149" s="20"/>
    </row>
    <row r="2150" spans="2:43">
      <c r="B2150"/>
      <c r="C2150"/>
      <c r="D2150"/>
      <c r="Q2150"/>
      <c r="AQ2150" s="20"/>
    </row>
    <row r="2151" spans="2:43">
      <c r="B2151"/>
      <c r="C2151"/>
      <c r="D2151"/>
      <c r="Q2151"/>
      <c r="AQ2151" s="20"/>
    </row>
    <row r="2152" spans="2:43">
      <c r="B2152"/>
      <c r="C2152"/>
      <c r="D2152"/>
      <c r="Q2152"/>
      <c r="AQ2152" s="20"/>
    </row>
    <row r="2153" spans="2:43">
      <c r="B2153"/>
      <c r="C2153"/>
      <c r="D2153"/>
      <c r="Q2153"/>
      <c r="AQ2153" s="20"/>
    </row>
    <row r="2154" spans="2:43">
      <c r="B2154"/>
      <c r="C2154"/>
      <c r="D2154"/>
      <c r="Q2154"/>
      <c r="AQ2154" s="20"/>
    </row>
    <row r="2155" spans="2:43">
      <c r="B2155"/>
      <c r="C2155"/>
      <c r="D2155"/>
      <c r="Q2155"/>
      <c r="AQ2155" s="20"/>
    </row>
    <row r="2156" spans="2:43">
      <c r="B2156"/>
      <c r="C2156"/>
      <c r="D2156"/>
      <c r="Q2156"/>
      <c r="AQ2156" s="20"/>
    </row>
    <row r="2157" spans="2:43">
      <c r="B2157"/>
      <c r="C2157"/>
      <c r="D2157"/>
      <c r="Q2157"/>
      <c r="AQ2157" s="20"/>
    </row>
    <row r="2158" spans="2:43">
      <c r="B2158"/>
      <c r="C2158"/>
      <c r="D2158"/>
      <c r="Q2158"/>
      <c r="AQ2158" s="20"/>
    </row>
    <row r="2159" spans="2:43">
      <c r="B2159"/>
      <c r="C2159"/>
      <c r="D2159"/>
      <c r="Q2159"/>
      <c r="AQ2159" s="20"/>
    </row>
    <row r="2160" spans="2:43">
      <c r="B2160"/>
      <c r="C2160"/>
      <c r="D2160"/>
      <c r="Q2160"/>
      <c r="AQ2160" s="20"/>
    </row>
    <row r="2161" spans="2:43">
      <c r="B2161"/>
      <c r="C2161"/>
      <c r="D2161"/>
      <c r="Q2161"/>
      <c r="AQ2161" s="20"/>
    </row>
    <row r="2162" spans="2:43">
      <c r="B2162"/>
      <c r="C2162"/>
      <c r="D2162"/>
      <c r="Q2162"/>
      <c r="AQ2162" s="20"/>
    </row>
    <row r="2163" spans="2:43">
      <c r="B2163"/>
      <c r="C2163"/>
      <c r="D2163"/>
      <c r="Q2163"/>
      <c r="AQ2163" s="20"/>
    </row>
    <row r="2164" spans="2:43">
      <c r="B2164"/>
      <c r="C2164"/>
      <c r="D2164"/>
      <c r="Q2164"/>
      <c r="AQ2164" s="20"/>
    </row>
    <row r="2165" spans="2:43">
      <c r="B2165"/>
      <c r="C2165"/>
      <c r="D2165"/>
      <c r="Q2165"/>
      <c r="AQ2165" s="20"/>
    </row>
    <row r="2166" spans="2:43">
      <c r="B2166"/>
      <c r="C2166"/>
      <c r="D2166"/>
      <c r="Q2166"/>
      <c r="AQ2166" s="20"/>
    </row>
    <row r="2167" spans="2:43">
      <c r="B2167"/>
      <c r="C2167"/>
      <c r="D2167"/>
      <c r="Q2167"/>
      <c r="AQ2167" s="20"/>
    </row>
    <row r="2168" spans="2:43">
      <c r="B2168"/>
      <c r="C2168"/>
      <c r="D2168"/>
      <c r="Q2168"/>
      <c r="AQ2168" s="20"/>
    </row>
    <row r="2169" spans="2:43">
      <c r="B2169"/>
      <c r="C2169"/>
      <c r="D2169"/>
      <c r="Q2169"/>
      <c r="AQ2169" s="20"/>
    </row>
    <row r="2170" spans="2:43">
      <c r="B2170"/>
      <c r="C2170"/>
      <c r="D2170"/>
      <c r="Q2170"/>
      <c r="AQ2170" s="20"/>
    </row>
    <row r="2171" spans="2:43">
      <c r="B2171"/>
      <c r="C2171"/>
      <c r="D2171"/>
      <c r="Q2171"/>
      <c r="AQ2171" s="20"/>
    </row>
    <row r="2172" spans="2:43">
      <c r="B2172"/>
      <c r="C2172"/>
      <c r="D2172"/>
      <c r="Q2172"/>
      <c r="AQ2172" s="20"/>
    </row>
    <row r="2173" spans="2:43">
      <c r="B2173"/>
      <c r="C2173"/>
      <c r="D2173"/>
      <c r="Q2173"/>
      <c r="AQ2173" s="20"/>
    </row>
    <row r="2174" spans="2:43">
      <c r="B2174"/>
      <c r="C2174"/>
      <c r="D2174"/>
      <c r="Q2174"/>
      <c r="AQ2174" s="20"/>
    </row>
    <row r="2175" spans="2:43">
      <c r="B2175"/>
      <c r="C2175"/>
      <c r="D2175"/>
      <c r="Q2175"/>
      <c r="AQ2175" s="20"/>
    </row>
    <row r="2176" spans="2:43">
      <c r="B2176"/>
      <c r="C2176"/>
      <c r="D2176"/>
      <c r="Q2176"/>
      <c r="AQ2176" s="20"/>
    </row>
    <row r="2177" spans="2:43">
      <c r="B2177"/>
      <c r="C2177"/>
      <c r="D2177"/>
      <c r="Q2177"/>
      <c r="AQ2177" s="20"/>
    </row>
    <row r="2178" spans="2:43">
      <c r="B2178"/>
      <c r="C2178"/>
      <c r="D2178"/>
      <c r="Q2178"/>
      <c r="AQ2178" s="20"/>
    </row>
    <row r="2179" spans="2:43">
      <c r="B2179"/>
      <c r="C2179"/>
      <c r="D2179"/>
      <c r="Q2179"/>
      <c r="AQ2179" s="20"/>
    </row>
    <row r="2180" spans="2:43">
      <c r="B2180"/>
      <c r="C2180"/>
      <c r="D2180"/>
      <c r="Q2180"/>
      <c r="AQ2180" s="20"/>
    </row>
    <row r="2181" spans="2:43">
      <c r="B2181"/>
      <c r="C2181"/>
      <c r="D2181"/>
      <c r="Q2181"/>
      <c r="AQ2181" s="20"/>
    </row>
    <row r="2182" spans="2:43">
      <c r="B2182"/>
      <c r="C2182"/>
      <c r="D2182"/>
      <c r="Q2182"/>
      <c r="AQ2182" s="20"/>
    </row>
    <row r="2183" spans="2:43">
      <c r="B2183"/>
      <c r="C2183"/>
      <c r="D2183"/>
      <c r="Q2183"/>
      <c r="AQ2183" s="20"/>
    </row>
    <row r="2184" spans="2:43">
      <c r="B2184"/>
      <c r="C2184"/>
      <c r="D2184"/>
      <c r="Q2184"/>
      <c r="AQ2184" s="20"/>
    </row>
    <row r="2185" spans="2:43">
      <c r="B2185"/>
      <c r="C2185"/>
      <c r="D2185"/>
      <c r="Q2185"/>
      <c r="AQ2185" s="20"/>
    </row>
    <row r="2186" spans="2:43">
      <c r="B2186"/>
      <c r="C2186"/>
      <c r="D2186"/>
      <c r="Q2186"/>
      <c r="AQ2186" s="20"/>
    </row>
    <row r="2187" spans="2:43">
      <c r="B2187"/>
      <c r="C2187"/>
      <c r="D2187"/>
      <c r="Q2187"/>
      <c r="AQ2187" s="20"/>
    </row>
    <row r="2188" spans="2:43">
      <c r="B2188"/>
      <c r="C2188"/>
      <c r="D2188"/>
      <c r="Q2188"/>
      <c r="AQ2188" s="20"/>
    </row>
    <row r="2189" spans="2:43">
      <c r="B2189"/>
      <c r="C2189"/>
      <c r="D2189"/>
      <c r="Q2189"/>
      <c r="AQ2189" s="20"/>
    </row>
    <row r="2190" spans="2:43">
      <c r="B2190"/>
      <c r="C2190"/>
      <c r="D2190"/>
      <c r="Q2190"/>
      <c r="AQ2190" s="20"/>
    </row>
    <row r="2191" spans="2:43">
      <c r="B2191"/>
      <c r="C2191"/>
      <c r="D2191"/>
      <c r="Q2191"/>
      <c r="AQ2191" s="20"/>
    </row>
    <row r="2192" spans="2:43">
      <c r="B2192"/>
      <c r="C2192"/>
      <c r="D2192"/>
      <c r="Q2192"/>
      <c r="AQ2192" s="20"/>
    </row>
    <row r="2193" spans="2:43">
      <c r="B2193"/>
      <c r="C2193"/>
      <c r="D2193"/>
      <c r="Q2193"/>
      <c r="AQ2193" s="20"/>
    </row>
    <row r="2194" spans="2:43">
      <c r="B2194"/>
      <c r="C2194"/>
      <c r="D2194"/>
      <c r="Q2194"/>
      <c r="AQ2194" s="20"/>
    </row>
    <row r="2195" spans="2:43">
      <c r="B2195"/>
      <c r="C2195"/>
      <c r="D2195"/>
      <c r="Q2195"/>
      <c r="AQ2195" s="20"/>
    </row>
    <row r="2196" spans="2:43">
      <c r="B2196"/>
      <c r="C2196"/>
      <c r="D2196"/>
      <c r="Q2196"/>
      <c r="AQ2196" s="20"/>
    </row>
    <row r="2197" spans="2:43">
      <c r="B2197"/>
      <c r="C2197"/>
      <c r="D2197"/>
      <c r="Q2197"/>
      <c r="AQ2197" s="20"/>
    </row>
    <row r="2198" spans="2:43">
      <c r="B2198"/>
      <c r="C2198"/>
      <c r="D2198"/>
      <c r="Q2198"/>
      <c r="AQ2198" s="20"/>
    </row>
    <row r="2199" spans="2:43">
      <c r="B2199"/>
      <c r="C2199"/>
      <c r="D2199"/>
      <c r="Q2199"/>
      <c r="AQ2199" s="20"/>
    </row>
    <row r="2200" spans="2:43">
      <c r="B2200"/>
      <c r="C2200"/>
      <c r="D2200"/>
      <c r="Q2200"/>
      <c r="AQ2200" s="20"/>
    </row>
    <row r="2201" spans="2:43">
      <c r="B2201"/>
      <c r="C2201"/>
      <c r="D2201"/>
      <c r="Q2201"/>
      <c r="AQ2201" s="20"/>
    </row>
    <row r="2202" spans="2:43">
      <c r="B2202"/>
      <c r="C2202"/>
      <c r="D2202"/>
      <c r="Q2202"/>
      <c r="AQ2202" s="20"/>
    </row>
    <row r="2203" spans="2:43">
      <c r="B2203"/>
      <c r="C2203"/>
      <c r="D2203"/>
      <c r="Q2203"/>
      <c r="AQ2203" s="20"/>
    </row>
    <row r="2204" spans="2:43">
      <c r="B2204"/>
      <c r="C2204"/>
      <c r="D2204"/>
      <c r="Q2204"/>
      <c r="AQ2204" s="20"/>
    </row>
    <row r="2205" spans="2:43">
      <c r="B2205"/>
      <c r="C2205"/>
      <c r="D2205"/>
      <c r="Q2205"/>
      <c r="AQ2205" s="20"/>
    </row>
    <row r="2206" spans="2:43">
      <c r="B2206"/>
      <c r="C2206"/>
      <c r="D2206"/>
      <c r="Q2206"/>
      <c r="AQ2206" s="20"/>
    </row>
    <row r="2207" spans="2:43">
      <c r="B2207"/>
      <c r="C2207"/>
      <c r="D2207"/>
      <c r="Q2207"/>
      <c r="AQ2207" s="20"/>
    </row>
    <row r="2208" spans="2:43">
      <c r="B2208"/>
      <c r="C2208"/>
      <c r="D2208"/>
      <c r="Q2208"/>
      <c r="AQ2208" s="20"/>
    </row>
    <row r="2209" spans="2:43">
      <c r="B2209"/>
      <c r="C2209"/>
      <c r="D2209"/>
      <c r="Q2209"/>
      <c r="AQ2209" s="20"/>
    </row>
    <row r="2210" spans="2:43">
      <c r="B2210"/>
      <c r="C2210"/>
      <c r="D2210"/>
      <c r="Q2210"/>
      <c r="AQ2210" s="20"/>
    </row>
    <row r="2211" spans="2:43">
      <c r="B2211"/>
      <c r="C2211"/>
      <c r="D2211"/>
      <c r="Q2211"/>
      <c r="AQ2211" s="20"/>
    </row>
    <row r="2212" spans="2:43">
      <c r="B2212"/>
      <c r="C2212"/>
      <c r="D2212"/>
      <c r="Q2212"/>
      <c r="AQ2212" s="20"/>
    </row>
    <row r="2213" spans="2:43">
      <c r="B2213"/>
      <c r="C2213"/>
      <c r="D2213"/>
      <c r="Q2213"/>
      <c r="AQ2213" s="20"/>
    </row>
    <row r="2214" spans="2:43">
      <c r="B2214"/>
      <c r="C2214"/>
      <c r="D2214"/>
      <c r="Q2214"/>
      <c r="AQ2214" s="20"/>
    </row>
    <row r="2215" spans="2:43">
      <c r="B2215"/>
      <c r="C2215"/>
      <c r="D2215"/>
      <c r="Q2215"/>
      <c r="AQ2215" s="20"/>
    </row>
    <row r="2216" spans="2:43">
      <c r="B2216"/>
      <c r="C2216"/>
      <c r="D2216"/>
      <c r="Q2216"/>
      <c r="AQ2216" s="20"/>
    </row>
    <row r="2217" spans="2:43">
      <c r="B2217"/>
      <c r="C2217"/>
      <c r="D2217"/>
      <c r="Q2217"/>
      <c r="AQ2217" s="20"/>
    </row>
    <row r="2218" spans="2:43">
      <c r="B2218"/>
      <c r="C2218"/>
      <c r="D2218"/>
      <c r="Q2218"/>
      <c r="AQ2218" s="20"/>
    </row>
    <row r="2219" spans="2:43">
      <c r="B2219"/>
      <c r="C2219"/>
      <c r="D2219"/>
      <c r="Q2219"/>
      <c r="AQ2219" s="20"/>
    </row>
    <row r="2220" spans="2:43">
      <c r="B2220"/>
      <c r="C2220"/>
      <c r="D2220"/>
      <c r="Q2220"/>
      <c r="AQ2220" s="20"/>
    </row>
    <row r="2221" spans="2:43">
      <c r="B2221"/>
      <c r="C2221"/>
      <c r="D2221"/>
      <c r="Q2221"/>
      <c r="AQ2221" s="20"/>
    </row>
    <row r="2222" spans="2:43">
      <c r="B2222"/>
      <c r="C2222"/>
      <c r="D2222"/>
      <c r="Q2222"/>
      <c r="AQ2222" s="20"/>
    </row>
    <row r="2223" spans="2:43">
      <c r="B2223"/>
      <c r="C2223"/>
      <c r="D2223"/>
      <c r="Q2223"/>
      <c r="AQ2223" s="20"/>
    </row>
    <row r="2224" spans="2:43">
      <c r="B2224"/>
      <c r="C2224"/>
      <c r="D2224"/>
      <c r="Q2224"/>
      <c r="AQ2224" s="20"/>
    </row>
    <row r="2225" spans="2:43">
      <c r="B2225"/>
      <c r="C2225"/>
      <c r="D2225"/>
      <c r="Q2225"/>
      <c r="AQ2225" s="20"/>
    </row>
    <row r="2226" spans="2:43">
      <c r="B2226"/>
      <c r="C2226"/>
      <c r="D2226"/>
      <c r="Q2226"/>
      <c r="AQ2226" s="20"/>
    </row>
    <row r="2227" spans="2:43">
      <c r="B2227"/>
      <c r="C2227"/>
      <c r="D2227"/>
      <c r="Q2227"/>
      <c r="AQ2227" s="20"/>
    </row>
    <row r="2228" spans="2:43">
      <c r="B2228"/>
      <c r="C2228"/>
      <c r="D2228"/>
      <c r="Q2228"/>
      <c r="AQ2228" s="20"/>
    </row>
    <row r="2229" spans="2:43">
      <c r="B2229"/>
      <c r="C2229"/>
      <c r="D2229"/>
      <c r="Q2229"/>
      <c r="AQ2229" s="20"/>
    </row>
    <row r="2230" spans="2:43">
      <c r="B2230"/>
      <c r="C2230"/>
      <c r="D2230"/>
      <c r="Q2230"/>
      <c r="AQ2230" s="20"/>
    </row>
    <row r="2231" spans="2:43">
      <c r="B2231"/>
      <c r="C2231"/>
      <c r="D2231"/>
      <c r="Q2231"/>
      <c r="AQ2231" s="20"/>
    </row>
    <row r="2232" spans="2:43">
      <c r="B2232"/>
      <c r="C2232"/>
      <c r="D2232"/>
      <c r="Q2232"/>
      <c r="AQ2232" s="20"/>
    </row>
    <row r="2233" spans="2:43">
      <c r="B2233"/>
      <c r="C2233"/>
      <c r="D2233"/>
      <c r="Q2233"/>
      <c r="AQ2233" s="20"/>
    </row>
    <row r="2234" spans="2:43">
      <c r="B2234"/>
      <c r="C2234"/>
      <c r="D2234"/>
      <c r="Q2234"/>
      <c r="AQ2234" s="20"/>
    </row>
    <row r="2235" spans="2:43">
      <c r="B2235"/>
      <c r="C2235"/>
      <c r="D2235"/>
      <c r="Q2235"/>
      <c r="AQ2235" s="20"/>
    </row>
    <row r="2236" spans="2:43">
      <c r="B2236"/>
      <c r="C2236"/>
      <c r="D2236"/>
      <c r="Q2236"/>
      <c r="AQ2236" s="20"/>
    </row>
    <row r="2237" spans="2:43">
      <c r="B2237"/>
      <c r="C2237"/>
      <c r="D2237"/>
      <c r="Q2237"/>
      <c r="AQ2237" s="20"/>
    </row>
    <row r="2238" spans="2:43">
      <c r="B2238"/>
      <c r="C2238"/>
      <c r="D2238"/>
      <c r="Q2238"/>
      <c r="AQ2238" s="20"/>
    </row>
    <row r="2239" spans="2:43">
      <c r="B2239"/>
      <c r="C2239"/>
      <c r="D2239"/>
      <c r="Q2239"/>
      <c r="AQ2239" s="20"/>
    </row>
    <row r="2240" spans="2:43">
      <c r="B2240"/>
      <c r="C2240"/>
      <c r="D2240"/>
      <c r="Q2240"/>
      <c r="AQ2240" s="20"/>
    </row>
    <row r="2241" spans="2:43">
      <c r="B2241"/>
      <c r="C2241"/>
      <c r="D2241"/>
      <c r="Q2241"/>
      <c r="AQ2241" s="20"/>
    </row>
    <row r="2242" spans="2:43">
      <c r="B2242"/>
      <c r="C2242"/>
      <c r="D2242"/>
      <c r="Q2242"/>
      <c r="AQ2242" s="20"/>
    </row>
    <row r="2243" spans="2:43">
      <c r="B2243"/>
      <c r="C2243"/>
      <c r="D2243"/>
      <c r="Q2243"/>
      <c r="AQ2243" s="20"/>
    </row>
    <row r="2244" spans="2:43">
      <c r="B2244"/>
      <c r="C2244"/>
      <c r="D2244"/>
      <c r="Q2244"/>
      <c r="AQ2244" s="20"/>
    </row>
    <row r="2245" spans="2:43">
      <c r="B2245"/>
      <c r="C2245"/>
      <c r="D2245"/>
      <c r="Q2245"/>
      <c r="AQ2245" s="20"/>
    </row>
    <row r="2246" spans="2:43">
      <c r="B2246"/>
      <c r="C2246"/>
      <c r="D2246"/>
      <c r="Q2246"/>
      <c r="AQ2246" s="20"/>
    </row>
    <row r="2247" spans="2:43">
      <c r="B2247"/>
      <c r="C2247"/>
      <c r="D2247"/>
      <c r="Q2247"/>
      <c r="AQ2247" s="20"/>
    </row>
    <row r="2248" spans="2:43">
      <c r="B2248"/>
      <c r="C2248"/>
      <c r="D2248"/>
      <c r="Q2248"/>
      <c r="AQ2248" s="20"/>
    </row>
    <row r="2249" spans="2:43">
      <c r="B2249"/>
      <c r="C2249"/>
      <c r="D2249"/>
      <c r="Q2249"/>
      <c r="AQ2249" s="20"/>
    </row>
    <row r="2250" spans="2:43">
      <c r="B2250"/>
      <c r="C2250"/>
      <c r="D2250"/>
      <c r="Q2250"/>
      <c r="AQ2250" s="20"/>
    </row>
    <row r="2251" spans="2:43">
      <c r="B2251"/>
      <c r="C2251"/>
      <c r="D2251"/>
      <c r="Q2251"/>
      <c r="AQ2251" s="20"/>
    </row>
    <row r="2252" spans="2:43">
      <c r="B2252"/>
      <c r="C2252"/>
      <c r="D2252"/>
      <c r="Q2252"/>
      <c r="AQ2252" s="20"/>
    </row>
    <row r="2253" spans="2:43">
      <c r="B2253"/>
      <c r="C2253"/>
      <c r="D2253"/>
      <c r="Q2253"/>
      <c r="AQ2253" s="20"/>
    </row>
    <row r="2254" spans="2:43">
      <c r="B2254"/>
      <c r="C2254"/>
      <c r="D2254"/>
      <c r="Q2254"/>
      <c r="AQ2254" s="20"/>
    </row>
    <row r="2255" spans="2:43">
      <c r="B2255"/>
      <c r="C2255"/>
      <c r="D2255"/>
      <c r="Q2255"/>
      <c r="AQ2255" s="20"/>
    </row>
    <row r="2256" spans="2:43">
      <c r="B2256"/>
      <c r="C2256"/>
      <c r="D2256"/>
      <c r="Q2256"/>
      <c r="AQ2256" s="20"/>
    </row>
    <row r="2257" spans="2:43">
      <c r="B2257"/>
      <c r="C2257"/>
      <c r="D2257"/>
      <c r="Q2257"/>
      <c r="AQ2257" s="20"/>
    </row>
    <row r="2258" spans="2:43">
      <c r="B2258"/>
      <c r="C2258"/>
      <c r="D2258"/>
      <c r="Q2258"/>
      <c r="AQ2258" s="20"/>
    </row>
    <row r="2259" spans="2:43">
      <c r="B2259"/>
      <c r="C2259"/>
      <c r="D2259"/>
      <c r="Q2259"/>
      <c r="AQ2259" s="20"/>
    </row>
    <row r="2260" spans="2:43">
      <c r="B2260"/>
      <c r="C2260"/>
      <c r="D2260"/>
      <c r="Q2260"/>
      <c r="AQ2260" s="20"/>
    </row>
    <row r="2261" spans="2:43">
      <c r="B2261"/>
      <c r="C2261"/>
      <c r="D2261"/>
      <c r="Q2261"/>
      <c r="AQ2261" s="20"/>
    </row>
    <row r="2262" spans="2:43">
      <c r="B2262"/>
      <c r="C2262"/>
      <c r="D2262"/>
      <c r="Q2262"/>
      <c r="AQ2262" s="20"/>
    </row>
    <row r="2263" spans="2:43">
      <c r="B2263"/>
      <c r="C2263"/>
      <c r="D2263"/>
      <c r="Q2263"/>
      <c r="AQ2263" s="20"/>
    </row>
    <row r="2264" spans="2:43">
      <c r="B2264"/>
      <c r="C2264"/>
      <c r="D2264"/>
      <c r="Q2264"/>
      <c r="AQ2264" s="20"/>
    </row>
    <row r="2265" spans="2:43">
      <c r="B2265"/>
      <c r="C2265"/>
      <c r="D2265"/>
      <c r="Q2265"/>
      <c r="AQ2265" s="20"/>
    </row>
    <row r="2266" spans="2:43">
      <c r="B2266"/>
      <c r="C2266"/>
      <c r="D2266"/>
      <c r="Q2266"/>
      <c r="AQ2266" s="20"/>
    </row>
    <row r="2267" spans="2:43">
      <c r="B2267"/>
      <c r="C2267"/>
      <c r="D2267"/>
      <c r="Q2267"/>
      <c r="AQ2267" s="20"/>
    </row>
    <row r="2268" spans="2:43">
      <c r="B2268"/>
      <c r="C2268"/>
      <c r="D2268"/>
      <c r="Q2268"/>
      <c r="AQ2268" s="20"/>
    </row>
    <row r="2269" spans="2:43">
      <c r="B2269"/>
      <c r="C2269"/>
      <c r="D2269"/>
      <c r="Q2269"/>
      <c r="AQ2269" s="20"/>
    </row>
    <row r="2270" spans="2:43">
      <c r="B2270"/>
      <c r="C2270"/>
      <c r="D2270"/>
      <c r="Q2270"/>
      <c r="AQ2270" s="20"/>
    </row>
    <row r="2271" spans="2:43">
      <c r="B2271"/>
      <c r="C2271"/>
      <c r="D2271"/>
      <c r="Q2271"/>
      <c r="AQ2271" s="20"/>
    </row>
    <row r="2272" spans="2:43">
      <c r="B2272"/>
      <c r="C2272"/>
      <c r="D2272"/>
      <c r="Q2272"/>
      <c r="AQ2272" s="20"/>
    </row>
    <row r="2273" spans="2:43">
      <c r="B2273"/>
      <c r="C2273"/>
      <c r="D2273"/>
      <c r="Q2273"/>
      <c r="AQ2273" s="20"/>
    </row>
    <row r="2274" spans="2:43">
      <c r="B2274"/>
      <c r="C2274"/>
      <c r="D2274"/>
      <c r="Q2274"/>
      <c r="AQ2274" s="20"/>
    </row>
    <row r="2275" spans="2:43">
      <c r="B2275"/>
      <c r="C2275"/>
      <c r="D2275"/>
      <c r="Q2275"/>
      <c r="AQ2275" s="20"/>
    </row>
    <row r="2276" spans="2:43">
      <c r="B2276"/>
      <c r="C2276"/>
      <c r="D2276"/>
      <c r="Q2276"/>
      <c r="AQ2276" s="20"/>
    </row>
    <row r="2277" spans="2:43">
      <c r="B2277"/>
      <c r="C2277"/>
      <c r="D2277"/>
      <c r="Q2277"/>
      <c r="AQ2277" s="20"/>
    </row>
    <row r="2278" spans="2:43">
      <c r="B2278"/>
      <c r="C2278"/>
      <c r="D2278"/>
      <c r="Q2278"/>
      <c r="AQ2278" s="20"/>
    </row>
    <row r="2279" spans="2:43">
      <c r="B2279"/>
      <c r="C2279"/>
      <c r="D2279"/>
      <c r="Q2279"/>
      <c r="AQ2279" s="20"/>
    </row>
    <row r="2280" spans="2:43">
      <c r="B2280"/>
      <c r="C2280"/>
      <c r="D2280"/>
      <c r="Q2280"/>
      <c r="AQ2280" s="20"/>
    </row>
    <row r="2281" spans="2:43">
      <c r="B2281"/>
      <c r="C2281"/>
      <c r="D2281"/>
      <c r="Q2281"/>
      <c r="AQ2281" s="20"/>
    </row>
    <row r="2282" spans="2:43">
      <c r="B2282"/>
      <c r="C2282"/>
      <c r="D2282"/>
      <c r="Q2282"/>
      <c r="AQ2282" s="20"/>
    </row>
    <row r="2283" spans="2:43">
      <c r="B2283"/>
      <c r="C2283"/>
      <c r="D2283"/>
      <c r="Q2283"/>
      <c r="AQ2283" s="20"/>
    </row>
    <row r="2284" spans="2:43">
      <c r="B2284"/>
      <c r="C2284"/>
      <c r="D2284"/>
      <c r="Q2284"/>
      <c r="AQ2284" s="20"/>
    </row>
    <row r="2285" spans="2:43">
      <c r="B2285"/>
      <c r="C2285"/>
      <c r="D2285"/>
      <c r="Q2285"/>
      <c r="AQ2285" s="20"/>
    </row>
    <row r="2286" spans="2:43">
      <c r="B2286"/>
      <c r="C2286"/>
      <c r="D2286"/>
      <c r="Q2286"/>
      <c r="AQ2286" s="20"/>
    </row>
    <row r="2287" spans="2:43">
      <c r="B2287"/>
      <c r="C2287"/>
      <c r="D2287"/>
      <c r="Q2287"/>
      <c r="AQ2287" s="20"/>
    </row>
    <row r="2288" spans="2:43">
      <c r="B2288"/>
      <c r="C2288"/>
      <c r="D2288"/>
      <c r="Q2288"/>
      <c r="AQ2288" s="20"/>
    </row>
    <row r="2289" spans="2:43">
      <c r="B2289"/>
      <c r="C2289"/>
      <c r="D2289"/>
      <c r="Q2289"/>
      <c r="AQ2289" s="20"/>
    </row>
    <row r="2290" spans="2:43">
      <c r="B2290"/>
      <c r="C2290"/>
      <c r="D2290"/>
      <c r="Q2290"/>
      <c r="AQ2290" s="20"/>
    </row>
    <row r="2291" spans="2:43">
      <c r="B2291"/>
      <c r="C2291"/>
      <c r="D2291"/>
      <c r="Q2291"/>
      <c r="AQ2291" s="20"/>
    </row>
    <row r="2292" spans="2:43">
      <c r="B2292"/>
      <c r="C2292"/>
      <c r="D2292"/>
      <c r="Q2292"/>
      <c r="AQ2292" s="20"/>
    </row>
    <row r="2293" spans="2:43">
      <c r="B2293"/>
      <c r="C2293"/>
      <c r="D2293"/>
      <c r="Q2293"/>
      <c r="AQ2293" s="20"/>
    </row>
    <row r="2294" spans="2:43">
      <c r="B2294"/>
      <c r="C2294"/>
      <c r="D2294"/>
      <c r="Q2294"/>
      <c r="AQ2294" s="20"/>
    </row>
    <row r="2295" spans="2:43">
      <c r="B2295"/>
      <c r="C2295"/>
      <c r="D2295"/>
      <c r="Q2295"/>
      <c r="AQ2295" s="20"/>
    </row>
    <row r="2296" spans="2:43">
      <c r="B2296"/>
      <c r="C2296"/>
      <c r="D2296"/>
      <c r="Q2296"/>
      <c r="AQ2296" s="20"/>
    </row>
    <row r="2297" spans="2:43">
      <c r="B2297"/>
      <c r="C2297"/>
      <c r="D2297"/>
      <c r="Q2297"/>
      <c r="AQ2297" s="20"/>
    </row>
    <row r="2298" spans="2:43">
      <c r="B2298"/>
      <c r="C2298"/>
      <c r="D2298"/>
      <c r="Q2298"/>
      <c r="AQ2298" s="20"/>
    </row>
    <row r="2299" spans="2:43">
      <c r="B2299"/>
      <c r="C2299"/>
      <c r="D2299"/>
      <c r="Q2299"/>
      <c r="AQ2299" s="20"/>
    </row>
    <row r="2300" spans="2:43">
      <c r="B2300"/>
      <c r="C2300"/>
      <c r="D2300"/>
      <c r="Q2300"/>
      <c r="AQ2300" s="20"/>
    </row>
    <row r="2301" spans="2:43">
      <c r="B2301"/>
      <c r="C2301"/>
      <c r="D2301"/>
      <c r="Q2301"/>
      <c r="AQ2301" s="20"/>
    </row>
    <row r="2302" spans="2:43">
      <c r="B2302"/>
      <c r="C2302"/>
      <c r="D2302"/>
      <c r="Q2302"/>
      <c r="AQ2302" s="20"/>
    </row>
    <row r="2303" spans="2:43">
      <c r="B2303"/>
      <c r="C2303"/>
      <c r="D2303"/>
      <c r="Q2303"/>
      <c r="AQ2303" s="20"/>
    </row>
    <row r="2304" spans="2:43">
      <c r="B2304"/>
      <c r="C2304"/>
      <c r="D2304"/>
      <c r="Q2304"/>
      <c r="AQ2304" s="20"/>
    </row>
    <row r="2305" spans="2:43">
      <c r="B2305"/>
      <c r="C2305"/>
      <c r="D2305"/>
      <c r="Q2305"/>
      <c r="AQ2305" s="20"/>
    </row>
    <row r="2306" spans="2:43">
      <c r="B2306"/>
      <c r="C2306"/>
      <c r="D2306"/>
      <c r="Q2306"/>
      <c r="AQ2306" s="20"/>
    </row>
    <row r="2307" spans="2:43">
      <c r="B2307"/>
      <c r="C2307"/>
      <c r="D2307"/>
      <c r="Q2307"/>
      <c r="AQ2307" s="20"/>
    </row>
    <row r="2308" spans="2:43">
      <c r="B2308"/>
      <c r="C2308"/>
      <c r="D2308"/>
      <c r="Q2308"/>
      <c r="AQ2308" s="20"/>
    </row>
    <row r="2309" spans="2:43">
      <c r="B2309"/>
      <c r="C2309"/>
      <c r="D2309"/>
      <c r="Q2309"/>
      <c r="AQ2309" s="20"/>
    </row>
    <row r="2310" spans="2:43">
      <c r="B2310"/>
      <c r="C2310"/>
      <c r="D2310"/>
      <c r="Q2310"/>
      <c r="AQ2310" s="20"/>
    </row>
    <row r="2311" spans="2:43">
      <c r="B2311"/>
      <c r="C2311"/>
      <c r="D2311"/>
      <c r="Q2311"/>
      <c r="AQ2311" s="20"/>
    </row>
    <row r="2312" spans="2:43">
      <c r="B2312"/>
      <c r="C2312"/>
      <c r="D2312"/>
      <c r="Q2312"/>
      <c r="AQ2312" s="20"/>
    </row>
    <row r="2313" spans="2:43">
      <c r="B2313"/>
      <c r="C2313"/>
      <c r="D2313"/>
      <c r="Q2313"/>
      <c r="AQ2313" s="20"/>
    </row>
    <row r="2314" spans="2:43">
      <c r="B2314"/>
      <c r="C2314"/>
      <c r="D2314"/>
      <c r="Q2314"/>
      <c r="AQ2314" s="20"/>
    </row>
    <row r="2315" spans="2:43">
      <c r="B2315"/>
      <c r="C2315"/>
      <c r="D2315"/>
      <c r="Q2315"/>
      <c r="AQ2315" s="20"/>
    </row>
    <row r="2316" spans="2:43">
      <c r="B2316"/>
      <c r="C2316"/>
      <c r="D2316"/>
      <c r="Q2316"/>
      <c r="AQ2316" s="20"/>
    </row>
    <row r="2317" spans="2:43">
      <c r="B2317"/>
      <c r="C2317"/>
      <c r="D2317"/>
      <c r="Q2317"/>
      <c r="AQ2317" s="20"/>
    </row>
    <row r="2318" spans="2:43">
      <c r="B2318"/>
      <c r="C2318"/>
      <c r="D2318"/>
      <c r="Q2318"/>
      <c r="AQ2318" s="20"/>
    </row>
    <row r="2319" spans="2:43">
      <c r="B2319"/>
      <c r="C2319"/>
      <c r="D2319"/>
      <c r="Q2319"/>
      <c r="AQ2319" s="20"/>
    </row>
    <row r="2320" spans="2:43">
      <c r="B2320"/>
      <c r="C2320"/>
      <c r="D2320"/>
      <c r="Q2320"/>
      <c r="AQ2320" s="20"/>
    </row>
    <row r="2321" spans="2:43">
      <c r="B2321"/>
      <c r="C2321"/>
      <c r="D2321"/>
      <c r="Q2321"/>
      <c r="AQ2321" s="20"/>
    </row>
    <row r="2322" spans="2:43">
      <c r="B2322"/>
      <c r="C2322"/>
      <c r="D2322"/>
      <c r="Q2322"/>
      <c r="AQ2322" s="20"/>
    </row>
    <row r="2323" spans="2:43">
      <c r="B2323"/>
      <c r="C2323"/>
      <c r="D2323"/>
      <c r="Q2323"/>
      <c r="AQ2323" s="20"/>
    </row>
    <row r="2324" spans="2:43">
      <c r="B2324"/>
      <c r="C2324"/>
      <c r="D2324"/>
      <c r="Q2324"/>
      <c r="AQ2324" s="20"/>
    </row>
    <row r="2325" spans="2:43">
      <c r="B2325"/>
      <c r="C2325"/>
      <c r="D2325"/>
      <c r="Q2325"/>
      <c r="AQ2325" s="20"/>
    </row>
    <row r="2326" spans="2:43">
      <c r="B2326"/>
      <c r="C2326"/>
      <c r="D2326"/>
      <c r="Q2326"/>
      <c r="AQ2326" s="20"/>
    </row>
    <row r="2327" spans="2:43">
      <c r="B2327"/>
      <c r="C2327"/>
      <c r="D2327"/>
      <c r="Q2327"/>
      <c r="AQ2327" s="20"/>
    </row>
    <row r="2328" spans="2:43">
      <c r="B2328"/>
      <c r="C2328"/>
      <c r="D2328"/>
      <c r="Q2328"/>
      <c r="AQ2328" s="20"/>
    </row>
    <row r="2329" spans="2:43">
      <c r="B2329"/>
      <c r="C2329"/>
      <c r="D2329"/>
      <c r="Q2329"/>
      <c r="AQ2329" s="20"/>
    </row>
    <row r="2330" spans="2:43">
      <c r="B2330"/>
      <c r="C2330"/>
      <c r="D2330"/>
      <c r="Q2330"/>
      <c r="AQ2330" s="20"/>
    </row>
    <row r="2331" spans="2:43">
      <c r="B2331"/>
      <c r="C2331"/>
      <c r="D2331"/>
      <c r="Q2331"/>
      <c r="AQ2331" s="20"/>
    </row>
    <row r="2332" spans="2:43">
      <c r="B2332"/>
      <c r="C2332"/>
      <c r="D2332"/>
      <c r="Q2332"/>
      <c r="AQ2332" s="20"/>
    </row>
    <row r="2333" spans="2:43">
      <c r="B2333"/>
      <c r="C2333"/>
      <c r="D2333"/>
      <c r="Q2333"/>
      <c r="AQ2333" s="20"/>
    </row>
    <row r="2334" spans="2:43">
      <c r="B2334"/>
      <c r="C2334"/>
      <c r="D2334"/>
      <c r="Q2334"/>
      <c r="AQ2334" s="20"/>
    </row>
    <row r="2335" spans="2:43">
      <c r="B2335"/>
      <c r="C2335"/>
      <c r="D2335"/>
      <c r="Q2335"/>
      <c r="AQ2335" s="20"/>
    </row>
    <row r="2336" spans="2:43">
      <c r="B2336"/>
      <c r="C2336"/>
      <c r="D2336"/>
      <c r="Q2336"/>
      <c r="AQ2336" s="20"/>
    </row>
    <row r="2337" spans="2:43">
      <c r="B2337"/>
      <c r="C2337"/>
      <c r="D2337"/>
      <c r="Q2337"/>
      <c r="AQ2337" s="20"/>
    </row>
    <row r="2338" spans="2:43">
      <c r="B2338"/>
      <c r="C2338"/>
      <c r="D2338"/>
      <c r="Q2338"/>
      <c r="AQ2338" s="20"/>
    </row>
    <row r="2339" spans="2:43">
      <c r="B2339"/>
      <c r="C2339"/>
      <c r="D2339"/>
      <c r="Q2339"/>
      <c r="AQ2339" s="20"/>
    </row>
    <row r="2340" spans="2:43">
      <c r="B2340"/>
      <c r="C2340"/>
      <c r="D2340"/>
      <c r="Q2340"/>
      <c r="AQ2340" s="20"/>
    </row>
    <row r="2341" spans="2:43">
      <c r="B2341"/>
      <c r="C2341"/>
      <c r="D2341"/>
      <c r="Q2341"/>
      <c r="AQ2341" s="20"/>
    </row>
    <row r="2342" spans="2:43">
      <c r="B2342"/>
      <c r="C2342"/>
      <c r="D2342"/>
      <c r="Q2342"/>
      <c r="AQ2342" s="20"/>
    </row>
    <row r="2343" spans="2:43">
      <c r="B2343"/>
      <c r="C2343"/>
      <c r="D2343"/>
      <c r="Q2343"/>
      <c r="AQ2343" s="20"/>
    </row>
    <row r="2344" spans="2:43">
      <c r="B2344"/>
      <c r="C2344"/>
      <c r="D2344"/>
      <c r="Q2344"/>
      <c r="AQ2344" s="20"/>
    </row>
    <row r="2345" spans="2:43">
      <c r="B2345"/>
      <c r="C2345"/>
      <c r="D2345"/>
      <c r="Q2345"/>
      <c r="AQ2345" s="20"/>
    </row>
    <row r="2346" spans="2:43">
      <c r="B2346"/>
      <c r="C2346"/>
      <c r="D2346"/>
      <c r="Q2346"/>
      <c r="AQ2346" s="20"/>
    </row>
    <row r="2347" spans="2:43">
      <c r="B2347"/>
      <c r="C2347"/>
      <c r="D2347"/>
      <c r="Q2347"/>
      <c r="AQ2347" s="20"/>
    </row>
    <row r="2348" spans="2:43">
      <c r="B2348"/>
      <c r="C2348"/>
      <c r="D2348"/>
      <c r="Q2348"/>
      <c r="AQ2348" s="20"/>
    </row>
    <row r="2349" spans="2:43">
      <c r="B2349"/>
      <c r="C2349"/>
      <c r="D2349"/>
      <c r="Q2349"/>
      <c r="AQ2349" s="20"/>
    </row>
    <row r="2350" spans="2:43">
      <c r="B2350"/>
      <c r="C2350"/>
      <c r="D2350"/>
      <c r="Q2350"/>
      <c r="AQ2350" s="20"/>
    </row>
    <row r="2351" spans="2:43">
      <c r="B2351"/>
      <c r="C2351"/>
      <c r="D2351"/>
      <c r="Q2351"/>
      <c r="AQ2351" s="20"/>
    </row>
    <row r="2352" spans="2:43">
      <c r="B2352"/>
      <c r="C2352"/>
      <c r="D2352"/>
      <c r="Q2352"/>
      <c r="AQ2352" s="20"/>
    </row>
    <row r="2353" spans="2:43">
      <c r="B2353"/>
      <c r="C2353"/>
      <c r="D2353"/>
      <c r="Q2353"/>
      <c r="AQ2353" s="20"/>
    </row>
    <row r="2354" spans="2:43">
      <c r="B2354"/>
      <c r="C2354"/>
      <c r="D2354"/>
      <c r="Q2354"/>
      <c r="AQ2354" s="20"/>
    </row>
    <row r="2355" spans="2:43">
      <c r="B2355"/>
      <c r="C2355"/>
      <c r="D2355"/>
      <c r="Q2355"/>
      <c r="AQ2355" s="20"/>
    </row>
    <row r="2356" spans="2:43">
      <c r="B2356"/>
      <c r="C2356"/>
      <c r="D2356"/>
      <c r="Q2356"/>
      <c r="AQ2356" s="20"/>
    </row>
    <row r="2357" spans="2:43">
      <c r="B2357"/>
      <c r="C2357"/>
      <c r="D2357"/>
      <c r="Q2357"/>
      <c r="AQ2357" s="20"/>
    </row>
    <row r="2358" spans="2:43">
      <c r="B2358"/>
      <c r="C2358"/>
      <c r="D2358"/>
      <c r="Q2358"/>
      <c r="AQ2358" s="20"/>
    </row>
    <row r="2359" spans="2:43">
      <c r="B2359"/>
      <c r="C2359"/>
      <c r="D2359"/>
      <c r="Q2359"/>
      <c r="AQ2359" s="20"/>
    </row>
    <row r="2360" spans="2:43">
      <c r="B2360"/>
      <c r="C2360"/>
      <c r="D2360"/>
      <c r="Q2360"/>
      <c r="AQ2360" s="20"/>
    </row>
    <row r="2361" spans="2:43">
      <c r="B2361"/>
      <c r="C2361"/>
      <c r="D2361"/>
      <c r="Q2361"/>
      <c r="AQ2361" s="20"/>
    </row>
    <row r="2362" spans="2:43">
      <c r="B2362"/>
      <c r="C2362"/>
      <c r="D2362"/>
      <c r="Q2362"/>
      <c r="AQ2362" s="20"/>
    </row>
    <row r="2363" spans="2:43">
      <c r="B2363"/>
      <c r="C2363"/>
      <c r="D2363"/>
      <c r="Q2363"/>
      <c r="AQ2363" s="20"/>
    </row>
    <row r="2364" spans="2:43">
      <c r="B2364"/>
      <c r="C2364"/>
      <c r="D2364"/>
      <c r="Q2364"/>
      <c r="AQ2364" s="20"/>
    </row>
    <row r="2365" spans="2:43">
      <c r="B2365"/>
      <c r="C2365"/>
      <c r="D2365"/>
      <c r="Q2365"/>
      <c r="AQ2365" s="20"/>
    </row>
    <row r="2366" spans="2:43">
      <c r="B2366"/>
      <c r="C2366"/>
      <c r="D2366"/>
      <c r="Q2366"/>
      <c r="AQ2366" s="20"/>
    </row>
    <row r="2367" spans="2:43">
      <c r="B2367"/>
      <c r="C2367"/>
      <c r="D2367"/>
      <c r="Q2367"/>
      <c r="AQ2367" s="20"/>
    </row>
    <row r="2368" spans="2:43">
      <c r="B2368"/>
      <c r="C2368"/>
      <c r="D2368"/>
      <c r="Q2368"/>
      <c r="AQ2368" s="20"/>
    </row>
    <row r="2369" spans="2:43">
      <c r="B2369"/>
      <c r="C2369"/>
      <c r="D2369"/>
      <c r="Q2369"/>
      <c r="AQ2369" s="20"/>
    </row>
    <row r="2370" spans="2:43">
      <c r="B2370"/>
      <c r="C2370"/>
      <c r="D2370"/>
      <c r="Q2370"/>
      <c r="AQ2370" s="20"/>
    </row>
    <row r="2371" spans="2:43">
      <c r="B2371"/>
      <c r="C2371"/>
      <c r="D2371"/>
      <c r="Q2371"/>
      <c r="AQ2371" s="20"/>
    </row>
    <row r="2372" spans="2:43">
      <c r="B2372"/>
      <c r="C2372"/>
      <c r="D2372"/>
      <c r="Q2372"/>
      <c r="AQ2372" s="20"/>
    </row>
    <row r="2373" spans="2:43">
      <c r="B2373"/>
      <c r="C2373"/>
      <c r="D2373"/>
      <c r="Q2373"/>
      <c r="AQ2373" s="20"/>
    </row>
    <row r="2374" spans="2:43">
      <c r="B2374"/>
      <c r="C2374"/>
      <c r="D2374"/>
      <c r="Q2374"/>
      <c r="AQ2374" s="20"/>
    </row>
    <row r="2375" spans="2:43">
      <c r="B2375"/>
      <c r="C2375"/>
      <c r="D2375"/>
      <c r="Q2375"/>
      <c r="AQ2375" s="20"/>
    </row>
    <row r="2376" spans="2:43">
      <c r="B2376"/>
      <c r="C2376"/>
      <c r="D2376"/>
      <c r="Q2376"/>
      <c r="AQ2376" s="20"/>
    </row>
    <row r="2377" spans="2:43">
      <c r="B2377"/>
      <c r="C2377"/>
      <c r="D2377"/>
      <c r="Q2377"/>
      <c r="AQ2377" s="20"/>
    </row>
    <row r="2378" spans="2:43">
      <c r="B2378"/>
      <c r="C2378"/>
      <c r="D2378"/>
      <c r="Q2378"/>
      <c r="AQ2378" s="20"/>
    </row>
    <row r="2379" spans="2:43">
      <c r="B2379"/>
      <c r="C2379"/>
      <c r="D2379"/>
      <c r="Q2379"/>
      <c r="AQ2379" s="20"/>
    </row>
    <row r="2380" spans="2:43">
      <c r="B2380"/>
      <c r="C2380"/>
      <c r="D2380"/>
      <c r="Q2380"/>
      <c r="AQ2380" s="20"/>
    </row>
    <row r="2381" spans="2:43">
      <c r="B2381"/>
      <c r="C2381"/>
      <c r="D2381"/>
      <c r="Q2381"/>
      <c r="AQ2381" s="20"/>
    </row>
    <row r="2382" spans="2:43">
      <c r="B2382"/>
      <c r="C2382"/>
      <c r="D2382"/>
      <c r="Q2382"/>
      <c r="AQ2382" s="20"/>
    </row>
    <row r="2383" spans="2:43">
      <c r="B2383"/>
      <c r="C2383"/>
      <c r="D2383"/>
      <c r="Q2383"/>
      <c r="AQ2383" s="20"/>
    </row>
    <row r="2384" spans="2:43">
      <c r="B2384"/>
      <c r="C2384"/>
      <c r="D2384"/>
      <c r="Q2384"/>
      <c r="AQ2384" s="20"/>
    </row>
    <row r="2385" spans="2:43">
      <c r="B2385"/>
      <c r="C2385"/>
      <c r="D2385"/>
      <c r="Q2385"/>
      <c r="AQ2385" s="20"/>
    </row>
    <row r="2386" spans="2:43">
      <c r="B2386"/>
      <c r="C2386"/>
      <c r="D2386"/>
      <c r="Q2386"/>
      <c r="AQ2386" s="20"/>
    </row>
    <row r="2387" spans="2:43">
      <c r="B2387"/>
      <c r="C2387"/>
      <c r="D2387"/>
      <c r="Q2387"/>
      <c r="AQ2387" s="20"/>
    </row>
    <row r="2388" spans="2:43">
      <c r="B2388"/>
      <c r="C2388"/>
      <c r="D2388"/>
      <c r="Q2388"/>
      <c r="AQ2388" s="20"/>
    </row>
    <row r="2389" spans="2:43">
      <c r="B2389"/>
      <c r="C2389"/>
      <c r="D2389"/>
      <c r="Q2389"/>
      <c r="AQ2389" s="20"/>
    </row>
    <row r="2390" spans="2:43">
      <c r="B2390"/>
      <c r="C2390"/>
      <c r="D2390"/>
      <c r="Q2390"/>
      <c r="AQ2390" s="20"/>
    </row>
    <row r="2391" spans="2:43">
      <c r="B2391"/>
      <c r="C2391"/>
      <c r="D2391"/>
      <c r="Q2391"/>
      <c r="AQ2391" s="20"/>
    </row>
    <row r="2392" spans="2:43">
      <c r="B2392"/>
      <c r="C2392"/>
      <c r="D2392"/>
      <c r="Q2392"/>
      <c r="AQ2392" s="20"/>
    </row>
    <row r="2393" spans="2:43">
      <c r="B2393"/>
      <c r="C2393"/>
      <c r="D2393"/>
      <c r="Q2393"/>
      <c r="AQ2393" s="20"/>
    </row>
    <row r="2394" spans="2:43">
      <c r="B2394"/>
      <c r="C2394"/>
      <c r="D2394"/>
      <c r="Q2394"/>
      <c r="AQ2394" s="20"/>
    </row>
    <row r="2395" spans="2:43">
      <c r="B2395"/>
      <c r="C2395"/>
      <c r="D2395"/>
      <c r="Q2395"/>
      <c r="AQ2395" s="20"/>
    </row>
    <row r="2396" spans="2:43">
      <c r="B2396"/>
      <c r="C2396"/>
      <c r="D2396"/>
      <c r="Q2396"/>
      <c r="AQ2396" s="20"/>
    </row>
    <row r="2397" spans="2:43">
      <c r="B2397"/>
      <c r="C2397"/>
      <c r="D2397"/>
      <c r="Q2397"/>
      <c r="AQ2397" s="20"/>
    </row>
    <row r="2398" spans="2:43">
      <c r="B2398"/>
      <c r="C2398"/>
      <c r="D2398"/>
      <c r="Q2398"/>
      <c r="AQ2398" s="20"/>
    </row>
    <row r="2399" spans="2:43">
      <c r="B2399"/>
      <c r="C2399"/>
      <c r="D2399"/>
      <c r="Q2399"/>
      <c r="AQ2399" s="20"/>
    </row>
    <row r="2400" spans="2:43">
      <c r="B2400"/>
      <c r="C2400"/>
      <c r="D2400"/>
      <c r="Q2400"/>
      <c r="AQ2400" s="20"/>
    </row>
    <row r="2401" spans="2:43">
      <c r="B2401"/>
      <c r="C2401"/>
      <c r="D2401"/>
      <c r="Q2401"/>
      <c r="AQ2401" s="20"/>
    </row>
    <row r="2402" spans="2:43">
      <c r="B2402"/>
      <c r="C2402"/>
      <c r="D2402"/>
      <c r="Q2402"/>
      <c r="AQ2402" s="20"/>
    </row>
    <row r="2403" spans="2:43">
      <c r="B2403"/>
      <c r="C2403"/>
      <c r="D2403"/>
      <c r="Q2403"/>
      <c r="AQ2403" s="20"/>
    </row>
    <row r="2404" spans="2:43">
      <c r="B2404"/>
      <c r="C2404"/>
      <c r="D2404"/>
      <c r="Q2404"/>
      <c r="AQ2404" s="20"/>
    </row>
    <row r="2405" spans="2:43">
      <c r="B2405"/>
      <c r="C2405"/>
      <c r="D2405"/>
      <c r="Q2405"/>
      <c r="AQ2405" s="20"/>
    </row>
    <row r="2406" spans="2:43">
      <c r="B2406"/>
      <c r="C2406"/>
      <c r="D2406"/>
      <c r="Q2406"/>
      <c r="AQ2406" s="20"/>
    </row>
    <row r="2407" spans="2:43">
      <c r="B2407"/>
      <c r="C2407"/>
      <c r="D2407"/>
      <c r="Q2407"/>
      <c r="AQ2407" s="20"/>
    </row>
    <row r="2408" spans="2:43">
      <c r="B2408"/>
      <c r="C2408"/>
      <c r="D2408"/>
      <c r="Q2408"/>
      <c r="AQ2408" s="20"/>
    </row>
    <row r="2409" spans="2:43">
      <c r="B2409"/>
      <c r="C2409"/>
      <c r="D2409"/>
      <c r="Q2409"/>
      <c r="AQ2409" s="20"/>
    </row>
    <row r="2410" spans="2:43">
      <c r="B2410"/>
      <c r="C2410"/>
      <c r="D2410"/>
      <c r="Q2410"/>
      <c r="AQ2410" s="20"/>
    </row>
    <row r="2411" spans="2:43">
      <c r="B2411"/>
      <c r="C2411"/>
      <c r="D2411"/>
      <c r="Q2411"/>
      <c r="AQ2411" s="20"/>
    </row>
    <row r="2412" spans="2:43">
      <c r="B2412"/>
      <c r="C2412"/>
      <c r="D2412"/>
      <c r="Q2412"/>
      <c r="AQ2412" s="20"/>
    </row>
    <row r="2413" spans="2:43">
      <c r="B2413"/>
      <c r="C2413"/>
      <c r="D2413"/>
      <c r="Q2413"/>
      <c r="AQ2413" s="20"/>
    </row>
    <row r="2414" spans="2:43">
      <c r="B2414"/>
      <c r="C2414"/>
      <c r="D2414"/>
      <c r="Q2414"/>
      <c r="AQ2414" s="20"/>
    </row>
    <row r="2415" spans="2:43">
      <c r="B2415"/>
      <c r="C2415"/>
      <c r="D2415"/>
      <c r="Q2415"/>
      <c r="AQ2415" s="20"/>
    </row>
    <row r="2416" spans="2:43">
      <c r="B2416"/>
      <c r="C2416"/>
      <c r="D2416"/>
      <c r="Q2416"/>
      <c r="AQ2416" s="20"/>
    </row>
    <row r="2417" spans="2:43">
      <c r="B2417"/>
      <c r="C2417"/>
      <c r="D2417"/>
      <c r="Q2417"/>
      <c r="AQ2417" s="20"/>
    </row>
    <row r="2418" spans="2:43">
      <c r="B2418"/>
      <c r="C2418"/>
      <c r="D2418"/>
      <c r="Q2418"/>
      <c r="AQ2418" s="20"/>
    </row>
    <row r="2419" spans="2:43">
      <c r="B2419"/>
      <c r="C2419"/>
      <c r="D2419"/>
      <c r="Q2419"/>
      <c r="AQ2419" s="20"/>
    </row>
    <row r="2420" spans="2:43">
      <c r="B2420"/>
      <c r="C2420"/>
      <c r="D2420"/>
      <c r="Q2420"/>
      <c r="AQ2420" s="20"/>
    </row>
    <row r="2421" spans="2:43">
      <c r="B2421"/>
      <c r="C2421"/>
      <c r="D2421"/>
      <c r="Q2421"/>
      <c r="AQ2421" s="20"/>
    </row>
    <row r="2422" spans="2:43">
      <c r="B2422"/>
      <c r="C2422"/>
      <c r="D2422"/>
      <c r="Q2422"/>
      <c r="AQ2422" s="20"/>
    </row>
    <row r="2423" spans="2:43">
      <c r="B2423"/>
      <c r="C2423"/>
      <c r="D2423"/>
      <c r="Q2423"/>
      <c r="AQ2423" s="20"/>
    </row>
    <row r="2424" spans="2:43">
      <c r="B2424"/>
      <c r="C2424"/>
      <c r="D2424"/>
      <c r="Q2424"/>
      <c r="AQ2424" s="20"/>
    </row>
    <row r="2425" spans="2:43">
      <c r="B2425"/>
      <c r="C2425"/>
      <c r="D2425"/>
      <c r="Q2425"/>
      <c r="AQ2425" s="20"/>
    </row>
    <row r="2426" spans="2:43">
      <c r="B2426"/>
      <c r="C2426"/>
      <c r="D2426"/>
      <c r="Q2426"/>
      <c r="AQ2426" s="20"/>
    </row>
    <row r="2427" spans="2:43">
      <c r="B2427"/>
      <c r="C2427"/>
      <c r="D2427"/>
      <c r="Q2427"/>
      <c r="AQ2427" s="20"/>
    </row>
    <row r="2428" spans="2:43">
      <c r="B2428"/>
      <c r="C2428"/>
      <c r="D2428"/>
      <c r="Q2428"/>
      <c r="AQ2428" s="20"/>
    </row>
    <row r="2429" spans="2:43">
      <c r="B2429"/>
      <c r="C2429"/>
      <c r="D2429"/>
      <c r="Q2429"/>
      <c r="AQ2429" s="20"/>
    </row>
    <row r="2430" spans="2:43">
      <c r="B2430"/>
      <c r="C2430"/>
      <c r="D2430"/>
      <c r="Q2430"/>
      <c r="AQ2430" s="20"/>
    </row>
    <row r="2431" spans="2:43">
      <c r="B2431"/>
      <c r="C2431"/>
      <c r="D2431"/>
      <c r="Q2431"/>
      <c r="AQ2431" s="20"/>
    </row>
    <row r="2432" spans="2:43">
      <c r="B2432"/>
      <c r="C2432"/>
      <c r="D2432"/>
      <c r="Q2432"/>
      <c r="AQ2432" s="20"/>
    </row>
    <row r="2433" spans="2:43">
      <c r="B2433"/>
      <c r="C2433"/>
      <c r="D2433"/>
      <c r="Q2433"/>
      <c r="AQ2433" s="20"/>
    </row>
    <row r="2434" spans="2:43">
      <c r="B2434"/>
      <c r="C2434"/>
      <c r="D2434"/>
      <c r="Q2434"/>
      <c r="AQ2434" s="20"/>
    </row>
    <row r="2435" spans="2:43">
      <c r="B2435"/>
      <c r="C2435"/>
      <c r="D2435"/>
      <c r="Q2435"/>
      <c r="AQ2435" s="20"/>
    </row>
    <row r="2436" spans="2:43">
      <c r="B2436"/>
      <c r="C2436"/>
      <c r="D2436"/>
      <c r="Q2436"/>
      <c r="AQ2436" s="20"/>
    </row>
    <row r="2437" spans="2:43">
      <c r="B2437"/>
      <c r="C2437"/>
      <c r="D2437"/>
      <c r="Q2437"/>
      <c r="AQ2437" s="20"/>
    </row>
    <row r="2438" spans="2:43">
      <c r="B2438"/>
      <c r="C2438"/>
      <c r="D2438"/>
      <c r="Q2438"/>
      <c r="AQ2438" s="20"/>
    </row>
    <row r="2439" spans="2:43">
      <c r="B2439"/>
      <c r="C2439"/>
      <c r="D2439"/>
      <c r="Q2439"/>
      <c r="AQ2439" s="20"/>
    </row>
    <row r="2440" spans="2:43">
      <c r="B2440"/>
      <c r="C2440"/>
      <c r="D2440"/>
      <c r="Q2440"/>
      <c r="AQ2440" s="20"/>
    </row>
    <row r="2441" spans="2:43">
      <c r="B2441"/>
      <c r="C2441"/>
      <c r="D2441"/>
      <c r="Q2441"/>
      <c r="AQ2441" s="20"/>
    </row>
    <row r="2442" spans="2:43">
      <c r="B2442"/>
      <c r="C2442"/>
      <c r="D2442"/>
      <c r="Q2442"/>
      <c r="AQ2442" s="20"/>
    </row>
    <row r="2443" spans="2:43">
      <c r="B2443"/>
      <c r="C2443"/>
      <c r="D2443"/>
      <c r="Q2443"/>
      <c r="AQ2443" s="20"/>
    </row>
    <row r="2444" spans="2:43">
      <c r="B2444"/>
      <c r="C2444"/>
      <c r="D2444"/>
      <c r="Q2444"/>
      <c r="AQ2444" s="20"/>
    </row>
    <row r="2445" spans="2:43">
      <c r="B2445"/>
      <c r="C2445"/>
      <c r="D2445"/>
      <c r="Q2445"/>
      <c r="AQ2445" s="20"/>
    </row>
    <row r="2446" spans="2:43">
      <c r="B2446"/>
      <c r="C2446"/>
      <c r="D2446"/>
      <c r="Q2446"/>
      <c r="AQ2446" s="20"/>
    </row>
    <row r="2447" spans="2:43">
      <c r="B2447"/>
      <c r="C2447"/>
      <c r="D2447"/>
      <c r="Q2447"/>
      <c r="AQ2447" s="20"/>
    </row>
    <row r="2448" spans="2:43">
      <c r="B2448"/>
      <c r="C2448"/>
      <c r="D2448"/>
      <c r="Q2448"/>
      <c r="AQ2448" s="20"/>
    </row>
    <row r="2449" spans="2:43">
      <c r="B2449"/>
      <c r="C2449"/>
      <c r="D2449"/>
      <c r="Q2449"/>
      <c r="AQ2449" s="20"/>
    </row>
    <row r="2450" spans="2:43">
      <c r="B2450"/>
      <c r="C2450"/>
      <c r="D2450"/>
      <c r="Q2450"/>
      <c r="AQ2450" s="20"/>
    </row>
    <row r="2451" spans="2:43">
      <c r="B2451"/>
      <c r="C2451"/>
      <c r="D2451"/>
      <c r="Q2451"/>
      <c r="AQ2451" s="20"/>
    </row>
    <row r="2452" spans="2:43">
      <c r="B2452"/>
      <c r="C2452"/>
      <c r="D2452"/>
      <c r="Q2452"/>
      <c r="AQ2452" s="20"/>
    </row>
    <row r="2453" spans="2:43">
      <c r="B2453"/>
      <c r="C2453"/>
      <c r="D2453"/>
      <c r="Q2453"/>
      <c r="AQ2453" s="20"/>
    </row>
    <row r="2454" spans="2:43">
      <c r="B2454"/>
      <c r="C2454"/>
      <c r="D2454"/>
      <c r="Q2454"/>
      <c r="AQ2454" s="20"/>
    </row>
    <row r="2455" spans="2:43">
      <c r="B2455"/>
      <c r="C2455"/>
      <c r="D2455"/>
      <c r="Q2455"/>
      <c r="AQ2455" s="20"/>
    </row>
    <row r="2456" spans="2:43">
      <c r="B2456"/>
      <c r="C2456"/>
      <c r="D2456"/>
      <c r="Q2456"/>
      <c r="AQ2456" s="20"/>
    </row>
    <row r="2457" spans="2:43">
      <c r="B2457"/>
      <c r="C2457"/>
      <c r="D2457"/>
      <c r="Q2457"/>
      <c r="AQ2457" s="20"/>
    </row>
    <row r="2458" spans="2:43">
      <c r="B2458"/>
      <c r="C2458"/>
      <c r="D2458"/>
      <c r="Q2458"/>
      <c r="AQ2458" s="20"/>
    </row>
    <row r="2459" spans="2:43">
      <c r="B2459"/>
      <c r="C2459"/>
      <c r="D2459"/>
      <c r="Q2459"/>
      <c r="AQ2459" s="20"/>
    </row>
    <row r="2460" spans="2:43">
      <c r="B2460"/>
      <c r="C2460"/>
      <c r="D2460"/>
      <c r="Q2460"/>
      <c r="AQ2460" s="20"/>
    </row>
    <row r="2461" spans="2:43">
      <c r="B2461"/>
      <c r="C2461"/>
      <c r="D2461"/>
      <c r="Q2461"/>
      <c r="AQ2461" s="20"/>
    </row>
    <row r="2462" spans="2:43">
      <c r="B2462"/>
      <c r="C2462"/>
      <c r="D2462"/>
      <c r="Q2462"/>
      <c r="AQ2462" s="20"/>
    </row>
    <row r="2463" spans="2:43">
      <c r="B2463"/>
      <c r="C2463"/>
      <c r="D2463"/>
      <c r="Q2463"/>
      <c r="AQ2463" s="20"/>
    </row>
    <row r="2464" spans="2:43">
      <c r="B2464"/>
      <c r="C2464"/>
      <c r="D2464"/>
      <c r="Q2464"/>
      <c r="AQ2464" s="20"/>
    </row>
    <row r="2465" spans="2:43">
      <c r="B2465"/>
      <c r="C2465"/>
      <c r="D2465"/>
      <c r="Q2465"/>
      <c r="AQ2465" s="20"/>
    </row>
    <row r="2466" spans="2:43">
      <c r="B2466"/>
      <c r="C2466"/>
      <c r="D2466"/>
      <c r="Q2466"/>
      <c r="AQ2466" s="20"/>
    </row>
    <row r="2467" spans="2:43">
      <c r="B2467"/>
      <c r="C2467"/>
      <c r="D2467"/>
      <c r="Q2467"/>
      <c r="AQ2467" s="20"/>
    </row>
    <row r="2468" spans="2:43">
      <c r="B2468"/>
      <c r="C2468"/>
      <c r="D2468"/>
      <c r="Q2468"/>
      <c r="AQ2468" s="20"/>
    </row>
    <row r="2469" spans="2:43">
      <c r="B2469"/>
      <c r="C2469"/>
      <c r="D2469"/>
      <c r="Q2469"/>
      <c r="AQ2469" s="20"/>
    </row>
    <row r="2470" spans="2:43">
      <c r="B2470"/>
      <c r="C2470"/>
      <c r="D2470"/>
      <c r="Q2470"/>
      <c r="AQ2470" s="20"/>
    </row>
    <row r="2471" spans="2:43">
      <c r="B2471"/>
      <c r="C2471"/>
      <c r="D2471"/>
      <c r="Q2471"/>
      <c r="AQ2471" s="20"/>
    </row>
    <row r="2472" spans="2:43">
      <c r="B2472"/>
      <c r="C2472"/>
      <c r="D2472"/>
      <c r="Q2472"/>
      <c r="AQ2472" s="20"/>
    </row>
    <row r="2473" spans="2:43">
      <c r="B2473"/>
      <c r="C2473"/>
      <c r="D2473"/>
      <c r="Q2473"/>
      <c r="AQ2473" s="20"/>
    </row>
    <row r="2474" spans="2:43">
      <c r="B2474"/>
      <c r="C2474"/>
      <c r="D2474"/>
      <c r="Q2474"/>
      <c r="AQ2474" s="20"/>
    </row>
    <row r="2475" spans="2:43">
      <c r="B2475"/>
      <c r="C2475"/>
      <c r="D2475"/>
      <c r="Q2475"/>
      <c r="AQ2475" s="20"/>
    </row>
    <row r="2476" spans="2:43">
      <c r="B2476"/>
      <c r="C2476"/>
      <c r="D2476"/>
      <c r="Q2476"/>
      <c r="AQ2476" s="20"/>
    </row>
    <row r="2477" spans="2:43">
      <c r="B2477"/>
      <c r="C2477"/>
      <c r="D2477"/>
      <c r="Q2477"/>
      <c r="AQ2477" s="20"/>
    </row>
    <row r="2478" spans="2:43">
      <c r="B2478"/>
      <c r="C2478"/>
      <c r="D2478"/>
      <c r="Q2478"/>
      <c r="AQ2478" s="20"/>
    </row>
    <row r="2479" spans="2:43">
      <c r="B2479"/>
      <c r="C2479"/>
      <c r="D2479"/>
      <c r="Q2479"/>
      <c r="AQ2479" s="20"/>
    </row>
    <row r="2480" spans="2:43">
      <c r="B2480"/>
      <c r="C2480"/>
      <c r="D2480"/>
      <c r="Q2480"/>
      <c r="AQ2480" s="20"/>
    </row>
    <row r="2481" spans="2:43">
      <c r="B2481"/>
      <c r="C2481"/>
      <c r="D2481"/>
      <c r="Q2481"/>
      <c r="AQ2481" s="20"/>
    </row>
    <row r="2482" spans="2:43">
      <c r="B2482"/>
      <c r="C2482"/>
      <c r="D2482"/>
      <c r="Q2482"/>
      <c r="AQ2482" s="20"/>
    </row>
    <row r="2483" spans="2:43">
      <c r="B2483"/>
      <c r="C2483"/>
      <c r="D2483"/>
      <c r="Q2483"/>
      <c r="AQ2483" s="20"/>
    </row>
    <row r="2484" spans="2:43">
      <c r="B2484"/>
      <c r="C2484"/>
      <c r="D2484"/>
      <c r="Q2484"/>
      <c r="AQ2484" s="20"/>
    </row>
    <row r="2485" spans="2:43">
      <c r="B2485"/>
      <c r="C2485"/>
      <c r="D2485"/>
      <c r="Q2485"/>
      <c r="AQ2485" s="20"/>
    </row>
    <row r="2486" spans="2:43">
      <c r="B2486"/>
      <c r="C2486"/>
      <c r="D2486"/>
      <c r="Q2486"/>
      <c r="AQ2486" s="20"/>
    </row>
    <row r="2487" spans="2:43">
      <c r="B2487"/>
      <c r="C2487"/>
      <c r="D2487"/>
      <c r="Q2487"/>
      <c r="AQ2487" s="20"/>
    </row>
    <row r="2488" spans="2:43">
      <c r="B2488"/>
      <c r="C2488"/>
      <c r="D2488"/>
      <c r="Q2488"/>
      <c r="AQ2488" s="20"/>
    </row>
    <row r="2489" spans="2:43">
      <c r="B2489"/>
      <c r="C2489"/>
      <c r="D2489"/>
      <c r="Q2489"/>
      <c r="AQ2489" s="20"/>
    </row>
    <row r="2490" spans="2:43">
      <c r="B2490"/>
      <c r="C2490"/>
      <c r="D2490"/>
      <c r="Q2490"/>
      <c r="AQ2490" s="20"/>
    </row>
    <row r="2491" spans="2:43">
      <c r="B2491"/>
      <c r="C2491"/>
      <c r="D2491"/>
      <c r="Q2491"/>
      <c r="AQ2491" s="20"/>
    </row>
    <row r="2492" spans="2:43">
      <c r="B2492"/>
      <c r="C2492"/>
      <c r="D2492"/>
      <c r="Q2492"/>
      <c r="AQ2492" s="20"/>
    </row>
    <row r="2493" spans="2:43">
      <c r="B2493"/>
      <c r="C2493"/>
      <c r="D2493"/>
      <c r="Q2493"/>
      <c r="AQ2493" s="20"/>
    </row>
    <row r="2494" spans="2:43">
      <c r="B2494"/>
      <c r="C2494"/>
      <c r="D2494"/>
      <c r="Q2494"/>
      <c r="AQ2494" s="20"/>
    </row>
    <row r="2495" spans="2:43">
      <c r="B2495"/>
      <c r="C2495"/>
      <c r="D2495"/>
      <c r="Q2495"/>
      <c r="AQ2495" s="20"/>
    </row>
    <row r="2496" spans="2:43">
      <c r="B2496"/>
      <c r="C2496"/>
      <c r="D2496"/>
      <c r="Q2496"/>
      <c r="AQ2496" s="20"/>
    </row>
    <row r="2497" spans="2:43">
      <c r="B2497"/>
      <c r="C2497"/>
      <c r="D2497"/>
      <c r="Q2497"/>
      <c r="AQ2497" s="20"/>
    </row>
    <row r="2498" spans="2:43">
      <c r="B2498"/>
      <c r="C2498"/>
      <c r="D2498"/>
      <c r="Q2498"/>
      <c r="AQ2498" s="20"/>
    </row>
    <row r="2499" spans="2:43">
      <c r="B2499"/>
      <c r="C2499"/>
      <c r="D2499"/>
      <c r="Q2499"/>
      <c r="AQ2499" s="20"/>
    </row>
    <row r="2500" spans="2:43">
      <c r="B2500"/>
      <c r="C2500"/>
      <c r="D2500"/>
      <c r="Q2500"/>
      <c r="AQ2500" s="20"/>
    </row>
    <row r="2501" spans="2:43">
      <c r="B2501"/>
      <c r="C2501"/>
      <c r="D2501"/>
      <c r="Q2501"/>
      <c r="AQ2501" s="20"/>
    </row>
    <row r="2502" spans="2:43">
      <c r="B2502"/>
      <c r="C2502"/>
      <c r="D2502"/>
      <c r="Q2502"/>
      <c r="AQ2502" s="20"/>
    </row>
    <row r="2503" spans="2:43">
      <c r="B2503"/>
      <c r="C2503"/>
      <c r="D2503"/>
      <c r="Q2503"/>
      <c r="AQ2503" s="20"/>
    </row>
    <row r="2504" spans="2:43">
      <c r="B2504"/>
      <c r="C2504"/>
      <c r="D2504"/>
      <c r="Q2504"/>
      <c r="AQ2504" s="20"/>
    </row>
    <row r="2505" spans="2:43">
      <c r="B2505"/>
      <c r="C2505"/>
      <c r="D2505"/>
      <c r="Q2505"/>
      <c r="AQ2505" s="20"/>
    </row>
    <row r="2506" spans="2:43">
      <c r="B2506"/>
      <c r="C2506"/>
      <c r="D2506"/>
      <c r="Q2506"/>
      <c r="AQ2506" s="20"/>
    </row>
    <row r="2507" spans="2:43">
      <c r="B2507"/>
      <c r="C2507"/>
      <c r="D2507"/>
      <c r="Q2507"/>
      <c r="AQ2507" s="20"/>
    </row>
    <row r="2508" spans="2:43">
      <c r="B2508"/>
      <c r="C2508"/>
      <c r="D2508"/>
      <c r="Q2508"/>
      <c r="AQ2508" s="20"/>
    </row>
    <row r="2509" spans="2:43">
      <c r="B2509"/>
      <c r="C2509"/>
      <c r="D2509"/>
      <c r="Q2509"/>
      <c r="AQ2509" s="20"/>
    </row>
    <row r="2510" spans="2:43">
      <c r="B2510"/>
      <c r="C2510"/>
      <c r="D2510"/>
      <c r="Q2510"/>
      <c r="AQ2510" s="20"/>
    </row>
    <row r="2511" spans="2:43">
      <c r="B2511"/>
      <c r="C2511"/>
      <c r="D2511"/>
      <c r="Q2511"/>
      <c r="AQ2511" s="20"/>
    </row>
    <row r="2512" spans="2:43">
      <c r="B2512"/>
      <c r="C2512"/>
      <c r="D2512"/>
      <c r="Q2512"/>
      <c r="AQ2512" s="20"/>
    </row>
    <row r="2513" spans="2:43">
      <c r="B2513"/>
      <c r="C2513"/>
      <c r="D2513"/>
      <c r="Q2513"/>
      <c r="AQ2513" s="20"/>
    </row>
    <row r="2514" spans="2:43">
      <c r="B2514"/>
      <c r="C2514"/>
      <c r="D2514"/>
      <c r="Q2514"/>
      <c r="AQ2514" s="20"/>
    </row>
    <row r="2515" spans="2:43">
      <c r="B2515"/>
      <c r="C2515"/>
      <c r="D2515"/>
      <c r="Q2515"/>
      <c r="AQ2515" s="20"/>
    </row>
    <row r="2516" spans="2:43">
      <c r="B2516"/>
      <c r="C2516"/>
      <c r="D2516"/>
      <c r="Q2516"/>
      <c r="AQ2516" s="20"/>
    </row>
    <row r="2517" spans="2:43">
      <c r="B2517"/>
      <c r="C2517"/>
      <c r="D2517"/>
      <c r="Q2517"/>
      <c r="AQ2517" s="20"/>
    </row>
    <row r="2518" spans="2:43">
      <c r="B2518"/>
      <c r="C2518"/>
      <c r="D2518"/>
      <c r="Q2518"/>
      <c r="AQ2518" s="20"/>
    </row>
    <row r="2519" spans="2:43">
      <c r="B2519"/>
      <c r="C2519"/>
      <c r="D2519"/>
      <c r="Q2519"/>
      <c r="AQ2519" s="20"/>
    </row>
    <row r="2520" spans="2:43">
      <c r="B2520"/>
      <c r="C2520"/>
      <c r="D2520"/>
      <c r="Q2520"/>
      <c r="AQ2520" s="20"/>
    </row>
    <row r="2521" spans="2:43">
      <c r="B2521"/>
      <c r="C2521"/>
      <c r="D2521"/>
      <c r="Q2521"/>
      <c r="AQ2521" s="20"/>
    </row>
    <row r="2522" spans="2:43">
      <c r="B2522"/>
      <c r="C2522"/>
      <c r="D2522"/>
      <c r="Q2522"/>
      <c r="AQ2522" s="20"/>
    </row>
    <row r="2523" spans="2:43">
      <c r="B2523"/>
      <c r="C2523"/>
      <c r="D2523"/>
      <c r="Q2523"/>
      <c r="AQ2523" s="20"/>
    </row>
    <row r="2524" spans="2:43">
      <c r="B2524"/>
      <c r="C2524"/>
      <c r="D2524"/>
      <c r="Q2524"/>
      <c r="AQ2524" s="20"/>
    </row>
    <row r="2525" spans="2:43">
      <c r="B2525"/>
      <c r="C2525"/>
      <c r="D2525"/>
      <c r="Q2525"/>
      <c r="AQ2525" s="20"/>
    </row>
    <row r="2526" spans="2:43">
      <c r="B2526"/>
      <c r="C2526"/>
      <c r="D2526"/>
      <c r="Q2526"/>
      <c r="AQ2526" s="20"/>
    </row>
    <row r="2527" spans="2:43">
      <c r="B2527"/>
      <c r="C2527"/>
      <c r="D2527"/>
      <c r="Q2527"/>
      <c r="AQ2527" s="20"/>
    </row>
    <row r="2528" spans="2:43">
      <c r="B2528"/>
      <c r="C2528"/>
      <c r="D2528"/>
      <c r="Q2528"/>
      <c r="AQ2528" s="20"/>
    </row>
    <row r="2529" spans="2:43">
      <c r="B2529"/>
      <c r="C2529"/>
      <c r="D2529"/>
      <c r="Q2529"/>
      <c r="AQ2529" s="20"/>
    </row>
    <row r="2530" spans="2:43">
      <c r="B2530"/>
      <c r="C2530"/>
      <c r="D2530"/>
      <c r="Q2530"/>
      <c r="AQ2530" s="20"/>
    </row>
    <row r="2531" spans="2:43">
      <c r="B2531"/>
      <c r="C2531"/>
      <c r="D2531"/>
      <c r="Q2531"/>
      <c r="AQ2531" s="20"/>
    </row>
    <row r="2532" spans="2:43">
      <c r="B2532"/>
      <c r="C2532"/>
      <c r="D2532"/>
      <c r="Q2532"/>
      <c r="AQ2532" s="20"/>
    </row>
    <row r="2533" spans="2:43">
      <c r="B2533"/>
      <c r="C2533"/>
      <c r="D2533"/>
      <c r="Q2533"/>
      <c r="AQ2533" s="20"/>
    </row>
    <row r="2534" spans="2:43">
      <c r="B2534"/>
      <c r="C2534"/>
      <c r="D2534"/>
      <c r="Q2534"/>
      <c r="AQ2534" s="20"/>
    </row>
    <row r="2535" spans="2:43">
      <c r="B2535"/>
      <c r="C2535"/>
      <c r="D2535"/>
      <c r="Q2535"/>
      <c r="AQ2535" s="20"/>
    </row>
    <row r="2536" spans="2:43">
      <c r="B2536"/>
      <c r="C2536"/>
      <c r="D2536"/>
      <c r="Q2536"/>
      <c r="AQ2536" s="20"/>
    </row>
    <row r="2537" spans="2:43">
      <c r="B2537"/>
      <c r="C2537"/>
      <c r="D2537"/>
      <c r="Q2537"/>
      <c r="AQ2537" s="20"/>
    </row>
    <row r="2538" spans="2:43">
      <c r="B2538"/>
      <c r="C2538"/>
      <c r="D2538"/>
      <c r="Q2538"/>
      <c r="AQ2538" s="20"/>
    </row>
    <row r="2539" spans="2:43">
      <c r="B2539"/>
      <c r="C2539"/>
      <c r="D2539"/>
      <c r="Q2539"/>
      <c r="AQ2539" s="20"/>
    </row>
    <row r="2540" spans="2:43">
      <c r="B2540"/>
      <c r="C2540"/>
      <c r="D2540"/>
      <c r="Q2540"/>
      <c r="AQ2540" s="20"/>
    </row>
    <row r="2541" spans="2:43">
      <c r="B2541"/>
      <c r="C2541"/>
      <c r="D2541"/>
      <c r="Q2541"/>
      <c r="AQ2541" s="20"/>
    </row>
    <row r="2542" spans="2:43">
      <c r="B2542"/>
      <c r="C2542"/>
      <c r="D2542"/>
      <c r="Q2542"/>
      <c r="AQ2542" s="20"/>
    </row>
    <row r="2543" spans="2:43">
      <c r="B2543"/>
      <c r="C2543"/>
      <c r="D2543"/>
      <c r="Q2543"/>
      <c r="AQ2543" s="20"/>
    </row>
    <row r="2544" spans="2:43">
      <c r="B2544"/>
      <c r="C2544"/>
      <c r="D2544"/>
      <c r="Q2544"/>
      <c r="AQ2544" s="20"/>
    </row>
    <row r="2545" spans="2:43">
      <c r="B2545"/>
      <c r="C2545"/>
      <c r="D2545"/>
      <c r="Q2545"/>
      <c r="AQ2545" s="20"/>
    </row>
    <row r="2546" spans="2:43">
      <c r="B2546"/>
      <c r="C2546"/>
      <c r="D2546"/>
      <c r="Q2546"/>
      <c r="AQ2546" s="20"/>
    </row>
    <row r="2547" spans="2:43">
      <c r="B2547"/>
      <c r="C2547"/>
      <c r="D2547"/>
      <c r="Q2547"/>
      <c r="AQ2547" s="20"/>
    </row>
    <row r="2548" spans="2:43">
      <c r="B2548"/>
      <c r="C2548"/>
      <c r="D2548"/>
      <c r="Q2548"/>
      <c r="AQ2548" s="20"/>
    </row>
    <row r="2549" spans="2:43">
      <c r="B2549"/>
      <c r="C2549"/>
      <c r="D2549"/>
      <c r="Q2549"/>
      <c r="AQ2549" s="20"/>
    </row>
    <row r="2550" spans="2:43">
      <c r="B2550"/>
      <c r="C2550"/>
      <c r="D2550"/>
      <c r="Q2550"/>
      <c r="AQ2550" s="20"/>
    </row>
    <row r="2551" spans="2:43">
      <c r="B2551"/>
      <c r="C2551"/>
      <c r="D2551"/>
      <c r="Q2551"/>
      <c r="AQ2551" s="20"/>
    </row>
    <row r="2552" spans="2:43">
      <c r="B2552"/>
      <c r="C2552"/>
      <c r="D2552"/>
      <c r="Q2552"/>
      <c r="AQ2552" s="20"/>
    </row>
    <row r="2553" spans="2:43">
      <c r="B2553"/>
      <c r="C2553"/>
      <c r="D2553"/>
      <c r="Q2553"/>
      <c r="AQ2553" s="20"/>
    </row>
    <row r="2554" spans="2:43">
      <c r="B2554"/>
      <c r="C2554"/>
      <c r="D2554"/>
      <c r="Q2554"/>
      <c r="AQ2554" s="20"/>
    </row>
    <row r="2555" spans="2:43">
      <c r="B2555"/>
      <c r="C2555"/>
      <c r="D2555"/>
      <c r="Q2555"/>
      <c r="AQ2555" s="20"/>
    </row>
    <row r="2556" spans="2:43">
      <c r="B2556"/>
      <c r="C2556"/>
      <c r="D2556"/>
      <c r="Q2556"/>
      <c r="AQ2556" s="20"/>
    </row>
    <row r="2557" spans="2:43">
      <c r="B2557"/>
      <c r="C2557"/>
      <c r="D2557"/>
      <c r="Q2557"/>
      <c r="AQ2557" s="20"/>
    </row>
    <row r="2558" spans="2:43">
      <c r="B2558"/>
      <c r="C2558"/>
      <c r="D2558"/>
      <c r="Q2558"/>
      <c r="AQ2558" s="20"/>
    </row>
    <row r="2559" spans="2:43">
      <c r="B2559"/>
      <c r="C2559"/>
      <c r="D2559"/>
      <c r="Q2559"/>
      <c r="AQ2559" s="20"/>
    </row>
    <row r="2560" spans="2:43">
      <c r="B2560"/>
      <c r="C2560"/>
      <c r="D2560"/>
      <c r="Q2560"/>
      <c r="AQ2560" s="20"/>
    </row>
    <row r="2561" spans="2:43">
      <c r="B2561"/>
      <c r="C2561"/>
      <c r="D2561"/>
      <c r="Q2561"/>
      <c r="AQ2561" s="20"/>
    </row>
    <row r="2562" spans="2:43">
      <c r="B2562"/>
      <c r="C2562"/>
      <c r="D2562"/>
      <c r="Q2562"/>
      <c r="AQ2562" s="20"/>
    </row>
    <row r="2563" spans="2:43">
      <c r="B2563"/>
      <c r="C2563"/>
      <c r="D2563"/>
      <c r="Q2563"/>
      <c r="AQ2563" s="20"/>
    </row>
    <row r="2564" spans="2:43">
      <c r="B2564"/>
      <c r="C2564"/>
      <c r="D2564"/>
      <c r="Q2564"/>
      <c r="AQ2564" s="20"/>
    </row>
    <row r="2565" spans="2:43">
      <c r="B2565"/>
      <c r="C2565"/>
      <c r="D2565"/>
      <c r="Q2565"/>
      <c r="AQ2565" s="20"/>
    </row>
    <row r="2566" spans="2:43">
      <c r="B2566"/>
      <c r="C2566"/>
      <c r="D2566"/>
      <c r="Q2566"/>
      <c r="AQ2566" s="20"/>
    </row>
    <row r="2567" spans="2:43">
      <c r="B2567"/>
      <c r="C2567"/>
      <c r="D2567"/>
      <c r="Q2567"/>
      <c r="AQ2567" s="20"/>
    </row>
    <row r="2568" spans="2:43">
      <c r="B2568"/>
      <c r="C2568"/>
      <c r="D2568"/>
      <c r="Q2568"/>
      <c r="AQ2568" s="20"/>
    </row>
    <row r="2569" spans="2:43">
      <c r="B2569"/>
      <c r="C2569"/>
      <c r="D2569"/>
      <c r="Q2569"/>
      <c r="AQ2569" s="20"/>
    </row>
    <row r="2570" spans="2:43">
      <c r="B2570"/>
      <c r="C2570"/>
      <c r="D2570"/>
      <c r="Q2570"/>
      <c r="AQ2570" s="20"/>
    </row>
    <row r="2571" spans="2:43">
      <c r="B2571"/>
      <c r="C2571"/>
      <c r="D2571"/>
      <c r="Q2571"/>
      <c r="AQ2571" s="20"/>
    </row>
    <row r="2572" spans="2:43">
      <c r="B2572"/>
      <c r="C2572"/>
      <c r="D2572"/>
      <c r="Q2572"/>
      <c r="AQ2572" s="20"/>
    </row>
    <row r="2573" spans="2:43">
      <c r="B2573"/>
      <c r="C2573"/>
      <c r="D2573"/>
      <c r="Q2573"/>
      <c r="AQ2573" s="20"/>
    </row>
    <row r="2574" spans="2:43">
      <c r="B2574"/>
      <c r="C2574"/>
      <c r="D2574"/>
      <c r="Q2574"/>
      <c r="AQ2574" s="20"/>
    </row>
    <row r="2575" spans="2:43">
      <c r="B2575"/>
      <c r="C2575"/>
      <c r="D2575"/>
      <c r="Q2575"/>
      <c r="AQ2575" s="20"/>
    </row>
    <row r="2576" spans="2:43">
      <c r="B2576"/>
      <c r="C2576"/>
      <c r="D2576"/>
      <c r="Q2576"/>
      <c r="AQ2576" s="20"/>
    </row>
    <row r="2577" spans="2:43">
      <c r="B2577"/>
      <c r="C2577"/>
      <c r="D2577"/>
      <c r="Q2577"/>
      <c r="AQ2577" s="20"/>
    </row>
    <row r="2578" spans="2:43">
      <c r="B2578"/>
      <c r="C2578"/>
      <c r="D2578"/>
      <c r="Q2578"/>
      <c r="AQ2578" s="20"/>
    </row>
    <row r="2579" spans="2:43">
      <c r="B2579"/>
      <c r="C2579"/>
      <c r="D2579"/>
      <c r="Q2579"/>
      <c r="AQ2579" s="20"/>
    </row>
    <row r="2580" spans="2:43">
      <c r="B2580"/>
      <c r="C2580"/>
      <c r="D2580"/>
      <c r="Q2580"/>
      <c r="AQ2580" s="20"/>
    </row>
    <row r="2581" spans="2:43">
      <c r="B2581"/>
      <c r="C2581"/>
      <c r="D2581"/>
      <c r="Q2581"/>
      <c r="AQ2581" s="20"/>
    </row>
    <row r="2582" spans="2:43">
      <c r="B2582"/>
      <c r="C2582"/>
      <c r="D2582"/>
      <c r="Q2582"/>
      <c r="AQ2582" s="20"/>
    </row>
    <row r="2583" spans="2:43">
      <c r="B2583"/>
      <c r="C2583"/>
      <c r="D2583"/>
      <c r="Q2583"/>
      <c r="AQ2583" s="20"/>
    </row>
    <row r="2584" spans="2:43">
      <c r="B2584"/>
      <c r="C2584"/>
      <c r="D2584"/>
      <c r="Q2584"/>
      <c r="AQ2584" s="20"/>
    </row>
    <row r="2585" spans="2:43">
      <c r="B2585"/>
      <c r="C2585"/>
      <c r="D2585"/>
      <c r="Q2585"/>
      <c r="AQ2585" s="20"/>
    </row>
    <row r="2586" spans="2:43">
      <c r="B2586"/>
      <c r="C2586"/>
      <c r="D2586"/>
      <c r="Q2586"/>
      <c r="AQ2586" s="20"/>
    </row>
    <row r="2587" spans="2:43">
      <c r="B2587"/>
      <c r="C2587"/>
      <c r="D2587"/>
      <c r="Q2587"/>
      <c r="AQ2587" s="20"/>
    </row>
    <row r="2588" spans="2:43">
      <c r="B2588"/>
      <c r="C2588"/>
      <c r="D2588"/>
      <c r="Q2588"/>
      <c r="AQ2588" s="20"/>
    </row>
    <row r="2589" spans="2:43">
      <c r="B2589"/>
      <c r="C2589"/>
      <c r="D2589"/>
      <c r="Q2589"/>
      <c r="AQ2589" s="20"/>
    </row>
    <row r="2590" spans="2:43">
      <c r="B2590"/>
      <c r="C2590"/>
      <c r="D2590"/>
      <c r="Q2590"/>
      <c r="AQ2590" s="20"/>
    </row>
    <row r="2591" spans="2:43">
      <c r="B2591"/>
      <c r="C2591"/>
      <c r="D2591"/>
      <c r="Q2591"/>
      <c r="AQ2591" s="20"/>
    </row>
    <row r="2592" spans="2:43">
      <c r="B2592"/>
      <c r="C2592"/>
      <c r="D2592"/>
      <c r="Q2592"/>
      <c r="AQ2592" s="20"/>
    </row>
    <row r="2593" spans="2:43">
      <c r="B2593"/>
      <c r="C2593"/>
      <c r="D2593"/>
      <c r="Q2593"/>
      <c r="AQ2593" s="20"/>
    </row>
    <row r="2594" spans="2:43">
      <c r="B2594"/>
      <c r="C2594"/>
      <c r="D2594"/>
      <c r="Q2594"/>
      <c r="AQ2594" s="20"/>
    </row>
    <row r="2595" spans="2:43">
      <c r="B2595"/>
      <c r="C2595"/>
      <c r="D2595"/>
      <c r="Q2595"/>
      <c r="AQ2595" s="20"/>
    </row>
    <row r="2596" spans="2:43">
      <c r="B2596"/>
      <c r="C2596"/>
      <c r="D2596"/>
      <c r="Q2596"/>
      <c r="AQ2596" s="20"/>
    </row>
    <row r="2597" spans="2:43">
      <c r="B2597"/>
      <c r="C2597"/>
      <c r="D2597"/>
      <c r="Q2597"/>
      <c r="AQ2597" s="20"/>
    </row>
    <row r="2598" spans="2:43">
      <c r="B2598"/>
      <c r="C2598"/>
      <c r="D2598"/>
      <c r="Q2598"/>
      <c r="AQ2598" s="20"/>
    </row>
    <row r="2599" spans="2:43">
      <c r="B2599"/>
      <c r="C2599"/>
      <c r="D2599"/>
      <c r="Q2599"/>
      <c r="AQ2599" s="20"/>
    </row>
    <row r="2600" spans="2:43">
      <c r="B2600"/>
      <c r="C2600"/>
      <c r="D2600"/>
      <c r="Q2600"/>
      <c r="AQ2600" s="20"/>
    </row>
    <row r="2601" spans="2:43">
      <c r="B2601"/>
      <c r="C2601"/>
      <c r="D2601"/>
      <c r="Q2601"/>
      <c r="AQ2601" s="20"/>
    </row>
    <row r="2602" spans="2:43">
      <c r="B2602"/>
      <c r="C2602"/>
      <c r="D2602"/>
      <c r="Q2602"/>
      <c r="AQ2602" s="20"/>
    </row>
    <row r="2603" spans="2:43">
      <c r="B2603"/>
      <c r="C2603"/>
      <c r="D2603"/>
      <c r="Q2603"/>
      <c r="AQ2603" s="20"/>
    </row>
    <row r="2604" spans="2:43">
      <c r="B2604"/>
      <c r="C2604"/>
      <c r="D2604"/>
      <c r="Q2604"/>
      <c r="AQ2604" s="20"/>
    </row>
    <row r="2605" spans="2:43">
      <c r="B2605"/>
      <c r="C2605"/>
      <c r="D2605"/>
      <c r="Q2605"/>
      <c r="AQ2605" s="20"/>
    </row>
    <row r="2606" spans="2:43">
      <c r="B2606"/>
      <c r="C2606"/>
      <c r="D2606"/>
      <c r="Q2606"/>
      <c r="AQ2606" s="20"/>
    </row>
    <row r="2607" spans="2:43">
      <c r="B2607"/>
      <c r="C2607"/>
      <c r="D2607"/>
      <c r="Q2607"/>
      <c r="AQ2607" s="20"/>
    </row>
    <row r="2608" spans="2:43">
      <c r="B2608"/>
      <c r="C2608"/>
      <c r="D2608"/>
      <c r="Q2608"/>
      <c r="AQ2608" s="20"/>
    </row>
    <row r="2609" spans="2:43">
      <c r="B2609"/>
      <c r="C2609"/>
      <c r="D2609"/>
      <c r="Q2609"/>
      <c r="AQ2609" s="20"/>
    </row>
    <row r="2610" spans="2:43">
      <c r="B2610"/>
      <c r="C2610"/>
      <c r="D2610"/>
      <c r="Q2610"/>
      <c r="AQ2610" s="20"/>
    </row>
    <row r="2611" spans="2:43">
      <c r="B2611"/>
      <c r="C2611"/>
      <c r="D2611"/>
      <c r="Q2611"/>
      <c r="AQ2611" s="20"/>
    </row>
    <row r="2612" spans="2:43">
      <c r="B2612"/>
      <c r="C2612"/>
      <c r="D2612"/>
      <c r="Q2612"/>
      <c r="AQ2612" s="20"/>
    </row>
    <row r="2613" spans="2:43">
      <c r="B2613"/>
      <c r="C2613"/>
      <c r="D2613"/>
      <c r="Q2613"/>
      <c r="AQ2613" s="20"/>
    </row>
    <row r="2614" spans="2:43">
      <c r="B2614"/>
      <c r="C2614"/>
      <c r="D2614"/>
      <c r="Q2614"/>
      <c r="AQ2614" s="20"/>
    </row>
    <row r="2615" spans="2:43">
      <c r="B2615"/>
      <c r="C2615"/>
      <c r="D2615"/>
      <c r="Q2615"/>
      <c r="AQ2615" s="20"/>
    </row>
    <row r="2616" spans="2:43">
      <c r="B2616"/>
      <c r="C2616"/>
      <c r="D2616"/>
      <c r="Q2616"/>
      <c r="AQ2616" s="20"/>
    </row>
    <row r="2617" spans="2:43">
      <c r="B2617"/>
      <c r="C2617"/>
      <c r="D2617"/>
      <c r="Q2617"/>
      <c r="AQ2617" s="20"/>
    </row>
    <row r="2618" spans="2:43">
      <c r="B2618"/>
      <c r="C2618"/>
      <c r="D2618"/>
      <c r="Q2618"/>
      <c r="AQ2618" s="20"/>
    </row>
    <row r="2619" spans="2:43">
      <c r="B2619"/>
      <c r="C2619"/>
      <c r="D2619"/>
      <c r="Q2619"/>
      <c r="AQ2619" s="20"/>
    </row>
    <row r="2620" spans="2:43">
      <c r="B2620"/>
      <c r="C2620"/>
      <c r="D2620"/>
      <c r="Q2620"/>
      <c r="AQ2620" s="20"/>
    </row>
    <row r="2621" spans="2:43">
      <c r="B2621"/>
      <c r="C2621"/>
      <c r="D2621"/>
      <c r="Q2621"/>
      <c r="AQ2621" s="20"/>
    </row>
    <row r="2622" spans="2:43">
      <c r="B2622"/>
      <c r="C2622"/>
      <c r="D2622"/>
      <c r="Q2622"/>
      <c r="AQ2622" s="20"/>
    </row>
    <row r="2623" spans="2:43">
      <c r="B2623"/>
      <c r="C2623"/>
      <c r="D2623"/>
      <c r="Q2623"/>
      <c r="AQ2623" s="20"/>
    </row>
    <row r="2624" spans="2:43">
      <c r="B2624"/>
      <c r="C2624"/>
      <c r="D2624"/>
      <c r="Q2624"/>
      <c r="AQ2624" s="20"/>
    </row>
    <row r="2625" spans="2:43">
      <c r="B2625"/>
      <c r="C2625"/>
      <c r="D2625"/>
      <c r="Q2625"/>
      <c r="AQ2625" s="20"/>
    </row>
    <row r="2626" spans="2:43">
      <c r="B2626"/>
      <c r="C2626"/>
      <c r="D2626"/>
      <c r="Q2626"/>
      <c r="AQ2626" s="20"/>
    </row>
    <row r="2627" spans="2:43">
      <c r="B2627"/>
      <c r="C2627"/>
      <c r="D2627"/>
      <c r="Q2627"/>
      <c r="AQ2627" s="20"/>
    </row>
    <row r="2628" spans="2:43">
      <c r="B2628"/>
      <c r="C2628"/>
      <c r="D2628"/>
      <c r="Q2628"/>
      <c r="AQ2628" s="20"/>
    </row>
    <row r="2629" spans="2:43">
      <c r="B2629"/>
      <c r="C2629"/>
      <c r="D2629"/>
      <c r="Q2629"/>
      <c r="AQ2629" s="20"/>
    </row>
    <row r="2630" spans="2:43">
      <c r="B2630"/>
      <c r="C2630"/>
      <c r="D2630"/>
      <c r="Q2630"/>
      <c r="AQ2630" s="20"/>
    </row>
    <row r="2631" spans="2:43">
      <c r="B2631"/>
      <c r="C2631"/>
      <c r="D2631"/>
      <c r="Q2631"/>
      <c r="AQ2631" s="20"/>
    </row>
    <row r="2632" spans="2:43">
      <c r="B2632"/>
      <c r="C2632"/>
      <c r="D2632"/>
      <c r="Q2632"/>
      <c r="AQ2632" s="20"/>
    </row>
    <row r="2633" spans="2:43">
      <c r="B2633"/>
      <c r="C2633"/>
      <c r="D2633"/>
      <c r="Q2633"/>
      <c r="AQ2633" s="20"/>
    </row>
    <row r="2634" spans="2:43">
      <c r="B2634"/>
      <c r="C2634"/>
      <c r="D2634"/>
      <c r="Q2634"/>
      <c r="AQ2634" s="20"/>
    </row>
    <row r="2635" spans="2:43">
      <c r="B2635"/>
      <c r="C2635"/>
      <c r="D2635"/>
      <c r="Q2635"/>
      <c r="AQ2635" s="20"/>
    </row>
    <row r="2636" spans="2:43">
      <c r="B2636"/>
      <c r="C2636"/>
      <c r="D2636"/>
      <c r="Q2636"/>
      <c r="AQ2636" s="20"/>
    </row>
    <row r="2637" spans="2:43">
      <c r="B2637"/>
      <c r="C2637"/>
      <c r="D2637"/>
      <c r="Q2637"/>
      <c r="AQ2637" s="20"/>
    </row>
    <row r="2638" spans="2:43">
      <c r="B2638"/>
      <c r="C2638"/>
      <c r="D2638"/>
      <c r="Q2638"/>
      <c r="AQ2638" s="20"/>
    </row>
    <row r="2639" spans="2:43">
      <c r="B2639"/>
      <c r="C2639"/>
      <c r="D2639"/>
      <c r="Q2639"/>
      <c r="AQ2639" s="20"/>
    </row>
    <row r="2640" spans="2:43">
      <c r="B2640"/>
      <c r="C2640"/>
      <c r="D2640"/>
      <c r="Q2640"/>
      <c r="AQ2640" s="20"/>
    </row>
    <row r="2641" spans="2:43">
      <c r="B2641"/>
      <c r="C2641"/>
      <c r="D2641"/>
      <c r="Q2641"/>
      <c r="AQ2641" s="20"/>
    </row>
    <row r="2642" spans="2:43">
      <c r="B2642"/>
      <c r="C2642"/>
      <c r="D2642"/>
      <c r="Q2642"/>
      <c r="AQ2642" s="20"/>
    </row>
    <row r="2643" spans="2:43">
      <c r="B2643"/>
      <c r="C2643"/>
      <c r="D2643"/>
      <c r="Q2643"/>
      <c r="AQ2643" s="20"/>
    </row>
    <row r="2644" spans="2:43">
      <c r="B2644"/>
      <c r="C2644"/>
      <c r="D2644"/>
      <c r="Q2644"/>
      <c r="AQ2644" s="20"/>
    </row>
    <row r="2645" spans="2:43">
      <c r="B2645"/>
      <c r="C2645"/>
      <c r="D2645"/>
      <c r="Q2645"/>
      <c r="AQ2645" s="20"/>
    </row>
    <row r="2646" spans="2:43">
      <c r="B2646"/>
      <c r="C2646"/>
      <c r="D2646"/>
      <c r="Q2646"/>
      <c r="AQ2646" s="20"/>
    </row>
    <row r="2647" spans="2:43">
      <c r="B2647"/>
      <c r="C2647"/>
      <c r="D2647"/>
      <c r="Q2647"/>
      <c r="AQ2647" s="20"/>
    </row>
    <row r="2648" spans="2:43">
      <c r="B2648"/>
      <c r="C2648"/>
      <c r="D2648"/>
      <c r="Q2648"/>
      <c r="AQ2648" s="20"/>
    </row>
    <row r="2649" spans="2:43">
      <c r="B2649"/>
      <c r="C2649"/>
      <c r="D2649"/>
      <c r="Q2649"/>
      <c r="AQ2649" s="20"/>
    </row>
    <row r="2650" spans="2:43">
      <c r="B2650"/>
      <c r="C2650"/>
      <c r="D2650"/>
      <c r="Q2650"/>
      <c r="AQ2650" s="20"/>
    </row>
    <row r="2651" spans="2:43">
      <c r="B2651"/>
      <c r="C2651"/>
      <c r="D2651"/>
      <c r="Q2651"/>
      <c r="AQ2651" s="20"/>
    </row>
    <row r="2652" spans="2:43">
      <c r="B2652"/>
      <c r="C2652"/>
      <c r="D2652"/>
      <c r="Q2652"/>
      <c r="AQ2652" s="20"/>
    </row>
    <row r="2653" spans="2:43">
      <c r="B2653"/>
      <c r="C2653"/>
      <c r="D2653"/>
      <c r="Q2653"/>
      <c r="AQ2653" s="20"/>
    </row>
    <row r="2654" spans="2:43">
      <c r="B2654"/>
      <c r="C2654"/>
      <c r="D2654"/>
      <c r="Q2654"/>
      <c r="AQ2654" s="20"/>
    </row>
    <row r="2655" spans="2:43">
      <c r="B2655"/>
      <c r="C2655"/>
      <c r="D2655"/>
      <c r="Q2655"/>
      <c r="AQ2655" s="20"/>
    </row>
    <row r="2656" spans="2:43">
      <c r="B2656"/>
      <c r="C2656"/>
      <c r="D2656"/>
      <c r="Q2656"/>
      <c r="AQ2656" s="20"/>
    </row>
    <row r="2657" spans="2:43">
      <c r="B2657"/>
      <c r="C2657"/>
      <c r="D2657"/>
      <c r="Q2657"/>
      <c r="AQ2657" s="20"/>
    </row>
    <row r="2658" spans="2:43">
      <c r="B2658"/>
      <c r="C2658"/>
      <c r="D2658"/>
      <c r="Q2658"/>
      <c r="AQ2658" s="20"/>
    </row>
    <row r="2659" spans="2:43">
      <c r="B2659"/>
      <c r="C2659"/>
      <c r="D2659"/>
      <c r="Q2659"/>
      <c r="AQ2659" s="20"/>
    </row>
    <row r="2660" spans="2:43">
      <c r="B2660"/>
      <c r="C2660"/>
      <c r="D2660"/>
      <c r="Q2660"/>
      <c r="AQ2660" s="20"/>
    </row>
    <row r="2661" spans="2:43">
      <c r="B2661"/>
      <c r="C2661"/>
      <c r="D2661"/>
      <c r="Q2661"/>
      <c r="AQ2661" s="20"/>
    </row>
    <row r="2662" spans="2:43">
      <c r="B2662"/>
      <c r="C2662"/>
      <c r="D2662"/>
      <c r="Q2662"/>
      <c r="AQ2662" s="20"/>
    </row>
    <row r="2663" spans="2:43">
      <c r="B2663"/>
      <c r="C2663"/>
      <c r="D2663"/>
      <c r="Q2663"/>
      <c r="AQ2663" s="20"/>
    </row>
    <row r="2664" spans="2:43">
      <c r="B2664"/>
      <c r="C2664"/>
      <c r="D2664"/>
      <c r="Q2664"/>
      <c r="AQ2664" s="20"/>
    </row>
    <row r="2665" spans="2:43">
      <c r="B2665"/>
      <c r="C2665"/>
      <c r="D2665"/>
      <c r="Q2665"/>
      <c r="AQ2665" s="20"/>
    </row>
    <row r="2666" spans="2:43">
      <c r="B2666"/>
      <c r="C2666"/>
      <c r="D2666"/>
      <c r="Q2666"/>
      <c r="AQ2666" s="20"/>
    </row>
    <row r="2667" spans="2:43">
      <c r="B2667"/>
      <c r="C2667"/>
      <c r="D2667"/>
      <c r="Q2667"/>
      <c r="AQ2667" s="20"/>
    </row>
    <row r="2668" spans="2:43">
      <c r="B2668"/>
      <c r="C2668"/>
      <c r="D2668"/>
      <c r="Q2668"/>
      <c r="AQ2668" s="20"/>
    </row>
    <row r="2669" spans="2:43">
      <c r="B2669"/>
      <c r="C2669"/>
      <c r="D2669"/>
      <c r="Q2669"/>
      <c r="AQ2669" s="20"/>
    </row>
    <row r="2670" spans="2:43">
      <c r="B2670"/>
      <c r="C2670"/>
      <c r="D2670"/>
      <c r="Q2670"/>
      <c r="AQ2670" s="20"/>
    </row>
    <row r="2671" spans="2:43">
      <c r="B2671"/>
      <c r="C2671"/>
      <c r="D2671"/>
      <c r="Q2671"/>
      <c r="AQ2671" s="20"/>
    </row>
    <row r="2672" spans="2:43">
      <c r="B2672"/>
      <c r="C2672"/>
      <c r="D2672"/>
      <c r="Q2672"/>
      <c r="AQ2672" s="20"/>
    </row>
    <row r="2673" spans="2:43">
      <c r="B2673"/>
      <c r="C2673"/>
      <c r="D2673"/>
      <c r="Q2673"/>
      <c r="AQ2673" s="20"/>
    </row>
    <row r="2674" spans="2:43">
      <c r="B2674"/>
      <c r="C2674"/>
      <c r="D2674"/>
      <c r="Q2674"/>
      <c r="AQ2674" s="20"/>
    </row>
    <row r="2675" spans="2:43">
      <c r="B2675"/>
      <c r="C2675"/>
      <c r="D2675"/>
      <c r="Q2675"/>
      <c r="AQ2675" s="20"/>
    </row>
    <row r="2676" spans="2:43">
      <c r="B2676"/>
      <c r="C2676"/>
      <c r="D2676"/>
      <c r="Q2676"/>
      <c r="AQ2676" s="20"/>
    </row>
    <row r="2677" spans="2:43">
      <c r="B2677"/>
      <c r="C2677"/>
      <c r="D2677"/>
      <c r="Q2677"/>
      <c r="AQ2677" s="20"/>
    </row>
    <row r="2678" spans="2:43">
      <c r="B2678"/>
      <c r="C2678"/>
      <c r="D2678"/>
      <c r="Q2678"/>
      <c r="AQ2678" s="20"/>
    </row>
    <row r="2679" spans="2:43">
      <c r="B2679"/>
      <c r="C2679"/>
      <c r="D2679"/>
      <c r="Q2679"/>
      <c r="AQ2679" s="20"/>
    </row>
    <row r="2680" spans="2:43">
      <c r="B2680"/>
      <c r="C2680"/>
      <c r="D2680"/>
      <c r="Q2680"/>
      <c r="AQ2680" s="20"/>
    </row>
    <row r="2681" spans="2:43">
      <c r="B2681"/>
      <c r="C2681"/>
      <c r="D2681"/>
      <c r="Q2681"/>
      <c r="AQ2681" s="20"/>
    </row>
    <row r="2682" spans="2:43">
      <c r="B2682"/>
      <c r="C2682"/>
      <c r="D2682"/>
      <c r="Q2682"/>
      <c r="AQ2682" s="20"/>
    </row>
    <row r="2683" spans="2:43">
      <c r="B2683"/>
      <c r="C2683"/>
      <c r="D2683"/>
      <c r="Q2683"/>
      <c r="AQ2683" s="20"/>
    </row>
    <row r="2684" spans="2:43">
      <c r="B2684"/>
      <c r="C2684"/>
      <c r="D2684"/>
      <c r="Q2684"/>
      <c r="AQ2684" s="20"/>
    </row>
    <row r="2685" spans="2:43">
      <c r="B2685"/>
      <c r="C2685"/>
      <c r="D2685"/>
      <c r="Q2685"/>
      <c r="AQ2685" s="20"/>
    </row>
    <row r="2686" spans="2:43">
      <c r="B2686"/>
      <c r="C2686"/>
      <c r="D2686"/>
      <c r="Q2686"/>
      <c r="AQ2686" s="20"/>
    </row>
    <row r="2687" spans="2:43">
      <c r="B2687"/>
      <c r="C2687"/>
      <c r="D2687"/>
      <c r="Q2687"/>
      <c r="AQ2687" s="20"/>
    </row>
    <row r="2688" spans="2:43">
      <c r="B2688"/>
      <c r="C2688"/>
      <c r="D2688"/>
      <c r="Q2688"/>
      <c r="AQ2688" s="20"/>
    </row>
    <row r="2689" spans="2:43">
      <c r="B2689"/>
      <c r="C2689"/>
      <c r="D2689"/>
      <c r="Q2689"/>
      <c r="AQ2689" s="20"/>
    </row>
    <row r="2690" spans="2:43">
      <c r="B2690"/>
      <c r="C2690"/>
      <c r="D2690"/>
      <c r="Q2690"/>
      <c r="AQ2690" s="20"/>
    </row>
    <row r="2691" spans="2:43">
      <c r="B2691"/>
      <c r="C2691"/>
      <c r="D2691"/>
      <c r="Q2691"/>
      <c r="AQ2691" s="20"/>
    </row>
    <row r="2692" spans="2:43">
      <c r="B2692"/>
      <c r="C2692"/>
      <c r="D2692"/>
      <c r="Q2692"/>
      <c r="AQ2692" s="20"/>
    </row>
    <row r="2693" spans="2:43">
      <c r="B2693"/>
      <c r="C2693"/>
      <c r="D2693"/>
      <c r="Q2693"/>
      <c r="AQ2693" s="20"/>
    </row>
    <row r="2694" spans="2:43">
      <c r="B2694"/>
      <c r="C2694"/>
      <c r="D2694"/>
      <c r="Q2694"/>
      <c r="AQ2694" s="20"/>
    </row>
    <row r="2695" spans="2:43">
      <c r="B2695"/>
      <c r="C2695"/>
      <c r="D2695"/>
      <c r="Q2695"/>
      <c r="AQ2695" s="20"/>
    </row>
    <row r="2696" spans="2:43">
      <c r="B2696"/>
      <c r="C2696"/>
      <c r="D2696"/>
      <c r="Q2696"/>
      <c r="AQ2696" s="20"/>
    </row>
    <row r="2697" spans="2:43">
      <c r="B2697"/>
      <c r="C2697"/>
      <c r="D2697"/>
      <c r="Q2697"/>
      <c r="AQ2697" s="20"/>
    </row>
    <row r="2698" spans="2:43">
      <c r="B2698"/>
      <c r="C2698"/>
      <c r="D2698"/>
      <c r="Q2698"/>
      <c r="AQ2698" s="20"/>
    </row>
    <row r="2699" spans="2:43">
      <c r="B2699"/>
      <c r="C2699"/>
      <c r="D2699"/>
      <c r="Q2699"/>
      <c r="AQ2699" s="20"/>
    </row>
    <row r="2700" spans="2:43">
      <c r="B2700"/>
      <c r="C2700"/>
      <c r="D2700"/>
      <c r="Q2700"/>
      <c r="AQ2700" s="20"/>
    </row>
    <row r="2701" spans="2:43">
      <c r="B2701"/>
      <c r="C2701"/>
      <c r="D2701"/>
      <c r="Q2701"/>
      <c r="AQ2701" s="20"/>
    </row>
    <row r="2702" spans="2:43">
      <c r="B2702"/>
      <c r="C2702"/>
      <c r="D2702"/>
      <c r="Q2702"/>
      <c r="AQ2702" s="20"/>
    </row>
    <row r="2703" spans="2:43">
      <c r="B2703"/>
      <c r="C2703"/>
      <c r="D2703"/>
      <c r="Q2703"/>
      <c r="AQ2703" s="20"/>
    </row>
    <row r="2704" spans="2:43">
      <c r="B2704"/>
      <c r="C2704"/>
      <c r="D2704"/>
      <c r="Q2704"/>
      <c r="AQ2704" s="20"/>
    </row>
    <row r="2705" spans="2:43">
      <c r="B2705"/>
      <c r="C2705"/>
      <c r="D2705"/>
      <c r="Q2705"/>
      <c r="AQ2705" s="20"/>
    </row>
    <row r="2706" spans="2:43">
      <c r="B2706"/>
      <c r="C2706"/>
      <c r="D2706"/>
      <c r="Q2706"/>
      <c r="AQ2706" s="20"/>
    </row>
    <row r="2707" spans="2:43">
      <c r="B2707"/>
      <c r="C2707"/>
      <c r="D2707"/>
      <c r="Q2707"/>
      <c r="AQ2707" s="20"/>
    </row>
    <row r="2708" spans="2:43">
      <c r="B2708"/>
      <c r="C2708"/>
      <c r="D2708"/>
      <c r="Q2708"/>
      <c r="AQ2708" s="20"/>
    </row>
    <row r="2709" spans="2:43">
      <c r="B2709"/>
      <c r="C2709"/>
      <c r="D2709"/>
      <c r="Q2709"/>
      <c r="AQ2709" s="20"/>
    </row>
    <row r="2710" spans="2:43">
      <c r="B2710"/>
      <c r="C2710"/>
      <c r="D2710"/>
      <c r="Q2710"/>
      <c r="AQ2710" s="20"/>
    </row>
    <row r="2711" spans="2:43">
      <c r="B2711"/>
      <c r="C2711"/>
      <c r="D2711"/>
      <c r="Q2711"/>
      <c r="AQ2711" s="20"/>
    </row>
    <row r="2712" spans="2:43">
      <c r="B2712"/>
      <c r="C2712"/>
      <c r="D2712"/>
      <c r="Q2712"/>
      <c r="AQ2712" s="20"/>
    </row>
    <row r="2713" spans="2:43">
      <c r="B2713"/>
      <c r="C2713"/>
      <c r="D2713"/>
      <c r="Q2713"/>
      <c r="AQ2713" s="20"/>
    </row>
    <row r="2714" spans="2:43">
      <c r="B2714"/>
      <c r="C2714"/>
      <c r="D2714"/>
      <c r="Q2714"/>
      <c r="AQ2714" s="20"/>
    </row>
    <row r="2715" spans="2:43">
      <c r="B2715"/>
      <c r="C2715"/>
      <c r="D2715"/>
      <c r="Q2715"/>
      <c r="AQ2715" s="20"/>
    </row>
    <row r="2716" spans="2:43">
      <c r="B2716"/>
      <c r="C2716"/>
      <c r="D2716"/>
      <c r="Q2716"/>
      <c r="AQ2716" s="20"/>
    </row>
    <row r="2717" spans="2:43">
      <c r="B2717"/>
      <c r="C2717"/>
      <c r="D2717"/>
      <c r="Q2717"/>
      <c r="AQ2717" s="20"/>
    </row>
    <row r="2718" spans="2:43">
      <c r="B2718"/>
      <c r="C2718"/>
      <c r="D2718"/>
      <c r="Q2718"/>
      <c r="AQ2718" s="20"/>
    </row>
    <row r="2719" spans="2:43">
      <c r="B2719"/>
      <c r="C2719"/>
      <c r="D2719"/>
      <c r="Q2719"/>
      <c r="AQ2719" s="20"/>
    </row>
    <row r="2720" spans="2:43">
      <c r="B2720"/>
      <c r="C2720"/>
      <c r="D2720"/>
      <c r="Q2720"/>
      <c r="AQ2720" s="20"/>
    </row>
    <row r="2721" spans="2:43">
      <c r="B2721"/>
      <c r="C2721"/>
      <c r="D2721"/>
      <c r="Q2721"/>
      <c r="AQ2721" s="20"/>
    </row>
    <row r="2722" spans="2:43">
      <c r="B2722"/>
      <c r="C2722"/>
      <c r="D2722"/>
      <c r="Q2722"/>
      <c r="AQ2722" s="20"/>
    </row>
    <row r="2723" spans="2:43">
      <c r="B2723"/>
      <c r="C2723"/>
      <c r="D2723"/>
      <c r="Q2723"/>
      <c r="AQ2723" s="20"/>
    </row>
    <row r="2724" spans="2:43">
      <c r="B2724"/>
      <c r="C2724"/>
      <c r="D2724"/>
      <c r="Q2724"/>
      <c r="AQ2724" s="20"/>
    </row>
    <row r="2725" spans="2:43">
      <c r="B2725"/>
      <c r="C2725"/>
      <c r="D2725"/>
      <c r="Q2725"/>
      <c r="AQ2725" s="20"/>
    </row>
    <row r="2726" spans="2:43">
      <c r="B2726"/>
      <c r="C2726"/>
      <c r="D2726"/>
      <c r="Q2726"/>
      <c r="AQ2726" s="20"/>
    </row>
    <row r="2727" spans="2:43">
      <c r="B2727"/>
      <c r="C2727"/>
      <c r="D2727"/>
      <c r="Q2727"/>
      <c r="AQ2727" s="20"/>
    </row>
    <row r="2728" spans="2:43">
      <c r="B2728"/>
      <c r="C2728"/>
      <c r="D2728"/>
      <c r="Q2728"/>
      <c r="AQ2728" s="20"/>
    </row>
    <row r="2729" spans="2:43">
      <c r="B2729"/>
      <c r="C2729"/>
      <c r="D2729"/>
      <c r="Q2729"/>
      <c r="AQ2729" s="20"/>
    </row>
    <row r="2730" spans="2:43">
      <c r="B2730"/>
      <c r="C2730"/>
      <c r="D2730"/>
      <c r="Q2730"/>
      <c r="AQ2730" s="20"/>
    </row>
    <row r="2731" spans="2:43">
      <c r="B2731"/>
      <c r="C2731"/>
      <c r="D2731"/>
      <c r="Q2731"/>
      <c r="AQ2731" s="20"/>
    </row>
    <row r="2732" spans="2:43">
      <c r="B2732"/>
      <c r="C2732"/>
      <c r="D2732"/>
      <c r="Q2732"/>
      <c r="AQ2732" s="20"/>
    </row>
    <row r="2733" spans="2:43">
      <c r="B2733"/>
      <c r="C2733"/>
      <c r="D2733"/>
      <c r="Q2733"/>
      <c r="AQ2733" s="20"/>
    </row>
    <row r="2734" spans="2:43">
      <c r="B2734"/>
      <c r="C2734"/>
      <c r="D2734"/>
      <c r="Q2734"/>
      <c r="AQ2734" s="20"/>
    </row>
    <row r="2735" spans="2:43">
      <c r="B2735"/>
      <c r="C2735"/>
      <c r="D2735"/>
      <c r="Q2735"/>
      <c r="AQ2735" s="20"/>
    </row>
    <row r="2736" spans="2:43">
      <c r="B2736"/>
      <c r="C2736"/>
      <c r="D2736"/>
      <c r="Q2736"/>
      <c r="AQ2736" s="20"/>
    </row>
    <row r="2737" spans="2:43">
      <c r="B2737"/>
      <c r="C2737"/>
      <c r="D2737"/>
      <c r="Q2737"/>
      <c r="AQ2737" s="20"/>
    </row>
    <row r="2738" spans="2:43">
      <c r="B2738"/>
      <c r="C2738"/>
      <c r="D2738"/>
      <c r="Q2738"/>
      <c r="AQ2738" s="20"/>
    </row>
    <row r="2739" spans="2:43">
      <c r="B2739"/>
      <c r="C2739"/>
      <c r="D2739"/>
      <c r="Q2739"/>
      <c r="AQ2739" s="20"/>
    </row>
    <row r="2740" spans="2:43">
      <c r="B2740"/>
      <c r="C2740"/>
      <c r="D2740"/>
      <c r="Q2740"/>
      <c r="AQ2740" s="20"/>
    </row>
    <row r="2741" spans="2:43">
      <c r="B2741"/>
      <c r="C2741"/>
      <c r="D2741"/>
      <c r="Q2741"/>
      <c r="AQ2741" s="20"/>
    </row>
    <row r="2742" spans="2:43">
      <c r="B2742"/>
      <c r="C2742"/>
      <c r="D2742"/>
      <c r="Q2742"/>
      <c r="AQ2742" s="20"/>
    </row>
    <row r="2743" spans="2:43">
      <c r="B2743"/>
      <c r="C2743"/>
      <c r="D2743"/>
      <c r="Q2743"/>
      <c r="AQ2743" s="20"/>
    </row>
    <row r="2744" spans="2:43">
      <c r="B2744"/>
      <c r="C2744"/>
      <c r="D2744"/>
      <c r="Q2744"/>
      <c r="AQ2744" s="20"/>
    </row>
    <row r="2745" spans="2:43">
      <c r="B2745"/>
      <c r="C2745"/>
      <c r="D2745"/>
      <c r="Q2745"/>
      <c r="AQ2745" s="20"/>
    </row>
    <row r="2746" spans="2:43">
      <c r="B2746"/>
      <c r="C2746"/>
      <c r="D2746"/>
      <c r="Q2746"/>
      <c r="AQ2746" s="20"/>
    </row>
    <row r="2747" spans="2:43">
      <c r="B2747"/>
      <c r="C2747"/>
      <c r="D2747"/>
      <c r="Q2747"/>
      <c r="AQ2747" s="20"/>
    </row>
    <row r="2748" spans="2:43">
      <c r="B2748"/>
      <c r="C2748"/>
      <c r="D2748"/>
      <c r="Q2748"/>
      <c r="AQ2748" s="20"/>
    </row>
    <row r="2749" spans="2:43">
      <c r="B2749"/>
      <c r="C2749"/>
      <c r="D2749"/>
      <c r="Q2749"/>
      <c r="AQ2749" s="20"/>
    </row>
    <row r="2750" spans="2:43">
      <c r="B2750"/>
      <c r="C2750"/>
      <c r="D2750"/>
      <c r="Q2750"/>
      <c r="AQ2750" s="20"/>
    </row>
    <row r="2751" spans="2:43">
      <c r="B2751"/>
      <c r="C2751"/>
      <c r="D2751"/>
      <c r="Q2751"/>
      <c r="AQ2751" s="20"/>
    </row>
    <row r="2752" spans="2:43">
      <c r="B2752"/>
      <c r="C2752"/>
      <c r="D2752"/>
      <c r="Q2752"/>
      <c r="AQ2752" s="20"/>
    </row>
    <row r="2753" spans="2:43">
      <c r="B2753"/>
      <c r="C2753"/>
      <c r="D2753"/>
      <c r="Q2753"/>
      <c r="AQ2753" s="20"/>
    </row>
    <row r="2754" spans="2:43">
      <c r="B2754"/>
      <c r="C2754"/>
      <c r="D2754"/>
      <c r="Q2754"/>
      <c r="AQ2754" s="20"/>
    </row>
    <row r="2755" spans="2:43">
      <c r="B2755"/>
      <c r="C2755"/>
      <c r="D2755"/>
      <c r="Q2755"/>
      <c r="AQ2755" s="20"/>
    </row>
    <row r="2756" spans="2:43">
      <c r="B2756"/>
      <c r="C2756"/>
      <c r="D2756"/>
      <c r="Q2756"/>
      <c r="AQ2756" s="20"/>
    </row>
    <row r="2757" spans="2:43">
      <c r="B2757"/>
      <c r="C2757"/>
      <c r="D2757"/>
      <c r="Q2757"/>
      <c r="AQ2757" s="20"/>
    </row>
    <row r="2758" spans="2:43">
      <c r="B2758"/>
      <c r="C2758"/>
      <c r="D2758"/>
      <c r="Q2758"/>
      <c r="AQ2758" s="20"/>
    </row>
    <row r="2759" spans="2:43">
      <c r="B2759"/>
      <c r="C2759"/>
      <c r="D2759"/>
      <c r="Q2759"/>
      <c r="AQ2759" s="20"/>
    </row>
    <row r="2760" spans="2:43">
      <c r="B2760"/>
      <c r="C2760"/>
      <c r="D2760"/>
      <c r="Q2760"/>
      <c r="AQ2760" s="20"/>
    </row>
    <row r="2761" spans="2:43">
      <c r="B2761"/>
      <c r="C2761"/>
      <c r="D2761"/>
      <c r="Q2761"/>
      <c r="AQ2761" s="20"/>
    </row>
    <row r="2762" spans="2:43">
      <c r="B2762"/>
      <c r="C2762"/>
      <c r="D2762"/>
      <c r="Q2762"/>
      <c r="AQ2762" s="20"/>
    </row>
    <row r="2763" spans="2:43">
      <c r="B2763"/>
      <c r="C2763"/>
      <c r="D2763"/>
      <c r="Q2763"/>
      <c r="AQ2763" s="20"/>
    </row>
    <row r="2764" spans="2:43">
      <c r="B2764"/>
      <c r="C2764"/>
      <c r="D2764"/>
      <c r="Q2764"/>
      <c r="AQ2764" s="20"/>
    </row>
    <row r="2765" spans="2:43">
      <c r="B2765"/>
      <c r="C2765"/>
      <c r="D2765"/>
      <c r="Q2765"/>
      <c r="AQ2765" s="20"/>
    </row>
    <row r="2766" spans="2:43">
      <c r="B2766"/>
      <c r="C2766"/>
      <c r="D2766"/>
      <c r="Q2766"/>
      <c r="AQ2766" s="20"/>
    </row>
    <row r="2767" spans="2:43">
      <c r="B2767"/>
      <c r="C2767"/>
      <c r="D2767"/>
      <c r="Q2767"/>
      <c r="AQ2767" s="20"/>
    </row>
    <row r="2768" spans="2:43">
      <c r="B2768"/>
      <c r="C2768"/>
      <c r="D2768"/>
      <c r="Q2768"/>
      <c r="AQ2768" s="20"/>
    </row>
    <row r="2769" spans="2:43">
      <c r="B2769"/>
      <c r="C2769"/>
      <c r="D2769"/>
      <c r="Q2769"/>
      <c r="AQ2769" s="20"/>
    </row>
    <row r="2770" spans="2:43">
      <c r="B2770"/>
      <c r="C2770"/>
      <c r="D2770"/>
      <c r="Q2770"/>
      <c r="AQ2770" s="20"/>
    </row>
    <row r="2771" spans="2:43">
      <c r="B2771"/>
      <c r="C2771"/>
      <c r="D2771"/>
      <c r="Q2771"/>
      <c r="AQ2771" s="20"/>
    </row>
    <row r="2772" spans="2:43">
      <c r="B2772"/>
      <c r="C2772"/>
      <c r="D2772"/>
      <c r="Q2772"/>
      <c r="AQ2772" s="20"/>
    </row>
    <row r="2773" spans="2:43">
      <c r="B2773"/>
      <c r="C2773"/>
      <c r="D2773"/>
      <c r="Q2773"/>
      <c r="AQ2773" s="20"/>
    </row>
    <row r="2774" spans="2:43">
      <c r="B2774"/>
      <c r="C2774"/>
      <c r="D2774"/>
      <c r="Q2774"/>
      <c r="AQ2774" s="20"/>
    </row>
    <row r="2775" spans="2:43">
      <c r="B2775"/>
      <c r="C2775"/>
      <c r="D2775"/>
      <c r="Q2775"/>
      <c r="AQ2775" s="20"/>
    </row>
    <row r="2776" spans="2:43">
      <c r="B2776"/>
      <c r="C2776"/>
      <c r="D2776"/>
      <c r="Q2776"/>
      <c r="AQ2776" s="20"/>
    </row>
    <row r="2777" spans="2:43">
      <c r="B2777"/>
      <c r="C2777"/>
      <c r="D2777"/>
      <c r="Q2777"/>
      <c r="AQ2777" s="20"/>
    </row>
    <row r="2778" spans="2:43">
      <c r="B2778"/>
      <c r="C2778"/>
      <c r="D2778"/>
      <c r="Q2778"/>
      <c r="AQ2778" s="20"/>
    </row>
    <row r="2779" spans="2:43">
      <c r="B2779"/>
      <c r="C2779"/>
      <c r="D2779"/>
      <c r="Q2779"/>
      <c r="AQ2779" s="20"/>
    </row>
    <row r="2780" spans="2:43">
      <c r="B2780"/>
      <c r="C2780"/>
      <c r="D2780"/>
      <c r="Q2780"/>
      <c r="AQ2780" s="20"/>
    </row>
    <row r="2781" spans="2:43">
      <c r="B2781"/>
      <c r="C2781"/>
      <c r="D2781"/>
      <c r="Q2781"/>
      <c r="AQ2781" s="20"/>
    </row>
    <row r="2782" spans="2:43">
      <c r="B2782"/>
      <c r="C2782"/>
      <c r="D2782"/>
      <c r="Q2782"/>
      <c r="AQ2782" s="20"/>
    </row>
    <row r="2783" spans="2:43">
      <c r="B2783"/>
      <c r="C2783"/>
      <c r="D2783"/>
      <c r="Q2783"/>
      <c r="AQ2783" s="20"/>
    </row>
    <row r="2784" spans="2:43">
      <c r="B2784"/>
      <c r="C2784"/>
      <c r="D2784"/>
      <c r="Q2784"/>
      <c r="AQ2784" s="20"/>
    </row>
    <row r="2785" spans="2:43">
      <c r="B2785"/>
      <c r="C2785"/>
      <c r="D2785"/>
      <c r="Q2785"/>
      <c r="AQ2785" s="20"/>
    </row>
    <row r="2786" spans="2:43">
      <c r="B2786"/>
      <c r="C2786"/>
      <c r="D2786"/>
      <c r="Q2786"/>
      <c r="AQ2786" s="20"/>
    </row>
    <row r="2787" spans="2:43">
      <c r="B2787"/>
      <c r="C2787"/>
      <c r="D2787"/>
      <c r="Q2787"/>
      <c r="AQ2787" s="20"/>
    </row>
    <row r="2788" spans="2:43">
      <c r="B2788"/>
      <c r="C2788"/>
      <c r="D2788"/>
      <c r="Q2788"/>
      <c r="AQ2788" s="20"/>
    </row>
    <row r="2789" spans="2:43">
      <c r="B2789"/>
      <c r="C2789"/>
      <c r="D2789"/>
      <c r="Q2789"/>
      <c r="AQ2789" s="20"/>
    </row>
    <row r="2790" spans="2:43">
      <c r="B2790"/>
      <c r="C2790"/>
      <c r="D2790"/>
      <c r="Q2790"/>
      <c r="AQ2790" s="20"/>
    </row>
    <row r="2791" spans="2:43">
      <c r="B2791"/>
      <c r="C2791"/>
      <c r="D2791"/>
      <c r="Q2791"/>
      <c r="AQ2791" s="20"/>
    </row>
    <row r="2792" spans="2:43">
      <c r="B2792"/>
      <c r="C2792"/>
      <c r="D2792"/>
      <c r="Q2792"/>
      <c r="AQ2792" s="20"/>
    </row>
    <row r="2793" spans="2:43">
      <c r="B2793"/>
      <c r="C2793"/>
      <c r="D2793"/>
      <c r="Q2793"/>
      <c r="AQ2793" s="20"/>
    </row>
    <row r="2794" spans="2:43">
      <c r="B2794"/>
      <c r="C2794"/>
      <c r="D2794"/>
      <c r="Q2794"/>
      <c r="AQ2794" s="20"/>
    </row>
    <row r="2795" spans="2:43">
      <c r="B2795"/>
      <c r="C2795"/>
      <c r="D2795"/>
      <c r="Q2795"/>
      <c r="AQ2795" s="20"/>
    </row>
    <row r="2796" spans="2:43">
      <c r="B2796"/>
      <c r="C2796"/>
      <c r="D2796"/>
      <c r="Q2796"/>
      <c r="AQ2796" s="20"/>
    </row>
    <row r="2797" spans="2:43">
      <c r="B2797"/>
      <c r="C2797"/>
      <c r="D2797"/>
      <c r="Q2797"/>
      <c r="AQ2797" s="20"/>
    </row>
    <row r="2798" spans="2:43">
      <c r="B2798"/>
      <c r="C2798"/>
      <c r="D2798"/>
      <c r="Q2798"/>
      <c r="AQ2798" s="20"/>
    </row>
    <row r="2799" spans="2:43">
      <c r="B2799"/>
      <c r="C2799"/>
      <c r="D2799"/>
      <c r="Q2799"/>
      <c r="AQ2799" s="20"/>
    </row>
    <row r="2800" spans="2:43">
      <c r="B2800"/>
      <c r="C2800"/>
      <c r="D2800"/>
      <c r="Q2800"/>
      <c r="AQ2800" s="20"/>
    </row>
    <row r="2801" spans="2:43">
      <c r="B2801"/>
      <c r="C2801"/>
      <c r="D2801"/>
      <c r="Q2801"/>
      <c r="AQ2801" s="20"/>
    </row>
    <row r="2802" spans="2:43">
      <c r="B2802"/>
      <c r="C2802"/>
      <c r="D2802"/>
      <c r="Q2802"/>
      <c r="AQ2802" s="20"/>
    </row>
    <row r="2803" spans="2:43">
      <c r="B2803"/>
      <c r="C2803"/>
      <c r="D2803"/>
      <c r="Q2803"/>
      <c r="AQ2803" s="20"/>
    </row>
    <row r="2804" spans="2:43">
      <c r="B2804"/>
      <c r="C2804"/>
      <c r="D2804"/>
      <c r="Q2804"/>
      <c r="AQ2804" s="20"/>
    </row>
    <row r="2805" spans="2:43">
      <c r="B2805"/>
      <c r="C2805"/>
      <c r="D2805"/>
      <c r="Q2805"/>
      <c r="AQ2805" s="20"/>
    </row>
    <row r="2806" spans="2:43">
      <c r="B2806"/>
      <c r="C2806"/>
      <c r="D2806"/>
      <c r="Q2806"/>
      <c r="AQ2806" s="20"/>
    </row>
    <row r="2807" spans="2:43">
      <c r="B2807"/>
      <c r="C2807"/>
      <c r="D2807"/>
      <c r="Q2807"/>
      <c r="AQ2807" s="20"/>
    </row>
    <row r="2808" spans="2:43">
      <c r="B2808"/>
      <c r="C2808"/>
      <c r="D2808"/>
      <c r="Q2808"/>
      <c r="AQ2808" s="20"/>
    </row>
    <row r="2809" spans="2:43">
      <c r="B2809"/>
      <c r="C2809"/>
      <c r="D2809"/>
      <c r="Q2809"/>
      <c r="AQ2809" s="20"/>
    </row>
    <row r="2810" spans="2:43">
      <c r="B2810"/>
      <c r="C2810"/>
      <c r="D2810"/>
      <c r="Q2810"/>
      <c r="AQ2810" s="20"/>
    </row>
    <row r="2811" spans="2:43">
      <c r="B2811"/>
      <c r="C2811"/>
      <c r="D2811"/>
      <c r="Q2811"/>
      <c r="AQ2811" s="20"/>
    </row>
    <row r="2812" spans="2:43">
      <c r="B2812"/>
      <c r="C2812"/>
      <c r="D2812"/>
      <c r="Q2812"/>
      <c r="AQ2812" s="20"/>
    </row>
    <row r="2813" spans="2:43">
      <c r="B2813"/>
      <c r="C2813"/>
      <c r="D2813"/>
      <c r="Q2813"/>
      <c r="AQ2813" s="20"/>
    </row>
    <row r="2814" spans="2:43">
      <c r="B2814"/>
      <c r="C2814"/>
      <c r="D2814"/>
      <c r="Q2814"/>
      <c r="AQ2814" s="20"/>
    </row>
    <row r="2815" spans="2:43">
      <c r="B2815"/>
      <c r="C2815"/>
      <c r="D2815"/>
      <c r="Q2815"/>
      <c r="AQ2815" s="20"/>
    </row>
    <row r="2816" spans="2:43">
      <c r="B2816"/>
      <c r="C2816"/>
      <c r="D2816"/>
      <c r="Q2816"/>
      <c r="AQ2816" s="20"/>
    </row>
    <row r="2817" spans="2:43">
      <c r="B2817"/>
      <c r="C2817"/>
      <c r="D2817"/>
      <c r="Q2817"/>
      <c r="AQ2817" s="20"/>
    </row>
    <row r="2818" spans="2:43">
      <c r="B2818"/>
      <c r="C2818"/>
      <c r="D2818"/>
      <c r="Q2818"/>
      <c r="AQ2818" s="20"/>
    </row>
    <row r="2819" spans="2:43">
      <c r="B2819"/>
      <c r="C2819"/>
      <c r="D2819"/>
      <c r="Q2819"/>
      <c r="AQ2819" s="20"/>
    </row>
    <row r="2820" spans="2:43">
      <c r="B2820"/>
      <c r="C2820"/>
      <c r="D2820"/>
      <c r="Q2820"/>
      <c r="AQ2820" s="20"/>
    </row>
    <row r="2821" spans="2:43">
      <c r="B2821"/>
      <c r="C2821"/>
      <c r="D2821"/>
      <c r="Q2821"/>
      <c r="AQ2821" s="20"/>
    </row>
    <row r="2822" spans="2:43">
      <c r="B2822"/>
      <c r="C2822"/>
      <c r="D2822"/>
      <c r="Q2822"/>
      <c r="AQ2822" s="20"/>
    </row>
    <row r="2823" spans="2:43">
      <c r="B2823"/>
      <c r="C2823"/>
      <c r="D2823"/>
      <c r="Q2823"/>
      <c r="AQ2823" s="20"/>
    </row>
    <row r="2824" spans="2:43">
      <c r="B2824"/>
      <c r="C2824"/>
      <c r="D2824"/>
      <c r="Q2824"/>
      <c r="AQ2824" s="20"/>
    </row>
    <row r="2825" spans="2:43">
      <c r="B2825"/>
      <c r="C2825"/>
      <c r="D2825"/>
      <c r="Q2825"/>
      <c r="AQ2825" s="20"/>
    </row>
    <row r="2826" spans="2:43">
      <c r="B2826"/>
      <c r="C2826"/>
      <c r="D2826"/>
      <c r="Q2826"/>
      <c r="AQ2826" s="20"/>
    </row>
    <row r="2827" spans="2:43">
      <c r="B2827"/>
      <c r="C2827"/>
      <c r="D2827"/>
      <c r="Q2827"/>
      <c r="AQ2827" s="20"/>
    </row>
    <row r="2828" spans="2:43">
      <c r="B2828"/>
      <c r="C2828"/>
      <c r="D2828"/>
      <c r="Q2828"/>
      <c r="AQ2828" s="20"/>
    </row>
    <row r="2829" spans="2:43">
      <c r="B2829"/>
      <c r="C2829"/>
      <c r="D2829"/>
      <c r="Q2829"/>
      <c r="AQ2829" s="20"/>
    </row>
    <row r="2830" spans="2:43">
      <c r="B2830"/>
      <c r="C2830"/>
      <c r="D2830"/>
      <c r="Q2830"/>
      <c r="AQ2830" s="20"/>
    </row>
    <row r="2831" spans="2:43">
      <c r="B2831"/>
      <c r="C2831"/>
      <c r="D2831"/>
      <c r="Q2831"/>
      <c r="AQ2831" s="20"/>
    </row>
    <row r="2832" spans="2:43">
      <c r="B2832"/>
      <c r="C2832"/>
      <c r="D2832"/>
      <c r="Q2832"/>
      <c r="AQ2832" s="20"/>
    </row>
    <row r="2833" spans="2:43">
      <c r="B2833"/>
      <c r="C2833"/>
      <c r="D2833"/>
      <c r="Q2833"/>
      <c r="AQ2833" s="20"/>
    </row>
    <row r="2834" spans="2:43">
      <c r="B2834"/>
      <c r="C2834"/>
      <c r="D2834"/>
      <c r="Q2834"/>
      <c r="AQ2834" s="20"/>
    </row>
    <row r="2835" spans="2:43">
      <c r="B2835"/>
      <c r="C2835"/>
      <c r="D2835"/>
      <c r="Q2835"/>
      <c r="AQ2835" s="20"/>
    </row>
    <row r="2836" spans="2:43">
      <c r="B2836"/>
      <c r="C2836"/>
      <c r="D2836"/>
      <c r="Q2836"/>
      <c r="AQ2836" s="20"/>
    </row>
    <row r="2837" spans="2:43">
      <c r="B2837"/>
      <c r="C2837"/>
      <c r="D2837"/>
      <c r="Q2837"/>
      <c r="AQ2837" s="20"/>
    </row>
    <row r="2838" spans="2:43">
      <c r="B2838"/>
      <c r="C2838"/>
      <c r="D2838"/>
      <c r="Q2838"/>
      <c r="AQ2838" s="20"/>
    </row>
    <row r="2839" spans="2:43">
      <c r="B2839"/>
      <c r="C2839"/>
      <c r="D2839"/>
      <c r="Q2839"/>
      <c r="AQ2839" s="20"/>
    </row>
    <row r="2840" spans="2:43">
      <c r="B2840"/>
      <c r="C2840"/>
      <c r="D2840"/>
      <c r="Q2840"/>
      <c r="AQ2840" s="20"/>
    </row>
    <row r="2841" spans="2:43">
      <c r="B2841"/>
      <c r="C2841"/>
      <c r="D2841"/>
      <c r="Q2841"/>
      <c r="AQ2841" s="20"/>
    </row>
    <row r="2842" spans="2:43">
      <c r="B2842"/>
      <c r="C2842"/>
      <c r="D2842"/>
      <c r="Q2842"/>
      <c r="AQ2842" s="20"/>
    </row>
    <row r="2843" spans="2:43">
      <c r="B2843"/>
      <c r="C2843"/>
      <c r="D2843"/>
      <c r="Q2843"/>
      <c r="AQ2843" s="20"/>
    </row>
    <row r="2844" spans="2:43">
      <c r="B2844"/>
      <c r="C2844"/>
      <c r="D2844"/>
      <c r="Q2844"/>
      <c r="AQ2844" s="20"/>
    </row>
    <row r="2845" spans="2:43">
      <c r="B2845"/>
      <c r="C2845"/>
      <c r="D2845"/>
      <c r="Q2845"/>
      <c r="AQ2845" s="20"/>
    </row>
    <row r="2846" spans="2:43">
      <c r="B2846"/>
      <c r="C2846"/>
      <c r="D2846"/>
      <c r="Q2846"/>
      <c r="AQ2846" s="20"/>
    </row>
    <row r="2847" spans="2:43">
      <c r="B2847"/>
      <c r="C2847"/>
      <c r="D2847"/>
      <c r="Q2847"/>
      <c r="AQ2847" s="20"/>
    </row>
    <row r="2848" spans="2:43">
      <c r="B2848"/>
      <c r="C2848"/>
      <c r="D2848"/>
      <c r="Q2848"/>
      <c r="AQ2848" s="20"/>
    </row>
    <row r="2849" spans="2:43">
      <c r="B2849"/>
      <c r="C2849"/>
      <c r="D2849"/>
      <c r="Q2849"/>
      <c r="AQ2849" s="20"/>
    </row>
    <row r="2850" spans="2:43">
      <c r="B2850"/>
      <c r="C2850"/>
      <c r="D2850"/>
      <c r="Q2850"/>
      <c r="AQ2850" s="20"/>
    </row>
    <row r="2851" spans="2:43">
      <c r="B2851"/>
      <c r="C2851"/>
      <c r="D2851"/>
      <c r="Q2851"/>
      <c r="AQ2851" s="20"/>
    </row>
    <row r="2852" spans="2:43">
      <c r="B2852"/>
      <c r="C2852"/>
      <c r="D2852"/>
      <c r="Q2852"/>
      <c r="AQ2852" s="20"/>
    </row>
    <row r="2853" spans="2:43">
      <c r="B2853"/>
      <c r="C2853"/>
      <c r="D2853"/>
      <c r="Q2853"/>
      <c r="AQ2853" s="20"/>
    </row>
    <row r="2854" spans="2:43">
      <c r="B2854"/>
      <c r="C2854"/>
      <c r="D2854"/>
      <c r="Q2854"/>
      <c r="AQ2854" s="20"/>
    </row>
    <row r="2855" spans="2:43">
      <c r="B2855"/>
      <c r="C2855"/>
      <c r="D2855"/>
      <c r="Q2855"/>
      <c r="AQ2855" s="20"/>
    </row>
    <row r="2856" spans="2:43">
      <c r="B2856"/>
      <c r="C2856"/>
      <c r="D2856"/>
      <c r="Q2856"/>
      <c r="AQ2856" s="20"/>
    </row>
    <row r="2857" spans="2:43">
      <c r="B2857"/>
      <c r="C2857"/>
      <c r="D2857"/>
      <c r="Q2857"/>
      <c r="AQ2857" s="20"/>
    </row>
    <row r="2858" spans="2:43">
      <c r="B2858"/>
      <c r="C2858"/>
      <c r="D2858"/>
      <c r="Q2858"/>
      <c r="AQ2858" s="20"/>
    </row>
    <row r="2859" spans="2:43">
      <c r="B2859"/>
      <c r="C2859"/>
      <c r="D2859"/>
      <c r="Q2859"/>
      <c r="AQ2859" s="20"/>
    </row>
    <row r="2860" spans="2:43">
      <c r="B2860"/>
      <c r="C2860"/>
      <c r="D2860"/>
      <c r="Q2860"/>
      <c r="AQ2860" s="20"/>
    </row>
    <row r="2861" spans="2:43">
      <c r="B2861"/>
      <c r="C2861"/>
      <c r="D2861"/>
      <c r="Q2861"/>
      <c r="AQ2861" s="20"/>
    </row>
    <row r="2862" spans="2:43">
      <c r="B2862"/>
      <c r="C2862"/>
      <c r="D2862"/>
      <c r="Q2862"/>
      <c r="AQ2862" s="20"/>
    </row>
    <row r="2863" spans="2:43">
      <c r="B2863"/>
      <c r="C2863"/>
      <c r="D2863"/>
      <c r="Q2863"/>
      <c r="AQ2863" s="20"/>
    </row>
    <row r="2864" spans="2:43">
      <c r="B2864"/>
      <c r="C2864"/>
      <c r="D2864"/>
      <c r="Q2864"/>
      <c r="AQ2864" s="20"/>
    </row>
    <row r="2865" spans="2:43">
      <c r="B2865"/>
      <c r="C2865"/>
      <c r="D2865"/>
      <c r="Q2865"/>
      <c r="AQ2865" s="20"/>
    </row>
    <row r="2866" spans="2:43">
      <c r="B2866"/>
      <c r="C2866"/>
      <c r="D2866"/>
      <c r="Q2866"/>
      <c r="AQ2866" s="20"/>
    </row>
    <row r="2867" spans="2:43">
      <c r="B2867"/>
      <c r="C2867"/>
      <c r="D2867"/>
      <c r="Q2867"/>
      <c r="AQ2867" s="20"/>
    </row>
    <row r="2868" spans="2:43">
      <c r="B2868"/>
      <c r="C2868"/>
      <c r="D2868"/>
      <c r="Q2868"/>
      <c r="AQ2868" s="20"/>
    </row>
    <row r="2869" spans="2:43">
      <c r="B2869"/>
      <c r="C2869"/>
      <c r="D2869"/>
      <c r="Q2869"/>
      <c r="AQ2869" s="20"/>
    </row>
    <row r="2870" spans="2:43">
      <c r="B2870"/>
      <c r="C2870"/>
      <c r="D2870"/>
      <c r="Q2870"/>
      <c r="AQ2870" s="20"/>
    </row>
    <row r="2871" spans="2:43">
      <c r="B2871"/>
      <c r="C2871"/>
      <c r="D2871"/>
      <c r="Q2871"/>
      <c r="AQ2871" s="20"/>
    </row>
    <row r="2872" spans="2:43">
      <c r="B2872"/>
      <c r="C2872"/>
      <c r="D2872"/>
      <c r="Q2872"/>
      <c r="AQ2872" s="20"/>
    </row>
    <row r="2873" spans="2:43">
      <c r="B2873"/>
      <c r="C2873"/>
      <c r="D2873"/>
      <c r="Q2873"/>
      <c r="AQ2873" s="20"/>
    </row>
    <row r="2874" spans="2:43">
      <c r="B2874"/>
      <c r="C2874"/>
      <c r="D2874"/>
      <c r="Q2874"/>
      <c r="AQ2874" s="20"/>
    </row>
    <row r="2875" spans="2:43">
      <c r="B2875"/>
      <c r="C2875"/>
      <c r="D2875"/>
      <c r="Q2875"/>
      <c r="AQ2875" s="20"/>
    </row>
    <row r="2876" spans="2:43">
      <c r="B2876"/>
      <c r="C2876"/>
      <c r="D2876"/>
      <c r="Q2876"/>
      <c r="AQ2876" s="20"/>
    </row>
    <row r="2877" spans="2:43">
      <c r="B2877"/>
      <c r="C2877"/>
      <c r="D2877"/>
      <c r="Q2877"/>
      <c r="AQ2877" s="20"/>
    </row>
    <row r="2878" spans="2:43">
      <c r="B2878"/>
      <c r="C2878"/>
      <c r="D2878"/>
      <c r="Q2878"/>
      <c r="AQ2878" s="20"/>
    </row>
    <row r="2879" spans="2:43">
      <c r="B2879"/>
      <c r="C2879"/>
      <c r="D2879"/>
      <c r="Q2879"/>
      <c r="AQ2879" s="20"/>
    </row>
    <row r="2880" spans="2:43">
      <c r="B2880"/>
      <c r="C2880"/>
      <c r="D2880"/>
      <c r="Q2880"/>
      <c r="AQ2880" s="20"/>
    </row>
    <row r="2881" spans="2:43">
      <c r="B2881"/>
      <c r="C2881"/>
      <c r="D2881"/>
      <c r="Q2881"/>
      <c r="AQ2881" s="20"/>
    </row>
    <row r="2882" spans="2:43">
      <c r="B2882"/>
      <c r="C2882"/>
      <c r="D2882"/>
      <c r="Q2882"/>
      <c r="AQ2882" s="20"/>
    </row>
    <row r="2883" spans="2:43">
      <c r="B2883"/>
      <c r="C2883"/>
      <c r="D2883"/>
      <c r="Q2883"/>
      <c r="AQ2883" s="20"/>
    </row>
    <row r="2884" spans="2:43">
      <c r="B2884"/>
      <c r="C2884"/>
      <c r="D2884"/>
      <c r="Q2884"/>
      <c r="AQ2884" s="20"/>
    </row>
    <row r="2885" spans="2:43">
      <c r="B2885"/>
      <c r="C2885"/>
      <c r="D2885"/>
      <c r="Q2885"/>
      <c r="AQ2885" s="20"/>
    </row>
    <row r="2886" spans="2:43">
      <c r="B2886"/>
      <c r="C2886"/>
      <c r="D2886"/>
      <c r="Q2886"/>
      <c r="AQ2886" s="20"/>
    </row>
    <row r="2887" spans="2:43">
      <c r="B2887"/>
      <c r="C2887"/>
      <c r="D2887"/>
      <c r="Q2887"/>
      <c r="AQ2887" s="20"/>
    </row>
    <row r="2888" spans="2:43">
      <c r="B2888"/>
      <c r="C2888"/>
      <c r="D2888"/>
      <c r="Q2888"/>
      <c r="AQ2888" s="20"/>
    </row>
    <row r="2889" spans="2:43">
      <c r="B2889"/>
      <c r="C2889"/>
      <c r="D2889"/>
      <c r="Q2889"/>
      <c r="AQ2889" s="20"/>
    </row>
    <row r="2890" spans="2:43">
      <c r="B2890"/>
      <c r="C2890"/>
      <c r="D2890"/>
      <c r="Q2890"/>
      <c r="AQ2890" s="20"/>
    </row>
    <row r="2891" spans="2:43">
      <c r="B2891"/>
      <c r="C2891"/>
      <c r="D2891"/>
      <c r="Q2891"/>
      <c r="AQ2891" s="20"/>
    </row>
    <row r="2892" spans="2:43">
      <c r="B2892"/>
      <c r="C2892"/>
      <c r="D2892"/>
      <c r="Q2892"/>
      <c r="AQ2892" s="20"/>
    </row>
    <row r="2893" spans="2:43">
      <c r="B2893"/>
      <c r="C2893"/>
      <c r="D2893"/>
      <c r="Q2893"/>
      <c r="AQ2893" s="20"/>
    </row>
    <row r="2894" spans="2:43">
      <c r="B2894"/>
      <c r="C2894"/>
      <c r="D2894"/>
      <c r="Q2894"/>
      <c r="AQ2894" s="20"/>
    </row>
    <row r="2895" spans="2:43">
      <c r="B2895"/>
      <c r="C2895"/>
      <c r="D2895"/>
      <c r="Q2895"/>
      <c r="AQ2895" s="20"/>
    </row>
    <row r="2896" spans="2:43">
      <c r="B2896"/>
      <c r="C2896"/>
      <c r="D2896"/>
      <c r="Q2896"/>
      <c r="AQ2896" s="20"/>
    </row>
    <row r="2897" spans="2:43">
      <c r="B2897"/>
      <c r="C2897"/>
      <c r="D2897"/>
      <c r="Q2897"/>
      <c r="AQ2897" s="20"/>
    </row>
    <row r="2898" spans="2:43">
      <c r="B2898"/>
      <c r="C2898"/>
      <c r="D2898"/>
      <c r="Q2898"/>
      <c r="AQ2898" s="20"/>
    </row>
    <row r="2899" spans="2:43">
      <c r="B2899"/>
      <c r="C2899"/>
      <c r="D2899"/>
      <c r="Q2899"/>
      <c r="AQ2899" s="20"/>
    </row>
    <row r="2900" spans="2:43">
      <c r="B2900"/>
      <c r="C2900"/>
      <c r="D2900"/>
      <c r="Q2900"/>
      <c r="AQ2900" s="20"/>
    </row>
    <row r="2901" spans="2:43">
      <c r="B2901"/>
      <c r="C2901"/>
      <c r="D2901"/>
      <c r="Q2901"/>
      <c r="AQ2901" s="20"/>
    </row>
    <row r="2902" spans="2:43">
      <c r="B2902"/>
      <c r="C2902"/>
      <c r="D2902"/>
      <c r="Q2902"/>
      <c r="AQ2902" s="20"/>
    </row>
    <row r="2903" spans="2:43">
      <c r="B2903"/>
      <c r="C2903"/>
      <c r="D2903"/>
      <c r="Q2903"/>
      <c r="AQ2903" s="20"/>
    </row>
    <row r="2904" spans="2:43">
      <c r="B2904"/>
      <c r="C2904"/>
      <c r="D2904"/>
      <c r="Q2904"/>
      <c r="AQ2904" s="20"/>
    </row>
    <row r="2905" spans="2:43">
      <c r="B2905"/>
      <c r="C2905"/>
      <c r="D2905"/>
      <c r="Q2905"/>
      <c r="AQ2905" s="20"/>
    </row>
    <row r="2906" spans="2:43">
      <c r="B2906"/>
      <c r="C2906"/>
      <c r="D2906"/>
      <c r="Q2906"/>
      <c r="AQ2906" s="20"/>
    </row>
    <row r="2907" spans="2:43">
      <c r="B2907"/>
      <c r="C2907"/>
      <c r="D2907"/>
      <c r="Q2907"/>
      <c r="AQ2907" s="20"/>
    </row>
    <row r="2908" spans="2:43">
      <c r="B2908"/>
      <c r="C2908"/>
      <c r="D2908"/>
      <c r="Q2908"/>
      <c r="AQ2908" s="20"/>
    </row>
    <row r="2909" spans="2:43">
      <c r="B2909"/>
      <c r="C2909"/>
      <c r="D2909"/>
      <c r="Q2909"/>
      <c r="AQ2909" s="20"/>
    </row>
    <row r="2910" spans="2:43">
      <c r="B2910"/>
      <c r="C2910"/>
      <c r="D2910"/>
      <c r="Q2910"/>
      <c r="AQ2910" s="20"/>
    </row>
    <row r="2911" spans="2:43">
      <c r="B2911"/>
      <c r="C2911"/>
      <c r="D2911"/>
      <c r="Q2911"/>
      <c r="AQ2911" s="20"/>
    </row>
    <row r="2912" spans="2:43">
      <c r="B2912"/>
      <c r="C2912"/>
      <c r="D2912"/>
      <c r="Q2912"/>
      <c r="AQ2912" s="20"/>
    </row>
    <row r="2913" spans="2:43">
      <c r="B2913"/>
      <c r="C2913"/>
      <c r="D2913"/>
      <c r="Q2913"/>
      <c r="AQ2913" s="20"/>
    </row>
    <row r="2914" spans="2:43">
      <c r="B2914"/>
      <c r="C2914"/>
      <c r="D2914"/>
      <c r="Q2914"/>
      <c r="AQ2914" s="20"/>
    </row>
    <row r="2915" spans="2:43">
      <c r="B2915"/>
      <c r="C2915"/>
      <c r="D2915"/>
      <c r="Q2915"/>
      <c r="AQ2915" s="20"/>
    </row>
    <row r="2916" spans="2:43">
      <c r="B2916"/>
      <c r="C2916"/>
      <c r="D2916"/>
      <c r="Q2916"/>
      <c r="AQ2916" s="20"/>
    </row>
    <row r="2917" spans="2:43">
      <c r="B2917"/>
      <c r="C2917"/>
      <c r="D2917"/>
      <c r="Q2917"/>
      <c r="AQ2917" s="20"/>
    </row>
    <row r="2918" spans="2:43">
      <c r="B2918"/>
      <c r="C2918"/>
      <c r="D2918"/>
      <c r="Q2918"/>
      <c r="AQ2918" s="20"/>
    </row>
    <row r="2919" spans="2:43">
      <c r="B2919"/>
      <c r="C2919"/>
      <c r="D2919"/>
      <c r="Q2919"/>
      <c r="AQ2919" s="20"/>
    </row>
    <row r="2920" spans="2:43">
      <c r="B2920"/>
      <c r="C2920"/>
      <c r="D2920"/>
      <c r="Q2920"/>
      <c r="AQ2920" s="20"/>
    </row>
    <row r="2921" spans="2:43">
      <c r="B2921"/>
      <c r="C2921"/>
      <c r="D2921"/>
      <c r="Q2921"/>
      <c r="AQ2921" s="20"/>
    </row>
    <row r="2922" spans="2:43">
      <c r="B2922"/>
      <c r="C2922"/>
      <c r="D2922"/>
      <c r="Q2922"/>
      <c r="AQ2922" s="20"/>
    </row>
    <row r="2923" spans="2:43">
      <c r="B2923"/>
      <c r="C2923"/>
      <c r="D2923"/>
      <c r="Q2923"/>
      <c r="AQ2923" s="20"/>
    </row>
    <row r="2924" spans="2:43">
      <c r="B2924"/>
      <c r="C2924"/>
      <c r="D2924"/>
      <c r="Q2924"/>
      <c r="AQ2924" s="20"/>
    </row>
    <row r="2925" spans="2:43">
      <c r="B2925"/>
      <c r="C2925"/>
      <c r="D2925"/>
      <c r="Q2925"/>
      <c r="AQ2925" s="20"/>
    </row>
    <row r="2926" spans="2:43">
      <c r="B2926"/>
      <c r="C2926"/>
      <c r="D2926"/>
      <c r="Q2926"/>
      <c r="AQ2926" s="20"/>
    </row>
    <row r="2927" spans="2:43">
      <c r="B2927"/>
      <c r="C2927"/>
      <c r="D2927"/>
      <c r="Q2927"/>
      <c r="AQ2927" s="20"/>
    </row>
    <row r="2928" spans="2:43">
      <c r="B2928"/>
      <c r="C2928"/>
      <c r="D2928"/>
      <c r="Q2928"/>
      <c r="AQ2928" s="20"/>
    </row>
    <row r="2929" spans="2:43">
      <c r="B2929"/>
      <c r="C2929"/>
      <c r="D2929"/>
      <c r="Q2929"/>
      <c r="AQ2929" s="20"/>
    </row>
    <row r="2930" spans="2:43">
      <c r="B2930"/>
      <c r="C2930"/>
      <c r="D2930"/>
      <c r="Q2930"/>
      <c r="AQ2930" s="20"/>
    </row>
    <row r="2931" spans="2:43">
      <c r="B2931"/>
      <c r="C2931"/>
      <c r="D2931"/>
      <c r="Q2931"/>
      <c r="AQ2931" s="20"/>
    </row>
    <row r="2932" spans="2:43">
      <c r="B2932"/>
      <c r="C2932"/>
      <c r="D2932"/>
      <c r="Q2932"/>
      <c r="AQ2932" s="20"/>
    </row>
    <row r="2933" spans="2:43">
      <c r="B2933"/>
      <c r="C2933"/>
      <c r="D2933"/>
      <c r="Q2933"/>
      <c r="AQ2933" s="20"/>
    </row>
    <row r="2934" spans="2:43">
      <c r="B2934"/>
      <c r="C2934"/>
      <c r="D2934"/>
      <c r="Q2934"/>
      <c r="AQ2934" s="20"/>
    </row>
    <row r="2935" spans="2:43">
      <c r="B2935"/>
      <c r="C2935"/>
      <c r="D2935"/>
      <c r="Q2935"/>
      <c r="AQ2935" s="20"/>
    </row>
    <row r="2936" spans="2:43">
      <c r="B2936"/>
      <c r="C2936"/>
      <c r="D2936"/>
      <c r="Q2936"/>
      <c r="AQ2936" s="20"/>
    </row>
    <row r="2937" spans="2:43">
      <c r="B2937"/>
      <c r="C2937"/>
      <c r="D2937"/>
      <c r="Q2937"/>
      <c r="AQ2937" s="20"/>
    </row>
    <row r="2938" spans="2:43">
      <c r="B2938"/>
      <c r="C2938"/>
      <c r="D2938"/>
      <c r="Q2938"/>
      <c r="AQ2938" s="20"/>
    </row>
    <row r="2939" spans="2:43">
      <c r="B2939"/>
      <c r="C2939"/>
      <c r="D2939"/>
      <c r="Q2939"/>
      <c r="AQ2939" s="20"/>
    </row>
    <row r="2940" spans="2:43">
      <c r="B2940"/>
      <c r="C2940"/>
      <c r="D2940"/>
      <c r="Q2940"/>
      <c r="AQ2940" s="20"/>
    </row>
    <row r="2941" spans="2:43">
      <c r="B2941"/>
      <c r="C2941"/>
      <c r="D2941"/>
      <c r="Q2941"/>
      <c r="AQ2941" s="20"/>
    </row>
    <row r="2942" spans="2:43">
      <c r="B2942"/>
      <c r="C2942"/>
      <c r="D2942"/>
      <c r="Q2942"/>
      <c r="AQ2942" s="20"/>
    </row>
    <row r="2943" spans="2:43">
      <c r="B2943"/>
      <c r="C2943"/>
      <c r="D2943"/>
      <c r="Q2943"/>
      <c r="AQ2943" s="20"/>
    </row>
    <row r="2944" spans="2:43">
      <c r="B2944"/>
      <c r="C2944"/>
      <c r="D2944"/>
      <c r="Q2944"/>
      <c r="AQ2944" s="20"/>
    </row>
    <row r="2945" spans="2:43">
      <c r="B2945"/>
      <c r="C2945"/>
      <c r="D2945"/>
      <c r="Q2945"/>
      <c r="AQ2945" s="20"/>
    </row>
    <row r="2946" spans="2:43">
      <c r="B2946"/>
      <c r="C2946"/>
      <c r="D2946"/>
      <c r="Q2946"/>
      <c r="AQ2946" s="20"/>
    </row>
    <row r="2947" spans="2:43">
      <c r="B2947"/>
      <c r="C2947"/>
      <c r="D2947"/>
      <c r="Q2947"/>
      <c r="AQ2947" s="20"/>
    </row>
    <row r="2948" spans="2:43">
      <c r="B2948"/>
      <c r="C2948"/>
      <c r="D2948"/>
      <c r="Q2948"/>
      <c r="AQ2948" s="20"/>
    </row>
    <row r="2949" spans="2:43">
      <c r="B2949"/>
      <c r="C2949"/>
      <c r="D2949"/>
      <c r="Q2949"/>
      <c r="AQ2949" s="20"/>
    </row>
    <row r="2950" spans="2:43">
      <c r="B2950"/>
      <c r="C2950"/>
      <c r="D2950"/>
      <c r="Q2950"/>
      <c r="AQ2950" s="20"/>
    </row>
    <row r="2951" spans="2:43">
      <c r="B2951"/>
      <c r="C2951"/>
      <c r="D2951"/>
      <c r="Q2951"/>
      <c r="AQ2951" s="20"/>
    </row>
    <row r="2952" spans="2:43">
      <c r="B2952"/>
      <c r="C2952"/>
      <c r="D2952"/>
      <c r="Q2952"/>
      <c r="AQ2952" s="20"/>
    </row>
    <row r="2953" spans="2:43">
      <c r="B2953"/>
      <c r="C2953"/>
      <c r="D2953"/>
      <c r="Q2953"/>
      <c r="AQ2953" s="20"/>
    </row>
    <row r="2954" spans="2:43">
      <c r="B2954"/>
      <c r="C2954"/>
      <c r="D2954"/>
      <c r="Q2954"/>
      <c r="AQ2954" s="20"/>
    </row>
    <row r="2955" spans="2:43">
      <c r="B2955"/>
      <c r="C2955"/>
      <c r="D2955"/>
      <c r="Q2955"/>
      <c r="AQ2955" s="20"/>
    </row>
    <row r="2956" spans="2:43">
      <c r="B2956"/>
      <c r="C2956"/>
      <c r="D2956"/>
      <c r="Q2956"/>
      <c r="AQ2956" s="20"/>
    </row>
    <row r="2957" spans="2:43">
      <c r="B2957"/>
      <c r="C2957"/>
      <c r="D2957"/>
      <c r="Q2957"/>
      <c r="AQ2957" s="20"/>
    </row>
    <row r="2958" spans="2:43">
      <c r="B2958"/>
      <c r="C2958"/>
      <c r="D2958"/>
      <c r="Q2958"/>
      <c r="AQ2958" s="20"/>
    </row>
    <row r="2959" spans="2:43">
      <c r="B2959"/>
      <c r="C2959"/>
      <c r="D2959"/>
      <c r="Q2959"/>
      <c r="AQ2959" s="20"/>
    </row>
    <row r="2960" spans="2:43">
      <c r="B2960"/>
      <c r="C2960"/>
      <c r="D2960"/>
      <c r="Q2960"/>
      <c r="AQ2960" s="20"/>
    </row>
    <row r="2961" spans="2:43">
      <c r="B2961"/>
      <c r="C2961"/>
      <c r="D2961"/>
      <c r="Q2961"/>
      <c r="AQ2961" s="20"/>
    </row>
    <row r="2962" spans="2:43">
      <c r="B2962"/>
      <c r="C2962"/>
      <c r="D2962"/>
      <c r="Q2962"/>
      <c r="AQ2962" s="20"/>
    </row>
    <row r="2963" spans="2:43">
      <c r="B2963"/>
      <c r="C2963"/>
      <c r="D2963"/>
      <c r="Q2963"/>
      <c r="AQ2963" s="20"/>
    </row>
    <row r="2964" spans="2:43">
      <c r="B2964"/>
      <c r="C2964"/>
      <c r="D2964"/>
      <c r="Q2964"/>
      <c r="AQ2964" s="20"/>
    </row>
    <row r="2965" spans="2:43">
      <c r="B2965"/>
      <c r="C2965"/>
      <c r="D2965"/>
      <c r="Q2965"/>
      <c r="AQ2965" s="20"/>
    </row>
    <row r="2966" spans="2:43">
      <c r="B2966"/>
      <c r="C2966"/>
      <c r="D2966"/>
      <c r="Q2966"/>
      <c r="AQ2966" s="20"/>
    </row>
    <row r="2967" spans="2:43">
      <c r="B2967"/>
      <c r="C2967"/>
      <c r="D2967"/>
      <c r="Q2967"/>
      <c r="AQ2967" s="20"/>
    </row>
    <row r="2968" spans="2:43">
      <c r="B2968"/>
      <c r="C2968"/>
      <c r="D2968"/>
      <c r="Q2968"/>
      <c r="AQ2968" s="20"/>
    </row>
    <row r="2969" spans="2:43">
      <c r="B2969"/>
      <c r="C2969"/>
      <c r="D2969"/>
      <c r="Q2969"/>
      <c r="AQ2969" s="20"/>
    </row>
    <row r="2970" spans="2:43">
      <c r="B2970"/>
      <c r="C2970"/>
      <c r="D2970"/>
      <c r="Q2970"/>
      <c r="AQ2970" s="20"/>
    </row>
    <row r="2971" spans="2:43">
      <c r="B2971"/>
      <c r="C2971"/>
      <c r="D2971"/>
      <c r="Q2971"/>
      <c r="AQ2971" s="20"/>
    </row>
    <row r="2972" spans="2:43">
      <c r="B2972"/>
      <c r="C2972"/>
      <c r="D2972"/>
      <c r="Q2972"/>
      <c r="AQ2972" s="20"/>
    </row>
    <row r="2973" spans="2:43">
      <c r="B2973"/>
      <c r="C2973"/>
      <c r="D2973"/>
      <c r="Q2973"/>
      <c r="AQ2973" s="20"/>
    </row>
    <row r="2974" spans="2:43">
      <c r="B2974"/>
      <c r="C2974"/>
      <c r="D2974"/>
      <c r="Q2974"/>
      <c r="AQ2974" s="20"/>
    </row>
    <row r="2975" spans="2:43">
      <c r="B2975"/>
      <c r="C2975"/>
      <c r="D2975"/>
      <c r="Q2975"/>
      <c r="AQ2975" s="20"/>
    </row>
    <row r="2976" spans="2:43">
      <c r="B2976"/>
      <c r="C2976"/>
      <c r="D2976"/>
      <c r="Q2976"/>
      <c r="AQ2976" s="20"/>
    </row>
    <row r="2977" spans="2:43">
      <c r="B2977"/>
      <c r="C2977"/>
      <c r="D2977"/>
      <c r="Q2977"/>
      <c r="AQ2977" s="20"/>
    </row>
    <row r="2978" spans="2:43">
      <c r="B2978"/>
      <c r="C2978"/>
      <c r="D2978"/>
      <c r="Q2978"/>
      <c r="AQ2978" s="20"/>
    </row>
    <row r="2979" spans="2:43">
      <c r="B2979"/>
      <c r="C2979"/>
      <c r="D2979"/>
      <c r="Q2979"/>
      <c r="AQ2979" s="20"/>
    </row>
    <row r="2980" spans="2:43">
      <c r="B2980"/>
      <c r="C2980"/>
      <c r="D2980"/>
      <c r="Q2980"/>
      <c r="AQ2980" s="20"/>
    </row>
    <row r="2981" spans="2:43">
      <c r="B2981"/>
      <c r="C2981"/>
      <c r="D2981"/>
      <c r="Q2981"/>
      <c r="AQ2981" s="20"/>
    </row>
    <row r="2982" spans="2:43">
      <c r="B2982"/>
      <c r="C2982"/>
      <c r="D2982"/>
      <c r="Q2982"/>
      <c r="AQ2982" s="20"/>
    </row>
    <row r="2983" spans="2:43">
      <c r="B2983"/>
      <c r="C2983"/>
      <c r="D2983"/>
      <c r="Q2983"/>
      <c r="AQ2983" s="20"/>
    </row>
    <row r="2984" spans="2:43">
      <c r="B2984"/>
      <c r="C2984"/>
      <c r="D2984"/>
      <c r="Q2984"/>
      <c r="AQ2984" s="20"/>
    </row>
    <row r="2985" spans="2:43">
      <c r="B2985"/>
      <c r="C2985"/>
      <c r="D2985"/>
      <c r="Q2985"/>
      <c r="AQ2985" s="20"/>
    </row>
    <row r="2986" spans="2:43">
      <c r="B2986"/>
      <c r="C2986"/>
      <c r="D2986"/>
      <c r="Q2986"/>
      <c r="AQ2986" s="20"/>
    </row>
    <row r="2987" spans="2:43">
      <c r="B2987"/>
      <c r="C2987"/>
      <c r="D2987"/>
      <c r="Q2987"/>
      <c r="AQ2987" s="20"/>
    </row>
    <row r="2988" spans="2:43">
      <c r="B2988"/>
      <c r="C2988"/>
      <c r="D2988"/>
      <c r="Q2988"/>
      <c r="AQ2988" s="20"/>
    </row>
    <row r="2989" spans="2:43">
      <c r="B2989"/>
      <c r="C2989"/>
      <c r="D2989"/>
      <c r="Q2989"/>
      <c r="AQ2989" s="20"/>
    </row>
    <row r="2990" spans="2:43">
      <c r="B2990"/>
      <c r="C2990"/>
      <c r="D2990"/>
      <c r="Q2990"/>
      <c r="AQ2990" s="20"/>
    </row>
    <row r="2991" spans="2:43">
      <c r="B2991"/>
      <c r="C2991"/>
      <c r="D2991"/>
      <c r="Q2991"/>
      <c r="AQ2991" s="20"/>
    </row>
    <row r="2992" spans="2:43">
      <c r="B2992"/>
      <c r="C2992"/>
      <c r="D2992"/>
      <c r="Q2992"/>
      <c r="AQ2992" s="20"/>
    </row>
    <row r="2993" spans="2:43">
      <c r="B2993"/>
      <c r="C2993"/>
      <c r="D2993"/>
      <c r="Q2993"/>
      <c r="AQ2993" s="20"/>
    </row>
    <row r="2994" spans="2:43">
      <c r="B2994"/>
      <c r="C2994"/>
      <c r="D2994"/>
      <c r="Q2994"/>
      <c r="AQ2994" s="20"/>
    </row>
    <row r="2995" spans="2:43">
      <c r="B2995"/>
      <c r="C2995"/>
      <c r="D2995"/>
      <c r="Q2995"/>
      <c r="AQ2995" s="20"/>
    </row>
    <row r="2996" spans="2:43">
      <c r="B2996"/>
      <c r="C2996"/>
      <c r="D2996"/>
      <c r="Q2996"/>
      <c r="AQ2996" s="20"/>
    </row>
    <row r="2997" spans="2:43">
      <c r="B2997"/>
      <c r="C2997"/>
      <c r="D2997"/>
      <c r="Q2997"/>
      <c r="AQ2997" s="20"/>
    </row>
    <row r="2998" spans="2:43">
      <c r="B2998"/>
      <c r="C2998"/>
      <c r="D2998"/>
      <c r="Q2998"/>
      <c r="AQ2998" s="20"/>
    </row>
    <row r="2999" spans="2:43">
      <c r="B2999"/>
      <c r="C2999"/>
      <c r="D2999"/>
      <c r="Q2999"/>
      <c r="AQ2999" s="20"/>
    </row>
    <row r="3000" spans="2:43">
      <c r="B3000"/>
      <c r="C3000"/>
      <c r="D3000"/>
      <c r="Q3000"/>
      <c r="AQ3000" s="20"/>
    </row>
    <row r="3001" spans="2:43">
      <c r="B3001"/>
      <c r="C3001"/>
      <c r="D3001"/>
      <c r="Q3001"/>
      <c r="AQ3001" s="20"/>
    </row>
    <row r="3002" spans="2:43">
      <c r="B3002"/>
      <c r="C3002"/>
      <c r="D3002"/>
      <c r="Q3002"/>
      <c r="AQ3002" s="20"/>
    </row>
    <row r="3003" spans="2:43">
      <c r="B3003"/>
      <c r="C3003"/>
      <c r="D3003"/>
      <c r="Q3003"/>
      <c r="AQ3003" s="20"/>
    </row>
    <row r="3004" spans="2:43">
      <c r="B3004"/>
      <c r="C3004"/>
      <c r="D3004"/>
      <c r="Q3004"/>
      <c r="AQ3004" s="20"/>
    </row>
    <row r="3005" spans="2:43">
      <c r="B3005"/>
      <c r="C3005"/>
      <c r="D3005"/>
      <c r="Q3005"/>
      <c r="AQ3005" s="20"/>
    </row>
    <row r="3006" spans="2:43">
      <c r="B3006"/>
      <c r="C3006"/>
      <c r="D3006"/>
      <c r="Q3006"/>
      <c r="AQ3006" s="20"/>
    </row>
    <row r="3007" spans="2:43">
      <c r="B3007"/>
      <c r="C3007"/>
      <c r="D3007"/>
      <c r="Q3007"/>
      <c r="AQ3007" s="20"/>
    </row>
    <row r="3008" spans="2:43">
      <c r="B3008"/>
      <c r="C3008"/>
      <c r="D3008"/>
      <c r="Q3008"/>
      <c r="AQ3008" s="20"/>
    </row>
    <row r="3009" spans="2:43">
      <c r="B3009"/>
      <c r="C3009"/>
      <c r="D3009"/>
      <c r="Q3009"/>
      <c r="AQ3009" s="20"/>
    </row>
    <row r="3010" spans="2:43">
      <c r="B3010"/>
      <c r="C3010"/>
      <c r="D3010"/>
      <c r="Q3010"/>
      <c r="AQ3010" s="20"/>
    </row>
    <row r="3011" spans="2:43">
      <c r="B3011"/>
      <c r="C3011"/>
      <c r="D3011"/>
      <c r="Q3011"/>
      <c r="AQ3011" s="20"/>
    </row>
    <row r="3012" spans="2:43">
      <c r="B3012"/>
      <c r="C3012"/>
      <c r="D3012"/>
      <c r="Q3012"/>
      <c r="AQ3012" s="20"/>
    </row>
    <row r="3013" spans="2:43">
      <c r="B3013"/>
      <c r="C3013"/>
      <c r="D3013"/>
      <c r="Q3013"/>
      <c r="AQ3013" s="20"/>
    </row>
    <row r="3014" spans="2:43">
      <c r="B3014"/>
      <c r="C3014"/>
      <c r="D3014"/>
      <c r="Q3014"/>
      <c r="AQ3014" s="20"/>
    </row>
    <row r="3015" spans="2:43">
      <c r="B3015"/>
      <c r="C3015"/>
      <c r="D3015"/>
      <c r="Q3015"/>
      <c r="AQ3015" s="20"/>
    </row>
    <row r="3016" spans="2:43">
      <c r="B3016"/>
      <c r="C3016"/>
      <c r="D3016"/>
      <c r="Q3016"/>
      <c r="AQ3016" s="20"/>
    </row>
    <row r="3017" spans="2:43">
      <c r="B3017"/>
      <c r="C3017"/>
      <c r="D3017"/>
      <c r="Q3017"/>
      <c r="AQ3017" s="20"/>
    </row>
    <row r="3018" spans="2:43">
      <c r="B3018"/>
      <c r="C3018"/>
      <c r="D3018"/>
      <c r="Q3018"/>
      <c r="AQ3018" s="20"/>
    </row>
    <row r="3019" spans="2:43">
      <c r="B3019"/>
      <c r="C3019"/>
      <c r="D3019"/>
      <c r="Q3019"/>
      <c r="AQ3019" s="20"/>
    </row>
    <row r="3020" spans="2:43">
      <c r="B3020"/>
      <c r="C3020"/>
      <c r="D3020"/>
      <c r="Q3020"/>
      <c r="AQ3020" s="20"/>
    </row>
    <row r="3021" spans="2:43">
      <c r="B3021"/>
      <c r="C3021"/>
      <c r="D3021"/>
      <c r="Q3021"/>
      <c r="AQ3021" s="20"/>
    </row>
    <row r="3022" spans="2:43">
      <c r="B3022"/>
      <c r="C3022"/>
      <c r="D3022"/>
      <c r="Q3022"/>
      <c r="AQ3022" s="20"/>
    </row>
    <row r="3023" spans="2:43">
      <c r="B3023"/>
      <c r="C3023"/>
      <c r="D3023"/>
      <c r="Q3023"/>
      <c r="AQ3023" s="20"/>
    </row>
    <row r="3024" spans="2:43">
      <c r="B3024"/>
      <c r="C3024"/>
      <c r="D3024"/>
      <c r="Q3024"/>
      <c r="AQ3024" s="20"/>
    </row>
    <row r="3025" spans="2:43">
      <c r="B3025"/>
      <c r="C3025"/>
      <c r="D3025"/>
      <c r="Q3025"/>
      <c r="AQ3025" s="20"/>
    </row>
    <row r="3026" spans="2:43">
      <c r="B3026"/>
      <c r="C3026"/>
      <c r="D3026"/>
      <c r="Q3026"/>
      <c r="AQ3026" s="20"/>
    </row>
    <row r="3027" spans="2:43">
      <c r="B3027"/>
      <c r="C3027"/>
      <c r="D3027"/>
      <c r="Q3027"/>
      <c r="AQ3027" s="20"/>
    </row>
    <row r="3028" spans="2:43">
      <c r="B3028"/>
      <c r="C3028"/>
      <c r="D3028"/>
      <c r="Q3028"/>
      <c r="AQ3028" s="20"/>
    </row>
    <row r="3029" spans="2:43">
      <c r="B3029"/>
      <c r="C3029"/>
      <c r="D3029"/>
      <c r="Q3029"/>
      <c r="AQ3029" s="20"/>
    </row>
    <row r="3030" spans="2:43">
      <c r="B3030"/>
      <c r="C3030"/>
      <c r="D3030"/>
      <c r="Q3030"/>
      <c r="AQ3030" s="20"/>
    </row>
    <row r="3031" spans="2:43">
      <c r="B3031"/>
      <c r="C3031"/>
      <c r="D3031"/>
      <c r="Q3031"/>
      <c r="AQ3031" s="20"/>
    </row>
    <row r="3032" spans="2:43">
      <c r="B3032"/>
      <c r="C3032"/>
      <c r="D3032"/>
      <c r="Q3032"/>
      <c r="AQ3032" s="20"/>
    </row>
    <row r="3033" spans="2:43">
      <c r="B3033"/>
      <c r="C3033"/>
      <c r="D3033"/>
      <c r="Q3033"/>
      <c r="AQ3033" s="20"/>
    </row>
    <row r="3034" spans="2:43">
      <c r="B3034"/>
      <c r="C3034"/>
      <c r="D3034"/>
      <c r="Q3034"/>
      <c r="AQ3034" s="20"/>
    </row>
    <row r="3035" spans="2:43">
      <c r="B3035"/>
      <c r="C3035"/>
      <c r="D3035"/>
      <c r="Q3035"/>
      <c r="AQ3035" s="20"/>
    </row>
    <row r="3036" spans="2:43">
      <c r="B3036"/>
      <c r="C3036"/>
      <c r="D3036"/>
      <c r="Q3036"/>
      <c r="AQ3036" s="20"/>
    </row>
    <row r="3037" spans="2:43">
      <c r="B3037"/>
      <c r="C3037"/>
      <c r="D3037"/>
      <c r="Q3037"/>
      <c r="AQ3037" s="20"/>
    </row>
    <row r="3038" spans="2:43">
      <c r="B3038"/>
      <c r="C3038"/>
      <c r="D3038"/>
      <c r="Q3038"/>
      <c r="AQ3038" s="20"/>
    </row>
    <row r="3039" spans="2:43">
      <c r="B3039"/>
      <c r="C3039"/>
      <c r="D3039"/>
      <c r="Q3039"/>
      <c r="AQ3039" s="20"/>
    </row>
    <row r="3040" spans="2:43">
      <c r="B3040"/>
      <c r="C3040"/>
      <c r="D3040"/>
      <c r="Q3040"/>
      <c r="AQ3040" s="20"/>
    </row>
    <row r="3041" spans="2:43">
      <c r="B3041"/>
      <c r="C3041"/>
      <c r="D3041"/>
      <c r="Q3041"/>
      <c r="AQ3041" s="20"/>
    </row>
    <row r="3042" spans="2:43">
      <c r="B3042"/>
      <c r="C3042"/>
      <c r="D3042"/>
      <c r="Q3042"/>
      <c r="AQ3042" s="20"/>
    </row>
    <row r="3043" spans="2:43">
      <c r="B3043"/>
      <c r="C3043"/>
      <c r="D3043"/>
      <c r="Q3043"/>
      <c r="AQ3043" s="20"/>
    </row>
    <row r="3044" spans="2:43">
      <c r="B3044"/>
      <c r="C3044"/>
      <c r="D3044"/>
      <c r="Q3044"/>
      <c r="AQ3044" s="20"/>
    </row>
    <row r="3045" spans="2:43">
      <c r="B3045"/>
      <c r="C3045"/>
      <c r="D3045"/>
      <c r="Q3045"/>
      <c r="AQ3045" s="20"/>
    </row>
    <row r="3046" spans="2:43">
      <c r="B3046"/>
      <c r="C3046"/>
      <c r="D3046"/>
      <c r="Q3046"/>
      <c r="AQ3046" s="20"/>
    </row>
    <row r="3047" spans="2:43">
      <c r="B3047"/>
      <c r="C3047"/>
      <c r="D3047"/>
      <c r="Q3047"/>
      <c r="AQ3047" s="20"/>
    </row>
    <row r="3048" spans="2:43">
      <c r="B3048"/>
      <c r="C3048"/>
      <c r="D3048"/>
      <c r="Q3048"/>
      <c r="AQ3048" s="20"/>
    </row>
    <row r="3049" spans="2:43">
      <c r="B3049"/>
      <c r="C3049"/>
      <c r="D3049"/>
      <c r="Q3049"/>
      <c r="AQ3049" s="20"/>
    </row>
    <row r="3050" spans="2:43">
      <c r="B3050"/>
      <c r="C3050"/>
      <c r="D3050"/>
      <c r="Q3050"/>
      <c r="AQ3050" s="20"/>
    </row>
    <row r="3051" spans="2:43">
      <c r="B3051"/>
      <c r="C3051"/>
      <c r="D3051"/>
      <c r="Q3051"/>
      <c r="AQ3051" s="20"/>
    </row>
    <row r="3052" spans="2:43">
      <c r="B3052"/>
      <c r="C3052"/>
      <c r="D3052"/>
      <c r="Q3052"/>
      <c r="AQ3052" s="20"/>
    </row>
    <row r="3053" spans="2:43">
      <c r="B3053"/>
      <c r="C3053"/>
      <c r="D3053"/>
      <c r="Q3053"/>
      <c r="AQ3053" s="20"/>
    </row>
    <row r="3054" spans="2:43">
      <c r="B3054"/>
      <c r="C3054"/>
      <c r="D3054"/>
      <c r="Q3054"/>
      <c r="AQ3054" s="20"/>
    </row>
    <row r="3055" spans="2:43">
      <c r="B3055"/>
      <c r="C3055"/>
      <c r="D3055"/>
      <c r="Q3055"/>
      <c r="AQ3055" s="20"/>
    </row>
    <row r="3056" spans="2:43">
      <c r="B3056"/>
      <c r="C3056"/>
      <c r="D3056"/>
      <c r="Q3056"/>
      <c r="AQ3056" s="20"/>
    </row>
    <row r="3057" spans="2:43">
      <c r="B3057"/>
      <c r="C3057"/>
      <c r="D3057"/>
      <c r="Q3057"/>
      <c r="AQ3057" s="20"/>
    </row>
    <row r="3058" spans="2:43">
      <c r="B3058"/>
      <c r="C3058"/>
      <c r="D3058"/>
      <c r="Q3058"/>
      <c r="AQ3058" s="20"/>
    </row>
    <row r="3059" spans="2:43">
      <c r="B3059"/>
      <c r="C3059"/>
      <c r="D3059"/>
      <c r="Q3059"/>
      <c r="AQ3059" s="20"/>
    </row>
    <row r="3060" spans="2:43">
      <c r="B3060"/>
      <c r="C3060"/>
      <c r="D3060"/>
      <c r="Q3060"/>
      <c r="AQ3060" s="20"/>
    </row>
    <row r="3061" spans="2:43">
      <c r="B3061"/>
      <c r="C3061"/>
      <c r="D3061"/>
      <c r="Q3061"/>
      <c r="AQ3061" s="20"/>
    </row>
    <row r="3062" spans="2:43">
      <c r="B3062"/>
      <c r="C3062"/>
      <c r="D3062"/>
      <c r="Q3062"/>
      <c r="AQ3062" s="20"/>
    </row>
    <row r="3063" spans="2:43">
      <c r="B3063"/>
      <c r="C3063"/>
      <c r="D3063"/>
      <c r="Q3063"/>
      <c r="AQ3063" s="20"/>
    </row>
    <row r="3064" spans="2:43">
      <c r="B3064"/>
      <c r="C3064"/>
      <c r="D3064"/>
      <c r="Q3064"/>
      <c r="AQ3064" s="20"/>
    </row>
    <row r="3065" spans="2:43">
      <c r="B3065"/>
      <c r="C3065"/>
      <c r="D3065"/>
      <c r="Q3065"/>
      <c r="AQ3065" s="20"/>
    </row>
    <row r="3066" spans="2:43">
      <c r="B3066"/>
      <c r="C3066"/>
      <c r="D3066"/>
      <c r="Q3066"/>
      <c r="AQ3066" s="20"/>
    </row>
    <row r="3067" spans="2:43">
      <c r="B3067"/>
      <c r="C3067"/>
      <c r="D3067"/>
      <c r="Q3067"/>
      <c r="AQ3067" s="20"/>
    </row>
    <row r="3068" spans="2:43">
      <c r="B3068"/>
      <c r="C3068"/>
      <c r="D3068"/>
      <c r="Q3068"/>
      <c r="AQ3068" s="20"/>
    </row>
    <row r="3069" spans="2:43">
      <c r="B3069"/>
      <c r="C3069"/>
      <c r="D3069"/>
      <c r="Q3069"/>
      <c r="AQ3069" s="20"/>
    </row>
    <row r="3070" spans="2:43">
      <c r="B3070"/>
      <c r="C3070"/>
      <c r="D3070"/>
      <c r="Q3070"/>
      <c r="AQ3070" s="20"/>
    </row>
    <row r="3071" spans="2:43">
      <c r="B3071"/>
      <c r="C3071"/>
      <c r="D3071"/>
      <c r="Q3071"/>
      <c r="AQ3071" s="20"/>
    </row>
    <row r="3072" spans="2:43">
      <c r="B3072"/>
      <c r="C3072"/>
      <c r="D3072"/>
      <c r="Q3072"/>
      <c r="AQ3072" s="20"/>
    </row>
    <row r="3073" spans="2:43">
      <c r="B3073"/>
      <c r="C3073"/>
      <c r="D3073"/>
      <c r="Q3073"/>
      <c r="AQ3073" s="20"/>
    </row>
    <row r="3074" spans="2:43">
      <c r="B3074"/>
      <c r="C3074"/>
      <c r="D3074"/>
      <c r="Q3074"/>
      <c r="AQ3074" s="20"/>
    </row>
    <row r="3075" spans="2:43">
      <c r="B3075"/>
      <c r="C3075"/>
      <c r="D3075"/>
      <c r="Q3075"/>
      <c r="AQ3075" s="20"/>
    </row>
    <row r="3076" spans="2:43">
      <c r="B3076"/>
      <c r="C3076"/>
      <c r="D3076"/>
      <c r="Q3076"/>
      <c r="AQ3076" s="20"/>
    </row>
    <row r="3077" spans="2:43">
      <c r="B3077"/>
      <c r="C3077"/>
      <c r="D3077"/>
      <c r="Q3077"/>
      <c r="AQ3077" s="20"/>
    </row>
    <row r="3078" spans="2:43">
      <c r="B3078"/>
      <c r="C3078"/>
      <c r="D3078"/>
      <c r="Q3078"/>
      <c r="AQ3078" s="20"/>
    </row>
    <row r="3079" spans="2:43">
      <c r="B3079"/>
      <c r="C3079"/>
      <c r="D3079"/>
      <c r="Q3079"/>
      <c r="AQ3079" s="20"/>
    </row>
    <row r="3080" spans="2:43">
      <c r="B3080"/>
      <c r="C3080"/>
      <c r="D3080"/>
      <c r="Q3080"/>
      <c r="AQ3080" s="20"/>
    </row>
    <row r="3081" spans="2:43">
      <c r="B3081"/>
      <c r="C3081"/>
      <c r="D3081"/>
      <c r="Q3081"/>
      <c r="AQ3081" s="20"/>
    </row>
    <row r="3082" spans="2:43">
      <c r="B3082"/>
      <c r="C3082"/>
      <c r="D3082"/>
      <c r="Q3082"/>
      <c r="AQ3082" s="20"/>
    </row>
    <row r="3083" spans="2:43">
      <c r="B3083"/>
      <c r="C3083"/>
      <c r="D3083"/>
      <c r="Q3083"/>
      <c r="AQ3083" s="20"/>
    </row>
    <row r="3084" spans="2:43">
      <c r="B3084"/>
      <c r="C3084"/>
      <c r="D3084"/>
      <c r="Q3084"/>
      <c r="AQ3084" s="20"/>
    </row>
    <row r="3085" spans="2:43">
      <c r="B3085"/>
      <c r="C3085"/>
      <c r="D3085"/>
      <c r="Q3085"/>
      <c r="AQ3085" s="20"/>
    </row>
    <row r="3086" spans="2:43">
      <c r="B3086"/>
      <c r="C3086"/>
      <c r="D3086"/>
      <c r="Q3086"/>
      <c r="AQ3086" s="20"/>
    </row>
    <row r="3087" spans="2:43">
      <c r="B3087"/>
      <c r="C3087"/>
      <c r="D3087"/>
      <c r="Q3087"/>
      <c r="AQ3087" s="20"/>
    </row>
    <row r="3088" spans="2:43">
      <c r="B3088"/>
      <c r="C3088"/>
      <c r="D3088"/>
      <c r="Q3088"/>
      <c r="AQ3088" s="20"/>
    </row>
    <row r="3089" spans="2:43">
      <c r="B3089"/>
      <c r="C3089"/>
      <c r="D3089"/>
      <c r="Q3089"/>
      <c r="AQ3089" s="20"/>
    </row>
    <row r="3090" spans="2:43">
      <c r="B3090"/>
      <c r="C3090"/>
      <c r="D3090"/>
      <c r="Q3090"/>
      <c r="AQ3090" s="20"/>
    </row>
    <row r="3091" spans="2:43">
      <c r="B3091"/>
      <c r="C3091"/>
      <c r="D3091"/>
      <c r="Q3091"/>
      <c r="AQ3091" s="20"/>
    </row>
    <row r="3092" spans="2:43">
      <c r="B3092"/>
      <c r="C3092"/>
      <c r="D3092"/>
      <c r="Q3092"/>
      <c r="AQ3092" s="20"/>
    </row>
    <row r="3093" spans="2:43">
      <c r="B3093"/>
      <c r="C3093"/>
      <c r="D3093"/>
      <c r="Q3093"/>
      <c r="AQ3093" s="20"/>
    </row>
    <row r="3094" spans="2:43">
      <c r="B3094"/>
      <c r="C3094"/>
      <c r="D3094"/>
      <c r="Q3094"/>
      <c r="AQ3094" s="20"/>
    </row>
    <row r="3095" spans="2:43">
      <c r="B3095"/>
      <c r="C3095"/>
      <c r="D3095"/>
      <c r="Q3095"/>
      <c r="AQ3095" s="20"/>
    </row>
    <row r="3096" spans="2:43">
      <c r="B3096"/>
      <c r="C3096"/>
      <c r="D3096"/>
      <c r="Q3096"/>
      <c r="AQ3096" s="20"/>
    </row>
    <row r="3097" spans="2:43">
      <c r="B3097"/>
      <c r="C3097"/>
      <c r="D3097"/>
      <c r="Q3097"/>
      <c r="AQ3097" s="20"/>
    </row>
    <row r="3098" spans="2:43">
      <c r="B3098"/>
      <c r="C3098"/>
      <c r="D3098"/>
      <c r="Q3098"/>
      <c r="AQ3098" s="20"/>
    </row>
    <row r="3099" spans="2:43">
      <c r="B3099"/>
      <c r="C3099"/>
      <c r="D3099"/>
      <c r="Q3099"/>
      <c r="AQ3099" s="20"/>
    </row>
    <row r="3100" spans="2:43">
      <c r="B3100"/>
      <c r="C3100"/>
      <c r="D3100"/>
      <c r="Q3100"/>
      <c r="AQ3100" s="20"/>
    </row>
    <row r="3101" spans="2:43">
      <c r="B3101"/>
      <c r="C3101"/>
      <c r="D3101"/>
      <c r="Q3101"/>
      <c r="AQ3101" s="20"/>
    </row>
    <row r="3102" spans="2:43">
      <c r="B3102"/>
      <c r="C3102"/>
      <c r="D3102"/>
      <c r="Q3102"/>
      <c r="AQ3102" s="20"/>
    </row>
    <row r="3103" spans="2:43">
      <c r="B3103"/>
      <c r="C3103"/>
      <c r="D3103"/>
      <c r="Q3103"/>
      <c r="AQ3103" s="20"/>
    </row>
    <row r="3104" spans="2:43">
      <c r="B3104"/>
      <c r="C3104"/>
      <c r="D3104"/>
      <c r="Q3104"/>
      <c r="AQ3104" s="20"/>
    </row>
    <row r="3105" spans="2:43">
      <c r="B3105"/>
      <c r="C3105"/>
      <c r="D3105"/>
      <c r="Q3105"/>
      <c r="AQ3105" s="20"/>
    </row>
    <row r="3106" spans="2:43">
      <c r="B3106"/>
      <c r="C3106"/>
      <c r="D3106"/>
      <c r="Q3106"/>
      <c r="AQ3106" s="20"/>
    </row>
    <row r="3107" spans="2:43">
      <c r="B3107"/>
      <c r="C3107"/>
      <c r="D3107"/>
      <c r="Q3107"/>
      <c r="AQ3107" s="20"/>
    </row>
    <row r="3108" spans="2:43">
      <c r="B3108"/>
      <c r="C3108"/>
      <c r="D3108"/>
      <c r="Q3108"/>
      <c r="AQ3108" s="20"/>
    </row>
    <row r="3109" spans="2:43">
      <c r="B3109"/>
      <c r="C3109"/>
      <c r="D3109"/>
      <c r="Q3109"/>
      <c r="AQ3109" s="20"/>
    </row>
    <row r="3110" spans="2:43">
      <c r="B3110"/>
      <c r="C3110"/>
      <c r="D3110"/>
      <c r="Q3110"/>
      <c r="AQ3110" s="20"/>
    </row>
    <row r="3111" spans="2:43">
      <c r="B3111"/>
      <c r="C3111"/>
      <c r="D3111"/>
      <c r="Q3111"/>
      <c r="AQ3111" s="20"/>
    </row>
    <row r="3112" spans="2:43">
      <c r="B3112"/>
      <c r="C3112"/>
      <c r="D3112"/>
      <c r="Q3112"/>
      <c r="AQ3112" s="20"/>
    </row>
    <row r="3113" spans="2:43">
      <c r="B3113"/>
      <c r="C3113"/>
      <c r="D3113"/>
      <c r="Q3113"/>
      <c r="AQ3113" s="20"/>
    </row>
    <row r="3114" spans="2:43">
      <c r="B3114"/>
      <c r="C3114"/>
      <c r="D3114"/>
      <c r="Q3114"/>
      <c r="AQ3114" s="20"/>
    </row>
    <row r="3115" spans="2:43">
      <c r="B3115"/>
      <c r="C3115"/>
      <c r="D3115"/>
      <c r="Q3115"/>
      <c r="AQ3115" s="20"/>
    </row>
    <row r="3116" spans="2:43">
      <c r="B3116"/>
      <c r="C3116"/>
      <c r="D3116"/>
      <c r="Q3116"/>
      <c r="AQ3116" s="20"/>
    </row>
    <row r="3117" spans="2:43">
      <c r="B3117"/>
      <c r="C3117"/>
      <c r="D3117"/>
      <c r="Q3117"/>
      <c r="AQ3117" s="20"/>
    </row>
    <row r="3118" spans="2:43">
      <c r="B3118"/>
      <c r="C3118"/>
      <c r="D3118"/>
      <c r="Q3118"/>
      <c r="AQ3118" s="20"/>
    </row>
    <row r="3119" spans="2:43">
      <c r="B3119"/>
      <c r="C3119"/>
      <c r="D3119"/>
      <c r="Q3119"/>
      <c r="AQ3119" s="20"/>
    </row>
    <row r="3120" spans="2:43">
      <c r="B3120"/>
      <c r="C3120"/>
      <c r="D3120"/>
      <c r="Q3120"/>
      <c r="AQ3120" s="20"/>
    </row>
    <row r="3121" spans="2:43">
      <c r="B3121"/>
      <c r="C3121"/>
      <c r="D3121"/>
      <c r="Q3121"/>
      <c r="AQ3121" s="20"/>
    </row>
    <row r="3122" spans="2:43">
      <c r="B3122"/>
      <c r="C3122"/>
      <c r="D3122"/>
      <c r="Q3122"/>
      <c r="AQ3122" s="20"/>
    </row>
    <row r="3123" spans="2:43">
      <c r="B3123"/>
      <c r="C3123"/>
      <c r="D3123"/>
      <c r="Q3123"/>
      <c r="AQ3123" s="20"/>
    </row>
    <row r="3124" spans="2:43">
      <c r="B3124"/>
      <c r="C3124"/>
      <c r="D3124"/>
      <c r="Q3124"/>
      <c r="AQ3124" s="20"/>
    </row>
    <row r="3125" spans="2:43">
      <c r="B3125"/>
      <c r="C3125"/>
      <c r="D3125"/>
      <c r="Q3125"/>
      <c r="AQ3125" s="20"/>
    </row>
    <row r="3126" spans="2:43">
      <c r="B3126"/>
      <c r="C3126"/>
      <c r="D3126"/>
      <c r="Q3126"/>
      <c r="AQ3126" s="20"/>
    </row>
    <row r="3127" spans="2:43">
      <c r="B3127"/>
      <c r="C3127"/>
      <c r="D3127"/>
      <c r="Q3127"/>
      <c r="AQ3127" s="20"/>
    </row>
    <row r="3128" spans="2:43">
      <c r="B3128"/>
      <c r="C3128"/>
      <c r="D3128"/>
      <c r="Q3128"/>
      <c r="AQ3128" s="20"/>
    </row>
    <row r="3129" spans="2:43">
      <c r="B3129"/>
      <c r="C3129"/>
      <c r="D3129"/>
      <c r="Q3129"/>
      <c r="AQ3129" s="20"/>
    </row>
    <row r="3130" spans="2:43">
      <c r="B3130"/>
      <c r="C3130"/>
      <c r="D3130"/>
      <c r="Q3130"/>
      <c r="AQ3130" s="20"/>
    </row>
    <row r="3131" spans="2:43">
      <c r="B3131"/>
      <c r="C3131"/>
      <c r="D3131"/>
      <c r="Q3131"/>
      <c r="AQ3131" s="20"/>
    </row>
    <row r="3132" spans="2:43">
      <c r="B3132"/>
      <c r="C3132"/>
      <c r="D3132"/>
      <c r="Q3132"/>
      <c r="AQ3132" s="20"/>
    </row>
    <row r="3133" spans="2:43">
      <c r="B3133"/>
      <c r="C3133"/>
      <c r="D3133"/>
      <c r="Q3133"/>
      <c r="AQ3133" s="20"/>
    </row>
    <row r="3134" spans="2:43">
      <c r="B3134"/>
      <c r="C3134"/>
      <c r="D3134"/>
      <c r="Q3134"/>
      <c r="AQ3134" s="20"/>
    </row>
    <row r="3135" spans="2:43">
      <c r="B3135"/>
      <c r="C3135"/>
      <c r="D3135"/>
      <c r="Q3135"/>
      <c r="AQ3135" s="20"/>
    </row>
    <row r="3136" spans="2:43">
      <c r="B3136"/>
      <c r="C3136"/>
      <c r="D3136"/>
      <c r="Q3136"/>
      <c r="AQ3136" s="20"/>
    </row>
    <row r="3137" spans="2:43">
      <c r="B3137"/>
      <c r="C3137"/>
      <c r="D3137"/>
      <c r="Q3137"/>
      <c r="AQ3137" s="20"/>
    </row>
    <row r="3138" spans="2:43">
      <c r="B3138"/>
      <c r="C3138"/>
      <c r="D3138"/>
      <c r="Q3138"/>
      <c r="AQ3138" s="20"/>
    </row>
    <row r="3139" spans="2:43">
      <c r="B3139"/>
      <c r="C3139"/>
      <c r="D3139"/>
      <c r="Q3139"/>
      <c r="AQ3139" s="20"/>
    </row>
    <row r="3140" spans="2:43">
      <c r="B3140"/>
      <c r="C3140"/>
      <c r="D3140"/>
      <c r="Q3140"/>
      <c r="AQ3140" s="20"/>
    </row>
    <row r="3141" spans="2:43">
      <c r="B3141"/>
      <c r="C3141"/>
      <c r="D3141"/>
      <c r="Q3141"/>
      <c r="AQ3141" s="20"/>
    </row>
    <row r="3142" spans="2:43">
      <c r="B3142"/>
      <c r="C3142"/>
      <c r="D3142"/>
      <c r="Q3142"/>
      <c r="AQ3142" s="20"/>
    </row>
    <row r="3143" spans="2:43">
      <c r="B3143"/>
      <c r="C3143"/>
      <c r="D3143"/>
      <c r="Q3143"/>
      <c r="AQ3143" s="20"/>
    </row>
    <row r="3144" spans="2:43">
      <c r="B3144"/>
      <c r="C3144"/>
      <c r="D3144"/>
      <c r="Q3144"/>
      <c r="AQ3144" s="20"/>
    </row>
    <row r="3145" spans="2:43">
      <c r="B3145"/>
      <c r="C3145"/>
      <c r="D3145"/>
      <c r="Q3145"/>
      <c r="AQ3145" s="20"/>
    </row>
    <row r="3146" spans="2:43">
      <c r="B3146"/>
      <c r="C3146"/>
      <c r="D3146"/>
      <c r="Q3146"/>
      <c r="AQ3146" s="20"/>
    </row>
    <row r="3147" spans="2:43">
      <c r="B3147"/>
      <c r="C3147"/>
      <c r="D3147"/>
      <c r="Q3147"/>
      <c r="AQ3147" s="20"/>
    </row>
    <row r="3148" spans="2:43">
      <c r="B3148"/>
      <c r="C3148"/>
      <c r="D3148"/>
      <c r="Q3148"/>
      <c r="AQ3148" s="20"/>
    </row>
    <row r="3149" spans="2:43">
      <c r="B3149"/>
      <c r="C3149"/>
      <c r="D3149"/>
      <c r="Q3149"/>
      <c r="AQ3149" s="20"/>
    </row>
    <row r="3150" spans="2:43">
      <c r="B3150"/>
      <c r="C3150"/>
      <c r="D3150"/>
      <c r="Q3150"/>
      <c r="AQ3150" s="20"/>
    </row>
    <row r="3151" spans="2:43">
      <c r="B3151"/>
      <c r="C3151"/>
      <c r="D3151"/>
      <c r="Q3151"/>
      <c r="AQ3151" s="20"/>
    </row>
    <row r="3152" spans="2:43">
      <c r="B3152"/>
      <c r="C3152"/>
      <c r="D3152"/>
      <c r="Q3152"/>
      <c r="AQ3152" s="20"/>
    </row>
    <row r="3153" spans="2:43">
      <c r="B3153"/>
      <c r="C3153"/>
      <c r="D3153"/>
      <c r="Q3153"/>
      <c r="AQ3153" s="20"/>
    </row>
    <row r="3154" spans="2:43">
      <c r="B3154"/>
      <c r="C3154"/>
      <c r="D3154"/>
      <c r="Q3154"/>
      <c r="AQ3154" s="20"/>
    </row>
    <row r="3155" spans="2:43">
      <c r="B3155"/>
      <c r="C3155"/>
      <c r="D3155"/>
      <c r="Q3155"/>
      <c r="AQ3155" s="20"/>
    </row>
    <row r="3156" spans="2:43">
      <c r="B3156"/>
      <c r="C3156"/>
      <c r="D3156"/>
      <c r="Q3156"/>
      <c r="AQ3156" s="20"/>
    </row>
    <row r="3157" spans="2:43">
      <c r="B3157"/>
      <c r="C3157"/>
      <c r="D3157"/>
      <c r="Q3157"/>
      <c r="AQ3157" s="20"/>
    </row>
    <row r="3158" spans="2:43">
      <c r="B3158"/>
      <c r="C3158"/>
      <c r="D3158"/>
      <c r="Q3158"/>
      <c r="AQ3158" s="20"/>
    </row>
    <row r="3159" spans="2:43">
      <c r="B3159"/>
      <c r="C3159"/>
      <c r="D3159"/>
      <c r="Q3159"/>
      <c r="AQ3159" s="20"/>
    </row>
    <row r="3160" spans="2:43">
      <c r="B3160"/>
      <c r="C3160"/>
      <c r="D3160"/>
      <c r="Q3160"/>
      <c r="AQ3160" s="20"/>
    </row>
    <row r="3161" spans="2:43">
      <c r="B3161"/>
      <c r="C3161"/>
      <c r="D3161"/>
      <c r="Q3161"/>
      <c r="AQ3161" s="20"/>
    </row>
    <row r="3162" spans="2:43">
      <c r="B3162"/>
      <c r="C3162"/>
      <c r="D3162"/>
      <c r="Q3162"/>
      <c r="AQ3162" s="20"/>
    </row>
    <row r="3163" spans="2:43">
      <c r="B3163"/>
      <c r="C3163"/>
      <c r="D3163"/>
      <c r="Q3163"/>
      <c r="AQ3163" s="20"/>
    </row>
    <row r="3164" spans="2:43">
      <c r="B3164"/>
      <c r="C3164"/>
      <c r="D3164"/>
      <c r="Q3164"/>
      <c r="AQ3164" s="20"/>
    </row>
    <row r="3165" spans="2:43">
      <c r="B3165"/>
      <c r="C3165"/>
      <c r="D3165"/>
      <c r="Q3165"/>
      <c r="AQ3165" s="20"/>
    </row>
    <row r="3166" spans="2:43">
      <c r="B3166"/>
      <c r="C3166"/>
      <c r="D3166"/>
      <c r="Q3166"/>
      <c r="AQ3166" s="20"/>
    </row>
    <row r="3167" spans="2:43">
      <c r="B3167"/>
      <c r="C3167"/>
      <c r="D3167"/>
      <c r="Q3167"/>
      <c r="AQ3167" s="20"/>
    </row>
    <row r="3168" spans="2:43">
      <c r="B3168"/>
      <c r="C3168"/>
      <c r="D3168"/>
      <c r="Q3168"/>
      <c r="AQ3168" s="20"/>
    </row>
    <row r="3169" spans="2:43">
      <c r="B3169"/>
      <c r="C3169"/>
      <c r="D3169"/>
      <c r="Q3169"/>
      <c r="AQ3169" s="20"/>
    </row>
    <row r="3170" spans="2:43">
      <c r="B3170"/>
      <c r="C3170"/>
      <c r="D3170"/>
      <c r="Q3170"/>
      <c r="AQ3170" s="20"/>
    </row>
    <row r="3171" spans="2:43">
      <c r="B3171"/>
      <c r="C3171"/>
      <c r="D3171"/>
      <c r="Q3171"/>
      <c r="AQ3171" s="20"/>
    </row>
    <row r="3172" spans="2:43">
      <c r="B3172"/>
      <c r="C3172"/>
      <c r="D3172"/>
      <c r="Q3172"/>
      <c r="AQ3172" s="20"/>
    </row>
    <row r="3173" spans="2:43">
      <c r="B3173"/>
      <c r="C3173"/>
      <c r="D3173"/>
      <c r="Q3173"/>
      <c r="AQ3173" s="20"/>
    </row>
    <row r="3174" spans="2:43">
      <c r="B3174"/>
      <c r="C3174"/>
      <c r="D3174"/>
      <c r="Q3174"/>
      <c r="AQ3174" s="20"/>
    </row>
    <row r="3175" spans="2:43">
      <c r="B3175"/>
      <c r="C3175"/>
      <c r="D3175"/>
      <c r="Q3175"/>
      <c r="AQ3175" s="20"/>
    </row>
    <row r="3176" spans="2:43">
      <c r="B3176"/>
      <c r="C3176"/>
      <c r="D3176"/>
      <c r="Q3176"/>
      <c r="AQ3176" s="20"/>
    </row>
    <row r="3177" spans="2:43">
      <c r="B3177"/>
      <c r="C3177"/>
      <c r="D3177"/>
      <c r="Q3177"/>
      <c r="AQ3177" s="20"/>
    </row>
    <row r="3178" spans="2:43">
      <c r="B3178"/>
      <c r="C3178"/>
      <c r="D3178"/>
      <c r="Q3178"/>
      <c r="AQ3178" s="20"/>
    </row>
    <row r="3179" spans="2:43">
      <c r="B3179"/>
      <c r="C3179"/>
      <c r="D3179"/>
      <c r="Q3179"/>
      <c r="AQ3179" s="20"/>
    </row>
    <row r="3180" spans="2:43">
      <c r="B3180"/>
      <c r="C3180"/>
      <c r="D3180"/>
      <c r="Q3180"/>
      <c r="AQ3180" s="20"/>
    </row>
    <row r="3181" spans="2:43">
      <c r="B3181"/>
      <c r="C3181"/>
      <c r="D3181"/>
      <c r="Q3181"/>
      <c r="AQ3181" s="20"/>
    </row>
    <row r="3182" spans="2:43">
      <c r="B3182"/>
      <c r="C3182"/>
      <c r="D3182"/>
      <c r="Q3182"/>
      <c r="AQ3182" s="20"/>
    </row>
    <row r="3183" spans="2:43">
      <c r="B3183"/>
      <c r="C3183"/>
      <c r="D3183"/>
      <c r="Q3183"/>
      <c r="AQ3183" s="20"/>
    </row>
    <row r="3184" spans="2:43">
      <c r="B3184"/>
      <c r="C3184"/>
      <c r="D3184"/>
      <c r="Q3184"/>
      <c r="AQ3184" s="20"/>
    </row>
    <row r="3185" spans="2:43">
      <c r="B3185"/>
      <c r="C3185"/>
      <c r="D3185"/>
      <c r="Q3185"/>
      <c r="AQ3185" s="20"/>
    </row>
    <row r="3186" spans="2:43">
      <c r="B3186"/>
      <c r="C3186"/>
      <c r="D3186"/>
      <c r="Q3186"/>
      <c r="AQ3186" s="20"/>
    </row>
    <row r="3187" spans="2:43">
      <c r="B3187"/>
      <c r="C3187"/>
      <c r="D3187"/>
      <c r="Q3187"/>
      <c r="AQ3187" s="20"/>
    </row>
    <row r="3188" spans="2:43">
      <c r="B3188"/>
      <c r="C3188"/>
      <c r="D3188"/>
      <c r="Q3188"/>
      <c r="AQ3188" s="20"/>
    </row>
    <row r="3189" spans="2:43">
      <c r="B3189"/>
      <c r="C3189"/>
      <c r="D3189"/>
      <c r="Q3189"/>
      <c r="AQ3189" s="20"/>
    </row>
    <row r="3190" spans="2:43">
      <c r="B3190"/>
      <c r="C3190"/>
      <c r="D3190"/>
      <c r="Q3190"/>
      <c r="AQ3190" s="20"/>
    </row>
    <row r="3191" spans="2:43">
      <c r="B3191"/>
      <c r="C3191"/>
      <c r="D3191"/>
      <c r="Q3191"/>
      <c r="AQ3191" s="20"/>
    </row>
    <row r="3192" spans="2:43">
      <c r="B3192"/>
      <c r="C3192"/>
      <c r="D3192"/>
      <c r="Q3192"/>
      <c r="AQ3192" s="20"/>
    </row>
    <row r="3193" spans="2:43">
      <c r="B3193"/>
      <c r="C3193"/>
      <c r="D3193"/>
      <c r="Q3193"/>
      <c r="AQ3193" s="20"/>
    </row>
    <row r="3194" spans="2:43">
      <c r="B3194"/>
      <c r="C3194"/>
      <c r="D3194"/>
      <c r="Q3194"/>
      <c r="AQ3194" s="20"/>
    </row>
    <row r="3195" spans="2:43">
      <c r="B3195"/>
      <c r="C3195"/>
      <c r="D3195"/>
      <c r="Q3195"/>
      <c r="AQ3195" s="20"/>
    </row>
    <row r="3196" spans="2:43">
      <c r="B3196"/>
      <c r="C3196"/>
      <c r="D3196"/>
      <c r="Q3196"/>
      <c r="AQ3196" s="20"/>
    </row>
    <row r="3197" spans="2:43">
      <c r="B3197"/>
      <c r="C3197"/>
      <c r="D3197"/>
      <c r="Q3197"/>
      <c r="AQ3197" s="20"/>
    </row>
    <row r="3198" spans="2:43">
      <c r="B3198"/>
      <c r="C3198"/>
      <c r="D3198"/>
      <c r="Q3198"/>
      <c r="AQ3198" s="20"/>
    </row>
    <row r="3199" spans="2:43">
      <c r="B3199"/>
      <c r="C3199"/>
      <c r="D3199"/>
      <c r="Q3199"/>
      <c r="AQ3199" s="20"/>
    </row>
    <row r="3200" spans="2:43">
      <c r="B3200"/>
      <c r="C3200"/>
      <c r="D3200"/>
      <c r="Q3200"/>
      <c r="AQ3200" s="20"/>
    </row>
    <row r="3201" spans="2:43">
      <c r="B3201"/>
      <c r="C3201"/>
      <c r="D3201"/>
      <c r="Q3201"/>
      <c r="AQ3201" s="20"/>
    </row>
    <row r="3202" spans="2:43">
      <c r="B3202"/>
      <c r="C3202"/>
      <c r="D3202"/>
      <c r="Q3202"/>
      <c r="AQ3202" s="20"/>
    </row>
    <row r="3203" spans="2:43">
      <c r="B3203"/>
      <c r="C3203"/>
      <c r="D3203"/>
      <c r="Q3203"/>
      <c r="AQ3203" s="20"/>
    </row>
    <row r="3204" spans="2:43">
      <c r="B3204"/>
      <c r="C3204"/>
      <c r="D3204"/>
      <c r="Q3204"/>
      <c r="AQ3204" s="20"/>
    </row>
    <row r="3205" spans="2:43">
      <c r="B3205"/>
      <c r="C3205"/>
      <c r="D3205"/>
      <c r="Q3205"/>
      <c r="AQ3205" s="20"/>
    </row>
    <row r="3206" spans="2:43">
      <c r="B3206"/>
      <c r="C3206"/>
      <c r="D3206"/>
      <c r="Q3206"/>
      <c r="AQ3206" s="20"/>
    </row>
    <row r="3207" spans="2:43">
      <c r="B3207"/>
      <c r="C3207"/>
      <c r="D3207"/>
      <c r="Q3207"/>
      <c r="AQ3207" s="20"/>
    </row>
    <row r="3208" spans="2:43">
      <c r="B3208"/>
      <c r="C3208"/>
      <c r="D3208"/>
      <c r="Q3208"/>
      <c r="AQ3208" s="20"/>
    </row>
    <row r="3209" spans="2:43">
      <c r="B3209"/>
      <c r="C3209"/>
      <c r="D3209"/>
      <c r="Q3209"/>
      <c r="AQ3209" s="20"/>
    </row>
    <row r="3210" spans="2:43">
      <c r="B3210"/>
      <c r="C3210"/>
      <c r="D3210"/>
      <c r="Q3210"/>
      <c r="AQ3210" s="20"/>
    </row>
    <row r="3211" spans="2:43">
      <c r="B3211"/>
      <c r="C3211"/>
      <c r="D3211"/>
      <c r="Q3211"/>
      <c r="AQ3211" s="20"/>
    </row>
    <row r="3212" spans="2:43">
      <c r="B3212"/>
      <c r="C3212"/>
      <c r="D3212"/>
      <c r="Q3212"/>
      <c r="AQ3212" s="20"/>
    </row>
    <row r="3213" spans="2:43">
      <c r="B3213"/>
      <c r="C3213"/>
      <c r="D3213"/>
      <c r="Q3213"/>
      <c r="AQ3213" s="20"/>
    </row>
    <row r="3214" spans="2:43">
      <c r="B3214"/>
      <c r="C3214"/>
      <c r="D3214"/>
      <c r="Q3214"/>
      <c r="AQ3214" s="20"/>
    </row>
    <row r="3215" spans="2:43">
      <c r="B3215"/>
      <c r="C3215"/>
      <c r="D3215"/>
      <c r="Q3215"/>
      <c r="AQ3215" s="20"/>
    </row>
    <row r="3216" spans="2:43">
      <c r="B3216"/>
      <c r="C3216"/>
      <c r="D3216"/>
      <c r="Q3216"/>
      <c r="AQ3216" s="20"/>
    </row>
    <row r="3217" spans="2:43">
      <c r="B3217"/>
      <c r="C3217"/>
      <c r="D3217"/>
      <c r="Q3217"/>
      <c r="AQ3217" s="20"/>
    </row>
    <row r="3218" spans="2:43">
      <c r="B3218"/>
      <c r="C3218"/>
      <c r="D3218"/>
      <c r="Q3218"/>
      <c r="AQ3218" s="20"/>
    </row>
    <row r="3219" spans="2:43">
      <c r="B3219"/>
      <c r="C3219"/>
      <c r="D3219"/>
      <c r="Q3219"/>
      <c r="AQ3219" s="20"/>
    </row>
    <row r="3220" spans="2:43">
      <c r="B3220"/>
      <c r="C3220"/>
      <c r="D3220"/>
      <c r="Q3220"/>
      <c r="AQ3220" s="20"/>
    </row>
    <row r="3221" spans="2:43">
      <c r="B3221"/>
      <c r="C3221"/>
      <c r="D3221"/>
      <c r="Q3221"/>
      <c r="AQ3221" s="20"/>
    </row>
    <row r="3222" spans="2:43">
      <c r="B3222"/>
      <c r="C3222"/>
      <c r="D3222"/>
      <c r="Q3222"/>
      <c r="AQ3222" s="20"/>
    </row>
    <row r="3223" spans="2:43">
      <c r="B3223"/>
      <c r="C3223"/>
      <c r="D3223"/>
      <c r="Q3223"/>
      <c r="AQ3223" s="20"/>
    </row>
    <row r="3224" spans="2:43">
      <c r="B3224"/>
      <c r="C3224"/>
      <c r="D3224"/>
      <c r="Q3224"/>
      <c r="AQ3224" s="20"/>
    </row>
    <row r="3225" spans="2:43">
      <c r="B3225"/>
      <c r="C3225"/>
      <c r="D3225"/>
      <c r="Q3225"/>
      <c r="AQ3225" s="20"/>
    </row>
    <row r="3226" spans="2:43">
      <c r="B3226"/>
      <c r="C3226"/>
      <c r="D3226"/>
      <c r="Q3226"/>
      <c r="AQ3226" s="20"/>
    </row>
    <row r="3227" spans="2:43">
      <c r="B3227"/>
      <c r="C3227"/>
      <c r="D3227"/>
      <c r="Q3227"/>
      <c r="AQ3227" s="20"/>
    </row>
    <row r="3228" spans="2:43">
      <c r="B3228"/>
      <c r="C3228"/>
      <c r="D3228"/>
      <c r="Q3228"/>
      <c r="AQ3228" s="20"/>
    </row>
    <row r="3229" spans="2:43">
      <c r="B3229"/>
      <c r="C3229"/>
      <c r="D3229"/>
      <c r="Q3229"/>
      <c r="AQ3229" s="20"/>
    </row>
    <row r="3230" spans="2:43">
      <c r="B3230"/>
      <c r="C3230"/>
      <c r="D3230"/>
      <c r="Q3230"/>
      <c r="AQ3230" s="20"/>
    </row>
    <row r="3231" spans="2:43">
      <c r="B3231"/>
      <c r="C3231"/>
      <c r="D3231"/>
      <c r="Q3231"/>
      <c r="AQ3231" s="20"/>
    </row>
    <row r="3232" spans="2:43">
      <c r="B3232"/>
      <c r="C3232"/>
      <c r="D3232"/>
      <c r="Q3232"/>
      <c r="AQ3232" s="20"/>
    </row>
    <row r="3233" spans="2:43">
      <c r="B3233"/>
      <c r="C3233"/>
      <c r="D3233"/>
      <c r="Q3233"/>
      <c r="AQ3233" s="20"/>
    </row>
    <row r="3234" spans="2:43">
      <c r="B3234"/>
      <c r="C3234"/>
      <c r="D3234"/>
      <c r="Q3234"/>
      <c r="AQ3234" s="20"/>
    </row>
    <row r="3235" spans="2:43">
      <c r="B3235"/>
      <c r="C3235"/>
      <c r="D3235"/>
      <c r="Q3235"/>
      <c r="AQ3235" s="20"/>
    </row>
    <row r="3236" spans="2:43">
      <c r="B3236"/>
      <c r="C3236"/>
      <c r="D3236"/>
      <c r="Q3236"/>
      <c r="AQ3236" s="20"/>
    </row>
    <row r="3237" spans="2:43">
      <c r="B3237"/>
      <c r="C3237"/>
      <c r="D3237"/>
      <c r="Q3237"/>
      <c r="AQ3237" s="20"/>
    </row>
    <row r="3238" spans="2:43">
      <c r="B3238"/>
      <c r="C3238"/>
      <c r="D3238"/>
      <c r="Q3238"/>
      <c r="AQ3238" s="20"/>
    </row>
    <row r="3239" spans="2:43">
      <c r="B3239"/>
      <c r="C3239"/>
      <c r="D3239"/>
      <c r="Q3239"/>
      <c r="AQ3239" s="20"/>
    </row>
    <row r="3240" spans="2:43">
      <c r="B3240"/>
      <c r="C3240"/>
      <c r="D3240"/>
      <c r="Q3240"/>
      <c r="AQ3240" s="20"/>
    </row>
    <row r="3241" spans="2:43">
      <c r="B3241"/>
      <c r="C3241"/>
      <c r="D3241"/>
      <c r="Q3241"/>
      <c r="AQ3241" s="20"/>
    </row>
    <row r="3242" spans="2:43">
      <c r="B3242"/>
      <c r="C3242"/>
      <c r="D3242"/>
      <c r="Q3242"/>
      <c r="AQ3242" s="20"/>
    </row>
    <row r="3243" spans="2:43">
      <c r="B3243"/>
      <c r="C3243"/>
      <c r="D3243"/>
      <c r="Q3243"/>
      <c r="AQ3243" s="20"/>
    </row>
    <row r="3244" spans="2:43">
      <c r="B3244"/>
      <c r="C3244"/>
      <c r="D3244"/>
      <c r="Q3244"/>
      <c r="AQ3244" s="20"/>
    </row>
    <row r="3245" spans="2:43">
      <c r="B3245"/>
      <c r="C3245"/>
      <c r="D3245"/>
      <c r="Q3245"/>
      <c r="AQ3245" s="20"/>
    </row>
    <row r="3246" spans="2:43">
      <c r="B3246"/>
      <c r="C3246"/>
      <c r="D3246"/>
      <c r="Q3246"/>
      <c r="AQ3246" s="20"/>
    </row>
    <row r="3247" spans="2:43">
      <c r="B3247"/>
      <c r="C3247"/>
      <c r="D3247"/>
      <c r="Q3247"/>
      <c r="AQ3247" s="20"/>
    </row>
    <row r="3248" spans="2:43">
      <c r="B3248"/>
      <c r="C3248"/>
      <c r="D3248"/>
      <c r="Q3248"/>
      <c r="AQ3248" s="20"/>
    </row>
    <row r="3249" spans="2:43">
      <c r="B3249"/>
      <c r="C3249"/>
      <c r="D3249"/>
      <c r="Q3249"/>
      <c r="AQ3249" s="20"/>
    </row>
    <row r="3250" spans="2:43">
      <c r="B3250"/>
      <c r="C3250"/>
      <c r="D3250"/>
      <c r="Q3250"/>
      <c r="AQ3250" s="20"/>
    </row>
    <row r="3251" spans="2:43">
      <c r="B3251"/>
      <c r="C3251"/>
      <c r="D3251"/>
      <c r="Q3251"/>
      <c r="AQ3251" s="20"/>
    </row>
    <row r="3252" spans="2:43">
      <c r="B3252"/>
      <c r="C3252"/>
      <c r="D3252"/>
      <c r="Q3252"/>
      <c r="AQ3252" s="20"/>
    </row>
    <row r="3253" spans="2:43">
      <c r="B3253"/>
      <c r="C3253"/>
      <c r="D3253"/>
      <c r="Q3253"/>
      <c r="AQ3253" s="20"/>
    </row>
    <row r="3254" spans="2:43">
      <c r="B3254"/>
      <c r="C3254"/>
      <c r="D3254"/>
      <c r="Q3254"/>
      <c r="AQ3254" s="20"/>
    </row>
    <row r="3255" spans="2:43">
      <c r="B3255"/>
      <c r="C3255"/>
      <c r="D3255"/>
      <c r="Q3255"/>
      <c r="AQ3255" s="20"/>
    </row>
    <row r="3256" spans="2:43">
      <c r="B3256"/>
      <c r="C3256"/>
      <c r="D3256"/>
      <c r="Q3256"/>
      <c r="AQ3256" s="20"/>
    </row>
    <row r="3257" spans="2:43">
      <c r="B3257"/>
      <c r="C3257"/>
      <c r="D3257"/>
      <c r="Q3257"/>
      <c r="AQ3257" s="20"/>
    </row>
    <row r="3258" spans="2:43">
      <c r="B3258"/>
      <c r="C3258"/>
      <c r="D3258"/>
      <c r="Q3258"/>
      <c r="AQ3258" s="20"/>
    </row>
    <row r="3259" spans="2:43">
      <c r="B3259"/>
      <c r="C3259"/>
      <c r="D3259"/>
      <c r="Q3259"/>
      <c r="AQ3259" s="20"/>
    </row>
    <row r="3260" spans="2:43">
      <c r="B3260"/>
      <c r="C3260"/>
      <c r="D3260"/>
      <c r="Q3260"/>
      <c r="AQ3260" s="20"/>
    </row>
    <row r="3261" spans="2:43">
      <c r="B3261"/>
      <c r="C3261"/>
      <c r="D3261"/>
      <c r="Q3261"/>
      <c r="AQ3261" s="20"/>
    </row>
    <row r="3262" spans="2:43">
      <c r="B3262"/>
      <c r="C3262"/>
      <c r="D3262"/>
      <c r="Q3262"/>
      <c r="AQ3262" s="20"/>
    </row>
    <row r="3263" spans="2:43">
      <c r="B3263"/>
      <c r="C3263"/>
      <c r="D3263"/>
      <c r="Q3263"/>
      <c r="AQ3263" s="20"/>
    </row>
    <row r="3264" spans="2:43">
      <c r="B3264"/>
      <c r="C3264"/>
      <c r="D3264"/>
      <c r="Q3264"/>
      <c r="AQ3264" s="20"/>
    </row>
    <row r="3265" spans="2:43">
      <c r="B3265"/>
      <c r="C3265"/>
      <c r="D3265"/>
      <c r="Q3265"/>
      <c r="AQ3265" s="20"/>
    </row>
    <row r="3266" spans="2:43">
      <c r="B3266"/>
      <c r="C3266"/>
      <c r="D3266"/>
      <c r="Q3266"/>
      <c r="AQ3266" s="20"/>
    </row>
    <row r="3267" spans="2:43">
      <c r="B3267"/>
      <c r="C3267"/>
      <c r="D3267"/>
      <c r="Q3267"/>
      <c r="AQ3267" s="20"/>
    </row>
    <row r="3268" spans="2:43">
      <c r="B3268"/>
      <c r="C3268"/>
      <c r="D3268"/>
      <c r="Q3268"/>
      <c r="AQ3268" s="20"/>
    </row>
    <row r="3269" spans="2:43">
      <c r="B3269"/>
      <c r="C3269"/>
      <c r="D3269"/>
      <c r="Q3269"/>
      <c r="AQ3269" s="20"/>
    </row>
    <row r="3270" spans="2:43">
      <c r="B3270"/>
      <c r="C3270"/>
      <c r="D3270"/>
      <c r="Q3270"/>
      <c r="AQ3270" s="20"/>
    </row>
    <row r="3271" spans="2:43">
      <c r="B3271"/>
      <c r="C3271"/>
      <c r="D3271"/>
      <c r="Q3271"/>
      <c r="AQ3271" s="20"/>
    </row>
    <row r="3272" spans="2:43">
      <c r="B3272"/>
      <c r="C3272"/>
      <c r="D3272"/>
      <c r="Q3272"/>
      <c r="AQ3272" s="20"/>
    </row>
    <row r="3273" spans="2:43">
      <c r="B3273"/>
      <c r="C3273"/>
      <c r="D3273"/>
      <c r="Q3273"/>
      <c r="AQ3273" s="20"/>
    </row>
    <row r="3274" spans="2:43">
      <c r="B3274"/>
      <c r="C3274"/>
      <c r="D3274"/>
      <c r="Q3274"/>
      <c r="AQ3274" s="20"/>
    </row>
    <row r="3275" spans="2:43">
      <c r="B3275"/>
      <c r="C3275"/>
      <c r="D3275"/>
      <c r="Q3275"/>
      <c r="AQ3275" s="20"/>
    </row>
    <row r="3276" spans="2:43">
      <c r="B3276"/>
      <c r="C3276"/>
      <c r="D3276"/>
      <c r="Q3276"/>
      <c r="AQ3276" s="20"/>
    </row>
    <row r="3277" spans="2:43">
      <c r="B3277"/>
      <c r="C3277"/>
      <c r="D3277"/>
      <c r="Q3277"/>
      <c r="AQ3277" s="20"/>
    </row>
    <row r="3278" spans="2:43">
      <c r="B3278"/>
      <c r="C3278"/>
      <c r="D3278"/>
      <c r="Q3278"/>
      <c r="AQ3278" s="20"/>
    </row>
    <row r="3279" spans="2:43">
      <c r="B3279"/>
      <c r="C3279"/>
      <c r="D3279"/>
      <c r="Q3279"/>
      <c r="AQ3279" s="20"/>
    </row>
    <row r="3280" spans="2:43">
      <c r="B3280"/>
      <c r="C3280"/>
      <c r="D3280"/>
      <c r="Q3280"/>
      <c r="AQ3280" s="20"/>
    </row>
    <row r="3281" spans="2:43">
      <c r="B3281"/>
      <c r="C3281"/>
      <c r="D3281"/>
      <c r="Q3281"/>
      <c r="AQ3281" s="20"/>
    </row>
    <row r="3282" spans="2:43">
      <c r="B3282"/>
      <c r="C3282"/>
      <c r="D3282"/>
      <c r="Q3282"/>
      <c r="AQ3282" s="20"/>
    </row>
    <row r="3283" spans="2:43">
      <c r="B3283"/>
      <c r="C3283"/>
      <c r="D3283"/>
      <c r="Q3283"/>
      <c r="AQ3283" s="20"/>
    </row>
    <row r="3284" spans="2:43">
      <c r="B3284"/>
      <c r="C3284"/>
      <c r="D3284"/>
      <c r="Q3284"/>
      <c r="AQ3284" s="20"/>
    </row>
    <row r="3285" spans="2:43">
      <c r="B3285"/>
      <c r="C3285"/>
      <c r="D3285"/>
      <c r="Q3285"/>
      <c r="AQ3285" s="20"/>
    </row>
    <row r="3286" spans="2:43">
      <c r="B3286"/>
      <c r="C3286"/>
      <c r="D3286"/>
      <c r="Q3286"/>
      <c r="AQ3286" s="20"/>
    </row>
    <row r="3287" spans="2:43">
      <c r="B3287"/>
      <c r="C3287"/>
      <c r="D3287"/>
      <c r="Q3287"/>
      <c r="AQ3287" s="20"/>
    </row>
    <row r="3288" spans="2:43">
      <c r="B3288"/>
      <c r="C3288"/>
      <c r="D3288"/>
      <c r="Q3288"/>
      <c r="AQ3288" s="20"/>
    </row>
    <row r="3289" spans="2:43">
      <c r="B3289"/>
      <c r="C3289"/>
      <c r="D3289"/>
      <c r="Q3289"/>
      <c r="AQ3289" s="20"/>
    </row>
    <row r="3290" spans="2:43">
      <c r="B3290"/>
      <c r="C3290"/>
      <c r="D3290"/>
      <c r="Q3290"/>
      <c r="AQ3290" s="20"/>
    </row>
    <row r="3291" spans="2:43">
      <c r="B3291"/>
      <c r="C3291"/>
      <c r="D3291"/>
      <c r="Q3291"/>
      <c r="AQ3291" s="20"/>
    </row>
    <row r="3292" spans="2:43">
      <c r="B3292"/>
      <c r="C3292"/>
      <c r="D3292"/>
      <c r="Q3292"/>
      <c r="AQ3292" s="20"/>
    </row>
    <row r="3293" spans="2:43">
      <c r="B3293"/>
      <c r="C3293"/>
      <c r="D3293"/>
      <c r="Q3293"/>
      <c r="AQ3293" s="20"/>
    </row>
    <row r="3294" spans="2:43">
      <c r="B3294"/>
      <c r="C3294"/>
      <c r="D3294"/>
      <c r="Q3294"/>
      <c r="AQ3294" s="20"/>
    </row>
    <row r="3295" spans="2:43">
      <c r="B3295"/>
      <c r="C3295"/>
      <c r="D3295"/>
      <c r="Q3295"/>
      <c r="AQ3295" s="20"/>
    </row>
    <row r="3296" spans="2:43">
      <c r="B3296"/>
      <c r="C3296"/>
      <c r="D3296"/>
      <c r="Q3296"/>
      <c r="AQ3296" s="20"/>
    </row>
    <row r="3297" spans="2:43">
      <c r="B3297"/>
      <c r="C3297"/>
      <c r="D3297"/>
      <c r="Q3297"/>
      <c r="AQ3297" s="20"/>
    </row>
    <row r="3298" spans="2:43">
      <c r="B3298"/>
      <c r="C3298"/>
      <c r="D3298"/>
      <c r="Q3298"/>
      <c r="AQ3298" s="20"/>
    </row>
    <row r="3299" spans="2:43">
      <c r="B3299"/>
      <c r="C3299"/>
      <c r="D3299"/>
      <c r="Q3299"/>
      <c r="AQ3299" s="20"/>
    </row>
    <row r="3300" spans="2:43">
      <c r="B3300"/>
      <c r="C3300"/>
      <c r="D3300"/>
      <c r="Q3300"/>
      <c r="AQ3300" s="20"/>
    </row>
    <row r="3301" spans="2:43">
      <c r="B3301"/>
      <c r="C3301"/>
      <c r="D3301"/>
      <c r="Q3301"/>
      <c r="AQ3301" s="20"/>
    </row>
    <row r="3302" spans="2:43">
      <c r="B3302"/>
      <c r="C3302"/>
      <c r="D3302"/>
      <c r="Q3302"/>
      <c r="AQ3302" s="20"/>
    </row>
    <row r="3303" spans="2:43">
      <c r="B3303"/>
      <c r="C3303"/>
      <c r="D3303"/>
      <c r="Q3303"/>
      <c r="AQ3303" s="20"/>
    </row>
    <row r="3304" spans="2:43">
      <c r="B3304"/>
      <c r="C3304"/>
      <c r="D3304"/>
      <c r="Q3304"/>
      <c r="AQ3304" s="20"/>
    </row>
    <row r="3305" spans="2:43">
      <c r="B3305"/>
      <c r="C3305"/>
      <c r="D3305"/>
      <c r="Q3305"/>
      <c r="AQ3305" s="20"/>
    </row>
    <row r="3306" spans="2:43">
      <c r="B3306"/>
      <c r="C3306"/>
      <c r="D3306"/>
      <c r="Q3306"/>
      <c r="AQ3306" s="20"/>
    </row>
    <row r="3307" spans="2:43">
      <c r="B3307"/>
      <c r="C3307"/>
      <c r="D3307"/>
      <c r="Q3307"/>
      <c r="AQ3307" s="20"/>
    </row>
    <row r="3308" spans="2:43">
      <c r="B3308"/>
      <c r="C3308"/>
      <c r="D3308"/>
      <c r="Q3308"/>
      <c r="AQ3308" s="20"/>
    </row>
    <row r="3309" spans="2:43">
      <c r="B3309"/>
      <c r="C3309"/>
      <c r="D3309"/>
      <c r="Q3309"/>
      <c r="AQ3309" s="20"/>
    </row>
    <row r="3310" spans="2:43">
      <c r="B3310"/>
      <c r="C3310"/>
      <c r="D3310"/>
      <c r="Q3310"/>
      <c r="AQ3310" s="20"/>
    </row>
    <row r="3311" spans="2:43">
      <c r="B3311"/>
      <c r="C3311"/>
      <c r="D3311"/>
      <c r="Q3311"/>
      <c r="AQ3311" s="20"/>
    </row>
    <row r="3312" spans="2:43">
      <c r="B3312"/>
      <c r="C3312"/>
      <c r="D3312"/>
      <c r="Q3312"/>
      <c r="AQ3312" s="20"/>
    </row>
    <row r="3313" spans="2:43">
      <c r="B3313"/>
      <c r="C3313"/>
      <c r="D3313"/>
      <c r="Q3313"/>
      <c r="AQ3313" s="20"/>
    </row>
    <row r="3314" spans="2:43">
      <c r="B3314"/>
      <c r="C3314"/>
      <c r="D3314"/>
      <c r="Q3314"/>
      <c r="AQ3314" s="20"/>
    </row>
    <row r="3315" spans="2:43">
      <c r="B3315"/>
      <c r="C3315"/>
      <c r="D3315"/>
      <c r="Q3315"/>
      <c r="AQ3315" s="20"/>
    </row>
    <row r="3316" spans="2:43">
      <c r="B3316"/>
      <c r="C3316"/>
      <c r="D3316"/>
      <c r="Q3316"/>
      <c r="AQ3316" s="20"/>
    </row>
    <row r="3317" spans="2:43">
      <c r="B3317"/>
      <c r="C3317"/>
      <c r="D3317"/>
      <c r="Q3317"/>
      <c r="AQ3317" s="20"/>
    </row>
    <row r="3318" spans="2:43">
      <c r="B3318"/>
      <c r="C3318"/>
      <c r="D3318"/>
      <c r="Q3318"/>
      <c r="AQ3318" s="20"/>
    </row>
    <row r="3319" spans="2:43">
      <c r="B3319"/>
      <c r="C3319"/>
      <c r="D3319"/>
      <c r="Q3319"/>
      <c r="AQ3319" s="20"/>
    </row>
    <row r="3320" spans="2:43">
      <c r="B3320"/>
      <c r="C3320"/>
      <c r="D3320"/>
      <c r="Q3320"/>
      <c r="AQ3320" s="20"/>
    </row>
    <row r="3321" spans="2:43">
      <c r="B3321"/>
      <c r="C3321"/>
      <c r="D3321"/>
      <c r="Q3321"/>
      <c r="AQ3321" s="20"/>
    </row>
    <row r="3322" spans="2:43">
      <c r="B3322"/>
      <c r="C3322"/>
      <c r="D3322"/>
      <c r="Q3322"/>
      <c r="AQ3322" s="20"/>
    </row>
    <row r="3323" spans="2:43">
      <c r="B3323"/>
      <c r="C3323"/>
      <c r="D3323"/>
      <c r="Q3323"/>
      <c r="AQ3323" s="20"/>
    </row>
    <row r="3324" spans="2:43">
      <c r="B3324"/>
      <c r="C3324"/>
      <c r="D3324"/>
      <c r="Q3324"/>
      <c r="AQ3324" s="20"/>
    </row>
    <row r="3325" spans="2:43">
      <c r="B3325"/>
      <c r="C3325"/>
      <c r="D3325"/>
      <c r="Q3325"/>
      <c r="AQ3325" s="20"/>
    </row>
    <row r="3326" spans="2:43">
      <c r="B3326"/>
      <c r="C3326"/>
      <c r="D3326"/>
      <c r="Q3326"/>
      <c r="AQ3326" s="20"/>
    </row>
    <row r="3327" spans="2:43">
      <c r="B3327"/>
      <c r="C3327"/>
      <c r="D3327"/>
      <c r="Q3327"/>
      <c r="AQ3327" s="20"/>
    </row>
    <row r="3328" spans="2:43">
      <c r="B3328"/>
      <c r="C3328"/>
      <c r="D3328"/>
      <c r="Q3328"/>
      <c r="AQ3328" s="20"/>
    </row>
    <row r="3329" spans="2:43">
      <c r="B3329"/>
      <c r="C3329"/>
      <c r="D3329"/>
      <c r="Q3329"/>
      <c r="AQ3329" s="20"/>
    </row>
    <row r="3330" spans="2:43">
      <c r="B3330"/>
      <c r="C3330"/>
      <c r="D3330"/>
      <c r="Q3330"/>
      <c r="AQ3330" s="20"/>
    </row>
    <row r="3331" spans="2:43">
      <c r="B3331"/>
      <c r="C3331"/>
      <c r="D3331"/>
      <c r="Q3331"/>
      <c r="AQ3331" s="20"/>
    </row>
    <row r="3332" spans="2:43">
      <c r="B3332"/>
      <c r="C3332"/>
      <c r="D3332"/>
      <c r="Q3332"/>
      <c r="AQ3332" s="20"/>
    </row>
    <row r="3333" spans="2:43">
      <c r="B3333"/>
      <c r="C3333"/>
      <c r="D3333"/>
      <c r="Q3333"/>
      <c r="AQ3333" s="20"/>
    </row>
    <row r="3334" spans="2:43">
      <c r="B3334"/>
      <c r="C3334"/>
      <c r="D3334"/>
      <c r="Q3334"/>
      <c r="AQ3334" s="20"/>
    </row>
    <row r="3335" spans="2:43">
      <c r="B3335"/>
      <c r="C3335"/>
      <c r="D3335"/>
      <c r="Q3335"/>
      <c r="AQ3335" s="20"/>
    </row>
    <row r="3336" spans="2:43">
      <c r="B3336"/>
      <c r="C3336"/>
      <c r="D3336"/>
      <c r="Q3336"/>
      <c r="AQ3336" s="20"/>
    </row>
    <row r="3337" spans="2:43">
      <c r="B3337"/>
      <c r="C3337"/>
      <c r="D3337"/>
      <c r="Q3337"/>
      <c r="AQ3337" s="20"/>
    </row>
    <row r="3338" spans="2:43">
      <c r="B3338"/>
      <c r="C3338"/>
      <c r="D3338"/>
      <c r="Q3338"/>
      <c r="AQ3338" s="20"/>
    </row>
    <row r="3339" spans="2:43">
      <c r="B3339"/>
      <c r="C3339"/>
      <c r="D3339"/>
      <c r="Q3339"/>
      <c r="AQ3339" s="20"/>
    </row>
    <row r="3340" spans="2:43">
      <c r="B3340"/>
      <c r="C3340"/>
      <c r="D3340"/>
      <c r="Q3340"/>
      <c r="AQ3340" s="20"/>
    </row>
    <row r="3341" spans="2:43">
      <c r="B3341"/>
      <c r="C3341"/>
      <c r="D3341"/>
      <c r="Q3341"/>
      <c r="AQ3341" s="20"/>
    </row>
    <row r="3342" spans="2:43">
      <c r="B3342"/>
      <c r="C3342"/>
      <c r="D3342"/>
      <c r="Q3342"/>
      <c r="AQ3342" s="20"/>
    </row>
    <row r="3343" spans="2:43">
      <c r="B3343"/>
      <c r="C3343"/>
      <c r="D3343"/>
      <c r="Q3343"/>
      <c r="AQ3343" s="20"/>
    </row>
    <row r="3344" spans="2:43">
      <c r="B3344"/>
      <c r="C3344"/>
      <c r="D3344"/>
      <c r="Q3344"/>
      <c r="AQ3344" s="20"/>
    </row>
    <row r="3345" spans="2:43">
      <c r="B3345"/>
      <c r="C3345"/>
      <c r="D3345"/>
      <c r="Q3345"/>
      <c r="AQ3345" s="20"/>
    </row>
    <row r="3346" spans="2:43">
      <c r="B3346"/>
      <c r="C3346"/>
      <c r="D3346"/>
      <c r="Q3346"/>
      <c r="AQ3346" s="20"/>
    </row>
    <row r="3347" spans="2:43">
      <c r="B3347"/>
      <c r="C3347"/>
      <c r="D3347"/>
      <c r="Q3347"/>
      <c r="AQ3347" s="20"/>
    </row>
    <row r="3348" spans="2:43">
      <c r="B3348"/>
      <c r="C3348"/>
      <c r="D3348"/>
      <c r="Q3348"/>
      <c r="AQ3348" s="20"/>
    </row>
    <row r="3349" spans="2:43">
      <c r="B3349"/>
      <c r="C3349"/>
      <c r="D3349"/>
      <c r="Q3349"/>
      <c r="AQ3349" s="20"/>
    </row>
    <row r="3350" spans="2:43">
      <c r="B3350"/>
      <c r="C3350"/>
      <c r="D3350"/>
      <c r="Q3350"/>
      <c r="AQ3350" s="20"/>
    </row>
    <row r="3351" spans="2:43">
      <c r="B3351"/>
      <c r="C3351"/>
      <c r="D3351"/>
      <c r="Q3351"/>
      <c r="AQ3351" s="20"/>
    </row>
    <row r="3352" spans="2:43">
      <c r="B3352"/>
      <c r="C3352"/>
      <c r="D3352"/>
      <c r="Q3352"/>
      <c r="AQ3352" s="20"/>
    </row>
    <row r="3353" spans="2:43">
      <c r="B3353"/>
      <c r="C3353"/>
      <c r="D3353"/>
      <c r="Q3353"/>
      <c r="AQ3353" s="20"/>
    </row>
    <row r="3354" spans="2:43">
      <c r="B3354"/>
      <c r="C3354"/>
      <c r="D3354"/>
      <c r="Q3354"/>
      <c r="AQ3354" s="20"/>
    </row>
    <row r="3355" spans="2:43">
      <c r="B3355"/>
      <c r="C3355"/>
      <c r="D3355"/>
      <c r="Q3355"/>
      <c r="AQ3355" s="20"/>
    </row>
    <row r="3356" spans="2:43">
      <c r="B3356"/>
      <c r="C3356"/>
      <c r="D3356"/>
      <c r="Q3356"/>
      <c r="AQ3356" s="20"/>
    </row>
    <row r="3357" spans="2:43">
      <c r="B3357"/>
      <c r="C3357"/>
      <c r="D3357"/>
      <c r="Q3357"/>
      <c r="AQ3357" s="20"/>
    </row>
    <row r="3358" spans="2:43">
      <c r="B3358"/>
      <c r="C3358"/>
      <c r="D3358"/>
      <c r="Q3358"/>
      <c r="AQ3358" s="20"/>
    </row>
    <row r="3359" spans="2:43">
      <c r="B3359"/>
      <c r="C3359"/>
      <c r="D3359"/>
      <c r="Q3359"/>
      <c r="AQ3359" s="20"/>
    </row>
    <row r="3360" spans="2:43">
      <c r="B3360"/>
      <c r="C3360"/>
      <c r="D3360"/>
      <c r="Q3360"/>
      <c r="AQ3360" s="20"/>
    </row>
    <row r="3361" spans="2:43">
      <c r="B3361"/>
      <c r="C3361"/>
      <c r="D3361"/>
      <c r="Q3361"/>
      <c r="AQ3361" s="20"/>
    </row>
    <row r="3362" spans="2:43">
      <c r="B3362"/>
      <c r="C3362"/>
      <c r="D3362"/>
      <c r="Q3362"/>
      <c r="AQ3362" s="20"/>
    </row>
    <row r="3363" spans="2:43">
      <c r="B3363"/>
      <c r="C3363"/>
      <c r="D3363"/>
      <c r="Q3363"/>
      <c r="AQ3363" s="20"/>
    </row>
    <row r="3364" spans="2:43">
      <c r="B3364"/>
      <c r="C3364"/>
      <c r="D3364"/>
      <c r="Q3364"/>
      <c r="AQ3364" s="20"/>
    </row>
    <row r="3365" spans="2:43">
      <c r="B3365"/>
      <c r="C3365"/>
      <c r="D3365"/>
      <c r="Q3365"/>
      <c r="AQ3365" s="20"/>
    </row>
    <row r="3366" spans="2:43">
      <c r="B3366"/>
      <c r="C3366"/>
      <c r="D3366"/>
      <c r="Q3366"/>
      <c r="AQ3366" s="20"/>
    </row>
    <row r="3367" spans="2:43">
      <c r="B3367"/>
      <c r="C3367"/>
      <c r="D3367"/>
      <c r="Q3367"/>
      <c r="AQ3367" s="20"/>
    </row>
    <row r="3368" spans="2:43">
      <c r="B3368"/>
      <c r="C3368"/>
      <c r="D3368"/>
      <c r="Q3368"/>
      <c r="AQ3368" s="20"/>
    </row>
    <row r="3369" spans="2:43">
      <c r="B3369"/>
      <c r="C3369"/>
      <c r="D3369"/>
      <c r="Q3369"/>
      <c r="AQ3369" s="20"/>
    </row>
    <row r="3370" spans="2:43">
      <c r="B3370"/>
      <c r="C3370"/>
      <c r="D3370"/>
      <c r="Q3370"/>
      <c r="AQ3370" s="20"/>
    </row>
    <row r="3371" spans="2:43">
      <c r="B3371"/>
      <c r="C3371"/>
      <c r="D3371"/>
      <c r="Q3371"/>
      <c r="AQ3371" s="20"/>
    </row>
    <row r="3372" spans="2:43">
      <c r="B3372"/>
      <c r="C3372"/>
      <c r="D3372"/>
      <c r="Q3372"/>
      <c r="AQ3372" s="20"/>
    </row>
    <row r="3373" spans="2:43">
      <c r="B3373"/>
      <c r="C3373"/>
      <c r="D3373"/>
      <c r="Q3373"/>
      <c r="AQ3373" s="20"/>
    </row>
    <row r="3374" spans="2:43">
      <c r="B3374"/>
      <c r="C3374"/>
      <c r="D3374"/>
      <c r="Q3374"/>
      <c r="AQ3374" s="20"/>
    </row>
    <row r="3375" spans="2:43">
      <c r="B3375"/>
      <c r="C3375"/>
      <c r="D3375"/>
      <c r="Q3375"/>
      <c r="AQ3375" s="20"/>
    </row>
    <row r="3376" spans="2:43">
      <c r="B3376"/>
      <c r="C3376"/>
      <c r="D3376"/>
      <c r="Q3376"/>
      <c r="AQ3376" s="20"/>
    </row>
    <row r="3377" spans="2:43">
      <c r="B3377"/>
      <c r="C3377"/>
      <c r="D3377"/>
      <c r="Q3377"/>
      <c r="AQ3377" s="20"/>
    </row>
    <row r="3378" spans="2:43">
      <c r="B3378"/>
      <c r="C3378"/>
      <c r="D3378"/>
      <c r="Q3378"/>
      <c r="AQ3378" s="20"/>
    </row>
    <row r="3379" spans="2:43">
      <c r="B3379"/>
      <c r="C3379"/>
      <c r="D3379"/>
      <c r="Q3379"/>
      <c r="AQ3379" s="20"/>
    </row>
    <row r="3380" spans="2:43">
      <c r="B3380"/>
      <c r="C3380"/>
      <c r="D3380"/>
      <c r="Q3380"/>
      <c r="AQ3380" s="20"/>
    </row>
    <row r="3381" spans="2:43">
      <c r="B3381"/>
      <c r="C3381"/>
      <c r="D3381"/>
      <c r="Q3381"/>
      <c r="AQ3381" s="20"/>
    </row>
    <row r="3382" spans="2:43">
      <c r="B3382"/>
      <c r="C3382"/>
      <c r="D3382"/>
      <c r="Q3382"/>
      <c r="AQ3382" s="20"/>
    </row>
    <row r="3383" spans="2:43">
      <c r="B3383"/>
      <c r="C3383"/>
      <c r="D3383"/>
      <c r="Q3383"/>
      <c r="AQ3383" s="20"/>
    </row>
    <row r="3384" spans="2:43">
      <c r="B3384"/>
      <c r="C3384"/>
      <c r="D3384"/>
      <c r="Q3384"/>
      <c r="AQ3384" s="20"/>
    </row>
    <row r="3385" spans="2:43">
      <c r="B3385"/>
      <c r="C3385"/>
      <c r="D3385"/>
      <c r="Q3385"/>
      <c r="AQ3385" s="20"/>
    </row>
    <row r="3386" spans="2:43">
      <c r="B3386"/>
      <c r="C3386"/>
      <c r="D3386"/>
      <c r="Q3386"/>
      <c r="AQ3386" s="20"/>
    </row>
    <row r="3387" spans="2:43">
      <c r="B3387"/>
      <c r="C3387"/>
      <c r="D3387"/>
      <c r="Q3387"/>
      <c r="AQ3387" s="20"/>
    </row>
    <row r="3388" spans="2:43">
      <c r="B3388"/>
      <c r="C3388"/>
      <c r="D3388"/>
      <c r="Q3388"/>
      <c r="AQ3388" s="20"/>
    </row>
    <row r="3389" spans="2:43">
      <c r="B3389"/>
      <c r="C3389"/>
      <c r="D3389"/>
      <c r="Q3389"/>
      <c r="AQ3389" s="20"/>
    </row>
    <row r="3390" spans="2:43">
      <c r="B3390"/>
      <c r="C3390"/>
      <c r="D3390"/>
      <c r="Q3390"/>
      <c r="AQ3390" s="20"/>
    </row>
    <row r="3391" spans="2:43">
      <c r="B3391"/>
      <c r="C3391"/>
      <c r="D3391"/>
      <c r="Q3391"/>
      <c r="AQ3391" s="20"/>
    </row>
    <row r="3392" spans="2:43">
      <c r="B3392"/>
      <c r="C3392"/>
      <c r="D3392"/>
      <c r="Q3392"/>
      <c r="AQ3392" s="20"/>
    </row>
    <row r="3393" spans="2:43">
      <c r="B3393"/>
      <c r="C3393"/>
      <c r="D3393"/>
      <c r="Q3393"/>
      <c r="AQ3393" s="20"/>
    </row>
    <row r="3394" spans="2:43">
      <c r="B3394"/>
      <c r="C3394"/>
      <c r="D3394"/>
      <c r="Q3394"/>
      <c r="AQ3394" s="20"/>
    </row>
    <row r="3395" spans="2:43">
      <c r="B3395"/>
      <c r="C3395"/>
      <c r="D3395"/>
      <c r="Q3395"/>
      <c r="AQ3395" s="20"/>
    </row>
    <row r="3396" spans="2:43">
      <c r="B3396"/>
      <c r="C3396"/>
      <c r="D3396"/>
      <c r="Q3396"/>
      <c r="AQ3396" s="20"/>
    </row>
    <row r="3397" spans="2:43">
      <c r="B3397"/>
      <c r="C3397"/>
      <c r="D3397"/>
      <c r="Q3397"/>
      <c r="AQ3397" s="20"/>
    </row>
    <row r="3398" spans="2:43">
      <c r="B3398"/>
      <c r="C3398"/>
      <c r="D3398"/>
      <c r="Q3398"/>
      <c r="AQ3398" s="20"/>
    </row>
    <row r="3399" spans="2:43">
      <c r="B3399"/>
      <c r="C3399"/>
      <c r="D3399"/>
      <c r="Q3399"/>
      <c r="AQ3399" s="20"/>
    </row>
    <row r="3400" spans="2:43">
      <c r="B3400"/>
      <c r="C3400"/>
      <c r="D3400"/>
      <c r="Q3400"/>
      <c r="AQ3400" s="20"/>
    </row>
    <row r="3401" spans="2:43">
      <c r="B3401"/>
      <c r="C3401"/>
      <c r="D3401"/>
      <c r="Q3401"/>
      <c r="AQ3401" s="20"/>
    </row>
    <row r="3402" spans="2:43">
      <c r="B3402"/>
      <c r="C3402"/>
      <c r="D3402"/>
      <c r="Q3402"/>
      <c r="AQ3402" s="20"/>
    </row>
    <row r="3403" spans="2:43">
      <c r="B3403"/>
      <c r="C3403"/>
      <c r="D3403"/>
      <c r="Q3403"/>
      <c r="AQ3403" s="20"/>
    </row>
    <row r="3404" spans="2:43">
      <c r="B3404"/>
      <c r="C3404"/>
      <c r="D3404"/>
      <c r="Q3404"/>
      <c r="AQ3404" s="20"/>
    </row>
    <row r="3405" spans="2:43">
      <c r="B3405"/>
      <c r="C3405"/>
      <c r="D3405"/>
      <c r="Q3405"/>
      <c r="AQ3405" s="20"/>
    </row>
    <row r="3406" spans="2:43">
      <c r="B3406"/>
      <c r="C3406"/>
      <c r="D3406"/>
      <c r="Q3406"/>
      <c r="AQ3406" s="20"/>
    </row>
    <row r="3407" spans="2:43">
      <c r="B3407"/>
      <c r="C3407"/>
      <c r="D3407"/>
      <c r="Q3407"/>
      <c r="AQ3407" s="20"/>
    </row>
    <row r="3408" spans="2:43">
      <c r="B3408"/>
      <c r="C3408"/>
      <c r="D3408"/>
      <c r="Q3408"/>
      <c r="AQ3408" s="20"/>
    </row>
    <row r="3409" spans="2:43">
      <c r="B3409"/>
      <c r="C3409"/>
      <c r="D3409"/>
      <c r="Q3409"/>
      <c r="AQ3409" s="20"/>
    </row>
    <row r="3410" spans="2:43">
      <c r="B3410"/>
      <c r="C3410"/>
      <c r="D3410"/>
      <c r="Q3410"/>
      <c r="AQ3410" s="20"/>
    </row>
    <row r="3411" spans="2:43">
      <c r="B3411"/>
      <c r="C3411"/>
      <c r="D3411"/>
      <c r="Q3411"/>
      <c r="AQ3411" s="20"/>
    </row>
    <row r="3412" spans="2:43">
      <c r="B3412"/>
      <c r="C3412"/>
      <c r="D3412"/>
      <c r="Q3412"/>
      <c r="AQ3412" s="20"/>
    </row>
    <row r="3413" spans="2:43">
      <c r="B3413"/>
      <c r="C3413"/>
      <c r="D3413"/>
      <c r="Q3413"/>
      <c r="AQ3413" s="20"/>
    </row>
    <row r="3414" spans="2:43">
      <c r="B3414"/>
      <c r="C3414"/>
      <c r="D3414"/>
      <c r="Q3414"/>
      <c r="AQ3414" s="20"/>
    </row>
    <row r="3415" spans="2:43">
      <c r="B3415"/>
      <c r="C3415"/>
      <c r="D3415"/>
      <c r="Q3415"/>
      <c r="AQ3415" s="20"/>
    </row>
    <row r="3416" spans="2:43">
      <c r="B3416"/>
      <c r="C3416"/>
      <c r="D3416"/>
      <c r="Q3416"/>
      <c r="AQ3416" s="20"/>
    </row>
    <row r="3417" spans="2:43">
      <c r="B3417"/>
      <c r="C3417"/>
      <c r="D3417"/>
      <c r="Q3417"/>
      <c r="AQ3417" s="20"/>
    </row>
    <row r="3418" spans="2:43">
      <c r="B3418"/>
      <c r="C3418"/>
      <c r="D3418"/>
      <c r="Q3418"/>
      <c r="AQ3418" s="20"/>
    </row>
    <row r="3419" spans="2:43">
      <c r="B3419"/>
      <c r="C3419"/>
      <c r="D3419"/>
      <c r="Q3419"/>
      <c r="AQ3419" s="20"/>
    </row>
    <row r="3420" spans="2:43">
      <c r="B3420"/>
      <c r="C3420"/>
      <c r="D3420"/>
      <c r="Q3420"/>
      <c r="AQ3420" s="20"/>
    </row>
    <row r="3421" spans="2:43">
      <c r="B3421"/>
      <c r="C3421"/>
      <c r="D3421"/>
      <c r="Q3421"/>
      <c r="AQ3421" s="20"/>
    </row>
    <row r="3422" spans="2:43">
      <c r="B3422"/>
      <c r="C3422"/>
      <c r="D3422"/>
      <c r="Q3422"/>
      <c r="AQ3422" s="20"/>
    </row>
    <row r="3423" spans="2:43">
      <c r="B3423"/>
      <c r="C3423"/>
      <c r="D3423"/>
      <c r="Q3423"/>
      <c r="AQ3423" s="20"/>
    </row>
    <row r="3424" spans="2:43">
      <c r="B3424"/>
      <c r="C3424"/>
      <c r="D3424"/>
      <c r="Q3424"/>
      <c r="AQ3424" s="20"/>
    </row>
    <row r="3425" spans="2:43">
      <c r="B3425"/>
      <c r="C3425"/>
      <c r="D3425"/>
      <c r="Q3425"/>
      <c r="AQ3425" s="20"/>
    </row>
    <row r="3426" spans="2:43">
      <c r="B3426"/>
      <c r="C3426"/>
      <c r="D3426"/>
      <c r="Q3426"/>
      <c r="AQ3426" s="20"/>
    </row>
    <row r="3427" spans="2:43">
      <c r="B3427"/>
      <c r="C3427"/>
      <c r="D3427"/>
      <c r="Q3427"/>
      <c r="AQ3427" s="20"/>
    </row>
    <row r="3428" spans="2:43">
      <c r="B3428"/>
      <c r="C3428"/>
      <c r="D3428"/>
      <c r="Q3428"/>
      <c r="AQ3428" s="20"/>
    </row>
    <row r="3429" spans="2:43">
      <c r="B3429"/>
      <c r="C3429"/>
      <c r="D3429"/>
      <c r="Q3429"/>
      <c r="AQ3429" s="20"/>
    </row>
    <row r="3430" spans="2:43">
      <c r="B3430"/>
      <c r="C3430"/>
      <c r="D3430"/>
      <c r="Q3430"/>
      <c r="AQ3430" s="20"/>
    </row>
    <row r="3431" spans="2:43">
      <c r="B3431"/>
      <c r="C3431"/>
      <c r="D3431"/>
      <c r="Q3431"/>
      <c r="AQ3431" s="20"/>
    </row>
    <row r="3432" spans="2:43">
      <c r="B3432"/>
      <c r="C3432"/>
      <c r="D3432"/>
      <c r="Q3432"/>
      <c r="AQ3432" s="20"/>
    </row>
    <row r="3433" spans="2:43">
      <c r="B3433"/>
      <c r="C3433"/>
      <c r="D3433"/>
      <c r="Q3433"/>
      <c r="AQ3433" s="20"/>
    </row>
    <row r="3434" spans="2:43">
      <c r="B3434"/>
      <c r="C3434"/>
      <c r="D3434"/>
      <c r="Q3434"/>
      <c r="AQ3434" s="20"/>
    </row>
    <row r="3435" spans="2:43">
      <c r="B3435"/>
      <c r="C3435"/>
      <c r="D3435"/>
      <c r="Q3435"/>
      <c r="AQ3435" s="20"/>
    </row>
    <row r="3436" spans="2:43">
      <c r="B3436"/>
      <c r="C3436"/>
      <c r="D3436"/>
      <c r="Q3436"/>
      <c r="AQ3436" s="20"/>
    </row>
    <row r="3437" spans="2:43">
      <c r="B3437"/>
      <c r="C3437"/>
      <c r="D3437"/>
      <c r="Q3437"/>
      <c r="AQ3437" s="20"/>
    </row>
    <row r="3438" spans="2:43">
      <c r="B3438"/>
      <c r="C3438"/>
      <c r="D3438"/>
      <c r="Q3438"/>
      <c r="AQ3438" s="20"/>
    </row>
    <row r="3439" spans="2:43">
      <c r="B3439"/>
      <c r="C3439"/>
      <c r="D3439"/>
      <c r="Q3439"/>
      <c r="AQ3439" s="20"/>
    </row>
    <row r="3440" spans="2:43">
      <c r="B3440"/>
      <c r="C3440"/>
      <c r="D3440"/>
      <c r="Q3440"/>
      <c r="AQ3440" s="20"/>
    </row>
    <row r="3441" spans="2:43">
      <c r="B3441"/>
      <c r="C3441"/>
      <c r="D3441"/>
      <c r="Q3441"/>
      <c r="AQ3441" s="20"/>
    </row>
    <row r="3442" spans="2:43">
      <c r="B3442"/>
      <c r="C3442"/>
      <c r="D3442"/>
      <c r="Q3442"/>
      <c r="AQ3442" s="20"/>
    </row>
    <row r="3443" spans="2:43">
      <c r="B3443"/>
      <c r="C3443"/>
      <c r="D3443"/>
      <c r="Q3443"/>
      <c r="AQ3443" s="20"/>
    </row>
    <row r="3444" spans="2:43">
      <c r="B3444"/>
      <c r="C3444"/>
      <c r="D3444"/>
      <c r="Q3444"/>
      <c r="AQ3444" s="20"/>
    </row>
    <row r="3445" spans="2:43">
      <c r="B3445"/>
      <c r="C3445"/>
      <c r="D3445"/>
      <c r="Q3445"/>
      <c r="AQ3445" s="20"/>
    </row>
    <row r="3446" spans="2:43">
      <c r="B3446"/>
      <c r="C3446"/>
      <c r="D3446"/>
      <c r="Q3446"/>
      <c r="AQ3446" s="20"/>
    </row>
    <row r="3447" spans="2:43">
      <c r="B3447"/>
      <c r="C3447"/>
      <c r="D3447"/>
      <c r="Q3447"/>
      <c r="AQ3447" s="20"/>
    </row>
    <row r="3448" spans="2:43">
      <c r="B3448"/>
      <c r="C3448"/>
      <c r="D3448"/>
      <c r="Q3448"/>
      <c r="AQ3448" s="20"/>
    </row>
    <row r="3449" spans="2:43">
      <c r="B3449"/>
      <c r="C3449"/>
      <c r="D3449"/>
      <c r="Q3449"/>
      <c r="AQ3449" s="20"/>
    </row>
    <row r="3450" spans="2:43">
      <c r="B3450"/>
      <c r="C3450"/>
      <c r="D3450"/>
      <c r="Q3450"/>
      <c r="AQ3450" s="20"/>
    </row>
    <row r="3451" spans="2:43">
      <c r="B3451"/>
      <c r="C3451"/>
      <c r="D3451"/>
      <c r="Q3451"/>
      <c r="AQ3451" s="20"/>
    </row>
    <row r="3452" spans="2:43">
      <c r="B3452"/>
      <c r="C3452"/>
      <c r="D3452"/>
      <c r="Q3452"/>
      <c r="AQ3452" s="20"/>
    </row>
    <row r="3453" spans="2:43">
      <c r="B3453"/>
      <c r="C3453"/>
      <c r="D3453"/>
      <c r="Q3453"/>
      <c r="AQ3453" s="20"/>
    </row>
    <row r="3454" spans="2:43">
      <c r="B3454"/>
      <c r="C3454"/>
      <c r="D3454"/>
      <c r="Q3454"/>
      <c r="AQ3454" s="20"/>
    </row>
    <row r="3455" spans="2:43">
      <c r="B3455"/>
      <c r="C3455"/>
      <c r="D3455"/>
      <c r="Q3455"/>
      <c r="AQ3455" s="20"/>
    </row>
    <row r="3456" spans="2:43">
      <c r="B3456"/>
      <c r="C3456"/>
      <c r="D3456"/>
      <c r="Q3456"/>
      <c r="AQ3456" s="20"/>
    </row>
    <row r="3457" spans="2:43">
      <c r="B3457"/>
      <c r="C3457"/>
      <c r="D3457"/>
      <c r="Q3457"/>
      <c r="AQ3457" s="20"/>
    </row>
    <row r="3458" spans="2:43">
      <c r="B3458"/>
      <c r="C3458"/>
      <c r="D3458"/>
      <c r="Q3458"/>
      <c r="AQ3458" s="20"/>
    </row>
    <row r="3459" spans="2:43">
      <c r="B3459"/>
      <c r="C3459"/>
      <c r="D3459"/>
      <c r="Q3459"/>
      <c r="AQ3459" s="20"/>
    </row>
    <row r="3460" spans="2:43">
      <c r="B3460"/>
      <c r="C3460"/>
      <c r="D3460"/>
      <c r="Q3460"/>
      <c r="AQ3460" s="20"/>
    </row>
    <row r="3461" spans="2:43">
      <c r="B3461"/>
      <c r="C3461"/>
      <c r="D3461"/>
      <c r="Q3461"/>
      <c r="AQ3461" s="20"/>
    </row>
    <row r="3462" spans="2:43">
      <c r="B3462"/>
      <c r="C3462"/>
      <c r="D3462"/>
      <c r="Q3462"/>
      <c r="AQ3462" s="20"/>
    </row>
    <row r="3463" spans="2:43">
      <c r="B3463"/>
      <c r="C3463"/>
      <c r="D3463"/>
      <c r="Q3463"/>
      <c r="AQ3463" s="20"/>
    </row>
    <row r="3464" spans="2:43">
      <c r="B3464"/>
      <c r="C3464"/>
      <c r="D3464"/>
      <c r="Q3464"/>
      <c r="AQ3464" s="20"/>
    </row>
    <row r="3465" spans="2:43">
      <c r="B3465"/>
      <c r="C3465"/>
      <c r="D3465"/>
      <c r="Q3465"/>
      <c r="AQ3465" s="20"/>
    </row>
    <row r="3466" spans="2:43">
      <c r="B3466"/>
      <c r="C3466"/>
      <c r="D3466"/>
      <c r="Q3466"/>
      <c r="AQ3466" s="20"/>
    </row>
    <row r="3467" spans="2:43">
      <c r="B3467"/>
      <c r="C3467"/>
      <c r="D3467"/>
      <c r="Q3467"/>
      <c r="AQ3467" s="20"/>
    </row>
    <row r="3468" spans="2:43">
      <c r="B3468"/>
      <c r="C3468"/>
      <c r="D3468"/>
      <c r="Q3468"/>
      <c r="AQ3468" s="20"/>
    </row>
    <row r="3469" spans="2:43">
      <c r="B3469"/>
      <c r="C3469"/>
      <c r="D3469"/>
      <c r="Q3469"/>
      <c r="AQ3469" s="20"/>
    </row>
    <row r="3470" spans="2:43">
      <c r="B3470"/>
      <c r="C3470"/>
      <c r="D3470"/>
      <c r="Q3470"/>
      <c r="AQ3470" s="20"/>
    </row>
    <row r="3471" spans="2:43">
      <c r="B3471"/>
      <c r="C3471"/>
      <c r="D3471"/>
      <c r="Q3471"/>
      <c r="AQ3471" s="20"/>
    </row>
    <row r="3472" spans="2:43">
      <c r="B3472"/>
      <c r="C3472"/>
      <c r="D3472"/>
      <c r="Q3472"/>
      <c r="AQ3472" s="20"/>
    </row>
    <row r="3473" spans="2:43">
      <c r="B3473"/>
      <c r="C3473"/>
      <c r="D3473"/>
      <c r="Q3473"/>
      <c r="AQ3473" s="20"/>
    </row>
    <row r="3474" spans="2:43">
      <c r="B3474"/>
      <c r="C3474"/>
      <c r="D3474"/>
      <c r="Q3474"/>
      <c r="AQ3474" s="20"/>
    </row>
    <row r="3475" spans="2:43">
      <c r="B3475"/>
      <c r="C3475"/>
      <c r="D3475"/>
      <c r="Q3475"/>
      <c r="AQ3475" s="20"/>
    </row>
    <row r="3476" spans="2:43">
      <c r="B3476"/>
      <c r="C3476"/>
      <c r="D3476"/>
      <c r="Q3476"/>
      <c r="AQ3476" s="20"/>
    </row>
    <row r="3477" spans="2:43">
      <c r="B3477"/>
      <c r="C3477"/>
      <c r="D3477"/>
      <c r="Q3477"/>
      <c r="AQ3477" s="20"/>
    </row>
    <row r="3478" spans="2:43">
      <c r="B3478"/>
      <c r="C3478"/>
      <c r="D3478"/>
      <c r="Q3478"/>
      <c r="AQ3478" s="20"/>
    </row>
    <row r="3479" spans="2:43">
      <c r="B3479"/>
      <c r="C3479"/>
      <c r="D3479"/>
      <c r="Q3479"/>
      <c r="AQ3479" s="20"/>
    </row>
    <row r="3480" spans="2:43">
      <c r="B3480"/>
      <c r="C3480"/>
      <c r="D3480"/>
      <c r="Q3480"/>
      <c r="AQ3480" s="20"/>
    </row>
    <row r="3481" spans="2:43">
      <c r="B3481"/>
      <c r="C3481"/>
      <c r="D3481"/>
      <c r="Q3481"/>
      <c r="AQ3481" s="20"/>
    </row>
    <row r="3482" spans="2:43">
      <c r="B3482"/>
      <c r="C3482"/>
      <c r="D3482"/>
      <c r="Q3482"/>
      <c r="AQ3482" s="20"/>
    </row>
    <row r="3483" spans="2:43">
      <c r="B3483"/>
      <c r="C3483"/>
      <c r="D3483"/>
      <c r="Q3483"/>
      <c r="AQ3483" s="20"/>
    </row>
    <row r="3484" spans="2:43">
      <c r="B3484"/>
      <c r="C3484"/>
      <c r="D3484"/>
      <c r="Q3484"/>
      <c r="AQ3484" s="20"/>
    </row>
    <row r="3485" spans="2:43">
      <c r="B3485"/>
      <c r="C3485"/>
      <c r="D3485"/>
      <c r="Q3485"/>
      <c r="AQ3485" s="20"/>
    </row>
    <row r="3486" spans="2:43">
      <c r="B3486"/>
      <c r="C3486"/>
      <c r="D3486"/>
      <c r="Q3486"/>
      <c r="AQ3486" s="20"/>
    </row>
    <row r="3487" spans="2:43">
      <c r="B3487"/>
      <c r="C3487"/>
      <c r="D3487"/>
      <c r="Q3487"/>
      <c r="AQ3487" s="20"/>
    </row>
    <row r="3488" spans="2:43">
      <c r="B3488"/>
      <c r="C3488"/>
      <c r="D3488"/>
      <c r="Q3488"/>
      <c r="AQ3488" s="20"/>
    </row>
    <row r="3489" spans="2:43">
      <c r="B3489"/>
      <c r="C3489"/>
      <c r="D3489"/>
      <c r="Q3489"/>
      <c r="AQ3489" s="20"/>
    </row>
    <row r="3490" spans="2:43">
      <c r="B3490"/>
      <c r="C3490"/>
      <c r="D3490"/>
      <c r="Q3490"/>
      <c r="AQ3490" s="20"/>
    </row>
    <row r="3491" spans="2:43">
      <c r="B3491"/>
      <c r="C3491"/>
      <c r="D3491"/>
      <c r="Q3491"/>
      <c r="AQ3491" s="20"/>
    </row>
    <row r="3492" spans="2:43">
      <c r="B3492"/>
      <c r="C3492"/>
      <c r="D3492"/>
      <c r="Q3492"/>
      <c r="AQ3492" s="20"/>
    </row>
    <row r="3493" spans="2:43">
      <c r="B3493"/>
      <c r="C3493"/>
      <c r="D3493"/>
      <c r="Q3493"/>
      <c r="AQ3493" s="20"/>
    </row>
    <row r="3494" spans="2:43">
      <c r="B3494"/>
      <c r="C3494"/>
      <c r="D3494"/>
      <c r="Q3494"/>
      <c r="AQ3494" s="20"/>
    </row>
    <row r="3495" spans="2:43">
      <c r="B3495"/>
      <c r="C3495"/>
      <c r="D3495"/>
      <c r="Q3495"/>
      <c r="AQ3495" s="20"/>
    </row>
    <row r="3496" spans="2:43">
      <c r="B3496"/>
      <c r="C3496"/>
      <c r="D3496"/>
      <c r="Q3496"/>
      <c r="AQ3496" s="20"/>
    </row>
    <row r="3497" spans="2:43">
      <c r="B3497"/>
      <c r="C3497"/>
      <c r="D3497"/>
      <c r="Q3497"/>
      <c r="AQ3497" s="20"/>
    </row>
    <row r="3498" spans="2:43">
      <c r="B3498"/>
      <c r="C3498"/>
      <c r="D3498"/>
      <c r="Q3498"/>
      <c r="AQ3498" s="20"/>
    </row>
    <row r="3499" spans="2:43">
      <c r="B3499"/>
      <c r="C3499"/>
      <c r="D3499"/>
      <c r="Q3499"/>
      <c r="AQ3499" s="20"/>
    </row>
    <row r="3500" spans="2:43">
      <c r="B3500"/>
      <c r="C3500"/>
      <c r="D3500"/>
      <c r="Q3500"/>
      <c r="AQ3500" s="20"/>
    </row>
    <row r="3501" spans="2:43">
      <c r="B3501"/>
      <c r="C3501"/>
      <c r="D3501"/>
      <c r="Q3501"/>
      <c r="AQ3501" s="20"/>
    </row>
    <row r="3502" spans="2:43">
      <c r="B3502"/>
      <c r="C3502"/>
      <c r="D3502"/>
      <c r="Q3502"/>
      <c r="AQ3502" s="20"/>
    </row>
    <row r="3503" spans="2:43">
      <c r="B3503"/>
      <c r="C3503"/>
      <c r="D3503"/>
      <c r="Q3503"/>
      <c r="AQ3503" s="20"/>
    </row>
    <row r="3504" spans="2:43">
      <c r="B3504"/>
      <c r="C3504"/>
      <c r="D3504"/>
      <c r="Q3504"/>
      <c r="AQ3504" s="20"/>
    </row>
    <row r="3505" spans="2:43">
      <c r="B3505"/>
      <c r="C3505"/>
      <c r="D3505"/>
      <c r="Q3505"/>
      <c r="AQ3505" s="20"/>
    </row>
    <row r="3506" spans="2:43">
      <c r="B3506"/>
      <c r="C3506"/>
      <c r="D3506"/>
      <c r="Q3506"/>
      <c r="AQ3506" s="20"/>
    </row>
    <row r="3507" spans="2:43">
      <c r="B3507"/>
      <c r="C3507"/>
      <c r="D3507"/>
      <c r="Q3507"/>
      <c r="AQ3507" s="20"/>
    </row>
    <row r="3508" spans="2:43">
      <c r="B3508"/>
      <c r="C3508"/>
      <c r="D3508"/>
      <c r="Q3508"/>
      <c r="AQ3508" s="20"/>
    </row>
    <row r="3509" spans="2:43">
      <c r="B3509"/>
      <c r="C3509"/>
      <c r="D3509"/>
      <c r="Q3509"/>
      <c r="AQ3509" s="20"/>
    </row>
    <row r="3510" spans="2:43">
      <c r="B3510"/>
      <c r="C3510"/>
      <c r="D3510"/>
      <c r="Q3510"/>
      <c r="AQ3510" s="20"/>
    </row>
    <row r="3511" spans="2:43">
      <c r="B3511"/>
      <c r="C3511"/>
      <c r="D3511"/>
      <c r="Q3511"/>
      <c r="AQ3511" s="20"/>
    </row>
    <row r="3512" spans="2:43">
      <c r="B3512"/>
      <c r="C3512"/>
      <c r="D3512"/>
      <c r="Q3512"/>
      <c r="AQ3512" s="20"/>
    </row>
    <row r="3513" spans="2:43">
      <c r="B3513"/>
      <c r="C3513"/>
      <c r="D3513"/>
      <c r="Q3513"/>
      <c r="AQ3513" s="20"/>
    </row>
    <row r="3514" spans="2:43">
      <c r="B3514"/>
      <c r="C3514"/>
      <c r="D3514"/>
      <c r="Q3514"/>
      <c r="AQ3514" s="20"/>
    </row>
    <row r="3515" spans="2:43">
      <c r="B3515"/>
      <c r="C3515"/>
      <c r="D3515"/>
      <c r="Q3515"/>
      <c r="AQ3515" s="20"/>
    </row>
    <row r="3516" spans="2:43">
      <c r="B3516"/>
      <c r="C3516"/>
      <c r="D3516"/>
      <c r="Q3516"/>
      <c r="AQ3516" s="20"/>
    </row>
    <row r="3517" spans="2:43">
      <c r="B3517"/>
      <c r="C3517"/>
      <c r="D3517"/>
      <c r="Q3517"/>
      <c r="AQ3517" s="20"/>
    </row>
    <row r="3518" spans="2:43">
      <c r="B3518"/>
      <c r="C3518"/>
      <c r="D3518"/>
      <c r="Q3518"/>
      <c r="AQ3518" s="20"/>
    </row>
    <row r="3519" spans="2:43">
      <c r="B3519"/>
      <c r="C3519"/>
      <c r="D3519"/>
      <c r="Q3519"/>
      <c r="AQ3519" s="20"/>
    </row>
    <row r="3520" spans="2:43">
      <c r="B3520"/>
      <c r="C3520"/>
      <c r="D3520"/>
      <c r="Q3520"/>
      <c r="AQ3520" s="20"/>
    </row>
    <row r="3521" spans="2:43">
      <c r="B3521"/>
      <c r="C3521"/>
      <c r="D3521"/>
      <c r="Q3521"/>
      <c r="AQ3521" s="20"/>
    </row>
    <row r="3522" spans="2:43">
      <c r="B3522"/>
      <c r="C3522"/>
      <c r="D3522"/>
      <c r="Q3522"/>
      <c r="AQ3522" s="20"/>
    </row>
    <row r="3523" spans="2:43">
      <c r="B3523"/>
      <c r="C3523"/>
      <c r="D3523"/>
      <c r="Q3523"/>
      <c r="AQ3523" s="20"/>
    </row>
    <row r="3524" spans="2:43">
      <c r="B3524"/>
      <c r="C3524"/>
      <c r="D3524"/>
      <c r="Q3524"/>
      <c r="AQ3524" s="20"/>
    </row>
    <row r="3525" spans="2:43">
      <c r="B3525"/>
      <c r="C3525"/>
      <c r="D3525"/>
      <c r="Q3525"/>
      <c r="AQ3525" s="20"/>
    </row>
    <row r="3526" spans="2:43">
      <c r="B3526"/>
      <c r="C3526"/>
      <c r="D3526"/>
      <c r="Q3526"/>
      <c r="AQ3526" s="20"/>
    </row>
    <row r="3527" spans="2:43">
      <c r="B3527"/>
      <c r="C3527"/>
      <c r="D3527"/>
      <c r="Q3527"/>
      <c r="AQ3527" s="20"/>
    </row>
    <row r="3528" spans="2:43">
      <c r="B3528"/>
      <c r="C3528"/>
      <c r="D3528"/>
      <c r="Q3528"/>
      <c r="AQ3528" s="20"/>
    </row>
    <row r="3529" spans="2:43">
      <c r="B3529"/>
      <c r="C3529"/>
      <c r="D3529"/>
      <c r="Q3529"/>
      <c r="AQ3529" s="20"/>
    </row>
    <row r="3530" spans="2:43">
      <c r="B3530"/>
      <c r="C3530"/>
      <c r="D3530"/>
      <c r="Q3530"/>
      <c r="AQ3530" s="20"/>
    </row>
    <row r="3531" spans="2:43">
      <c r="B3531"/>
      <c r="C3531"/>
      <c r="D3531"/>
      <c r="Q3531"/>
      <c r="AQ3531" s="20"/>
    </row>
    <row r="3532" spans="2:43">
      <c r="B3532"/>
      <c r="C3532"/>
      <c r="D3532"/>
      <c r="Q3532"/>
      <c r="AQ3532" s="20"/>
    </row>
    <row r="3533" spans="2:43">
      <c r="B3533"/>
      <c r="C3533"/>
      <c r="D3533"/>
      <c r="Q3533"/>
      <c r="AQ3533" s="20"/>
    </row>
    <row r="3534" spans="2:43">
      <c r="B3534"/>
      <c r="C3534"/>
      <c r="D3534"/>
      <c r="Q3534"/>
      <c r="AQ3534" s="20"/>
    </row>
    <row r="3535" spans="2:43">
      <c r="B3535"/>
      <c r="C3535"/>
      <c r="D3535"/>
      <c r="Q3535"/>
      <c r="AQ3535" s="20"/>
    </row>
    <row r="3536" spans="2:43">
      <c r="B3536"/>
      <c r="C3536"/>
      <c r="D3536"/>
      <c r="Q3536"/>
      <c r="AQ3536" s="20"/>
    </row>
    <row r="3537" spans="2:43">
      <c r="B3537"/>
      <c r="C3537"/>
      <c r="D3537"/>
      <c r="Q3537"/>
      <c r="AQ3537" s="20"/>
    </row>
    <row r="3538" spans="2:43">
      <c r="B3538"/>
      <c r="C3538"/>
      <c r="D3538"/>
      <c r="Q3538"/>
      <c r="AQ3538" s="20"/>
    </row>
    <row r="3539" spans="2:43">
      <c r="B3539"/>
      <c r="C3539"/>
      <c r="D3539"/>
      <c r="Q3539"/>
      <c r="AQ3539" s="20"/>
    </row>
    <row r="3540" spans="2:43">
      <c r="B3540"/>
      <c r="C3540"/>
      <c r="D3540"/>
      <c r="Q3540"/>
      <c r="AQ3540" s="20"/>
    </row>
    <row r="3541" spans="2:43">
      <c r="B3541"/>
      <c r="C3541"/>
      <c r="D3541"/>
      <c r="Q3541"/>
      <c r="AQ3541" s="20"/>
    </row>
    <row r="3542" spans="2:43">
      <c r="B3542"/>
      <c r="C3542"/>
      <c r="D3542"/>
      <c r="Q3542"/>
      <c r="AQ3542" s="20"/>
    </row>
    <row r="3543" spans="2:43">
      <c r="B3543"/>
      <c r="C3543"/>
      <c r="D3543"/>
      <c r="Q3543"/>
      <c r="AQ3543" s="20"/>
    </row>
    <row r="3544" spans="2:43">
      <c r="B3544"/>
      <c r="C3544"/>
      <c r="D3544"/>
      <c r="Q3544"/>
      <c r="AQ3544" s="20"/>
    </row>
    <row r="3545" spans="2:43">
      <c r="B3545"/>
      <c r="C3545"/>
      <c r="D3545"/>
      <c r="Q3545"/>
      <c r="AQ3545" s="20"/>
    </row>
    <row r="3546" spans="2:43">
      <c r="B3546"/>
      <c r="C3546"/>
      <c r="D3546"/>
      <c r="Q3546"/>
      <c r="AQ3546" s="20"/>
    </row>
    <row r="3547" spans="2:43">
      <c r="B3547"/>
      <c r="C3547"/>
      <c r="D3547"/>
      <c r="Q3547"/>
      <c r="AQ3547" s="20"/>
    </row>
    <row r="3548" spans="2:43">
      <c r="B3548"/>
      <c r="C3548"/>
      <c r="D3548"/>
      <c r="Q3548"/>
      <c r="AQ3548" s="20"/>
    </row>
    <row r="3549" spans="2:43">
      <c r="B3549"/>
      <c r="C3549"/>
      <c r="D3549"/>
      <c r="Q3549"/>
      <c r="AQ3549" s="20"/>
    </row>
    <row r="3550" spans="2:43">
      <c r="B3550"/>
      <c r="C3550"/>
      <c r="D3550"/>
      <c r="Q3550"/>
      <c r="AQ3550" s="20"/>
    </row>
    <row r="3551" spans="2:43">
      <c r="B3551"/>
      <c r="C3551"/>
      <c r="D3551"/>
      <c r="Q3551"/>
      <c r="AQ3551" s="20"/>
    </row>
    <row r="3552" spans="2:43">
      <c r="B3552"/>
      <c r="C3552"/>
      <c r="D3552"/>
      <c r="Q3552"/>
      <c r="AQ3552" s="20"/>
    </row>
    <row r="3553" spans="2:43">
      <c r="B3553"/>
      <c r="C3553"/>
      <c r="D3553"/>
      <c r="Q3553"/>
      <c r="AQ3553" s="20"/>
    </row>
    <row r="3554" spans="2:43">
      <c r="B3554"/>
      <c r="C3554"/>
      <c r="D3554"/>
      <c r="Q3554"/>
      <c r="AQ3554" s="20"/>
    </row>
    <row r="3555" spans="2:43">
      <c r="B3555"/>
      <c r="C3555"/>
      <c r="D3555"/>
      <c r="Q3555"/>
      <c r="AQ3555" s="20"/>
    </row>
    <row r="3556" spans="2:43">
      <c r="B3556"/>
      <c r="C3556"/>
      <c r="D3556"/>
      <c r="Q3556"/>
      <c r="AQ3556" s="20"/>
    </row>
    <row r="3557" spans="2:43">
      <c r="B3557"/>
      <c r="C3557"/>
      <c r="D3557"/>
      <c r="Q3557"/>
      <c r="AQ3557" s="20"/>
    </row>
    <row r="3558" spans="2:43">
      <c r="B3558"/>
      <c r="C3558"/>
      <c r="D3558"/>
      <c r="Q3558"/>
      <c r="AQ3558" s="20"/>
    </row>
    <row r="3559" spans="2:43">
      <c r="B3559"/>
      <c r="C3559"/>
      <c r="D3559"/>
      <c r="Q3559"/>
      <c r="AQ3559" s="20"/>
    </row>
    <row r="3560" spans="2:43">
      <c r="B3560"/>
      <c r="C3560"/>
      <c r="D3560"/>
      <c r="Q3560"/>
      <c r="AQ3560" s="20"/>
    </row>
    <row r="3561" spans="2:43">
      <c r="B3561"/>
      <c r="C3561"/>
      <c r="D3561"/>
      <c r="Q3561"/>
      <c r="AQ3561" s="20"/>
    </row>
    <row r="3562" spans="2:43">
      <c r="B3562"/>
      <c r="C3562"/>
      <c r="D3562"/>
      <c r="Q3562"/>
      <c r="AQ3562" s="20"/>
    </row>
    <row r="3563" spans="2:43">
      <c r="B3563"/>
      <c r="C3563"/>
      <c r="D3563"/>
      <c r="Q3563"/>
      <c r="AQ3563" s="20"/>
    </row>
    <row r="3564" spans="2:43">
      <c r="B3564"/>
      <c r="C3564"/>
      <c r="D3564"/>
      <c r="Q3564"/>
      <c r="AQ3564" s="20"/>
    </row>
    <row r="3565" spans="2:43">
      <c r="B3565"/>
      <c r="C3565"/>
      <c r="D3565"/>
      <c r="Q3565"/>
      <c r="AQ3565" s="20"/>
    </row>
    <row r="3566" spans="2:43">
      <c r="B3566"/>
      <c r="C3566"/>
      <c r="D3566"/>
      <c r="Q3566"/>
      <c r="AQ3566" s="20"/>
    </row>
    <row r="3567" spans="2:43">
      <c r="B3567"/>
      <c r="C3567"/>
      <c r="D3567"/>
      <c r="Q3567"/>
      <c r="AQ3567" s="20"/>
    </row>
    <row r="3568" spans="2:43">
      <c r="B3568"/>
      <c r="C3568"/>
      <c r="D3568"/>
      <c r="Q3568"/>
      <c r="AQ3568" s="20"/>
    </row>
    <row r="3569" spans="2:43">
      <c r="B3569"/>
      <c r="C3569"/>
      <c r="D3569"/>
      <c r="Q3569"/>
      <c r="AQ3569" s="20"/>
    </row>
    <row r="3570" spans="2:43">
      <c r="B3570"/>
      <c r="C3570"/>
      <c r="D3570"/>
      <c r="Q3570"/>
      <c r="AQ3570" s="20"/>
    </row>
    <row r="3571" spans="2:43">
      <c r="B3571"/>
      <c r="C3571"/>
      <c r="D3571"/>
      <c r="Q3571"/>
      <c r="AQ3571" s="20"/>
    </row>
    <row r="3572" spans="2:43">
      <c r="B3572"/>
      <c r="C3572"/>
      <c r="D3572"/>
      <c r="Q3572"/>
      <c r="AQ3572" s="20"/>
    </row>
    <row r="3573" spans="2:43">
      <c r="B3573"/>
      <c r="C3573"/>
      <c r="D3573"/>
      <c r="Q3573"/>
      <c r="AQ3573" s="20"/>
    </row>
    <row r="3574" spans="2:43">
      <c r="B3574"/>
      <c r="C3574"/>
      <c r="D3574"/>
      <c r="Q3574"/>
      <c r="AQ3574" s="20"/>
    </row>
    <row r="3575" spans="2:43">
      <c r="B3575"/>
      <c r="C3575"/>
      <c r="D3575"/>
      <c r="Q3575"/>
      <c r="AQ3575" s="20"/>
    </row>
    <row r="3576" spans="2:43">
      <c r="B3576"/>
      <c r="C3576"/>
      <c r="D3576"/>
      <c r="Q3576"/>
      <c r="AQ3576" s="20"/>
    </row>
    <row r="3577" spans="2:43">
      <c r="B3577"/>
      <c r="C3577"/>
      <c r="D3577"/>
      <c r="Q3577"/>
      <c r="AQ3577" s="20"/>
    </row>
    <row r="3578" spans="2:43">
      <c r="B3578"/>
      <c r="C3578"/>
      <c r="D3578"/>
      <c r="Q3578"/>
      <c r="AQ3578" s="20"/>
    </row>
    <row r="3579" spans="2:43">
      <c r="B3579"/>
      <c r="C3579"/>
      <c r="D3579"/>
      <c r="Q3579"/>
      <c r="AQ3579" s="20"/>
    </row>
    <row r="3580" spans="2:43">
      <c r="B3580"/>
      <c r="C3580"/>
      <c r="D3580"/>
      <c r="Q3580"/>
      <c r="AQ3580" s="20"/>
    </row>
    <row r="3581" spans="2:43">
      <c r="B3581"/>
      <c r="C3581"/>
      <c r="D3581"/>
      <c r="Q3581"/>
      <c r="AQ3581" s="20"/>
    </row>
    <row r="3582" spans="2:43">
      <c r="B3582"/>
      <c r="C3582"/>
      <c r="D3582"/>
      <c r="Q3582"/>
      <c r="AQ3582" s="20"/>
    </row>
    <row r="3583" spans="2:43">
      <c r="B3583"/>
      <c r="C3583"/>
      <c r="D3583"/>
      <c r="Q3583"/>
      <c r="AQ3583" s="20"/>
    </row>
    <row r="3584" spans="2:43">
      <c r="B3584"/>
      <c r="C3584"/>
      <c r="D3584"/>
      <c r="Q3584"/>
      <c r="AQ3584" s="20"/>
    </row>
    <row r="3585" spans="2:43">
      <c r="B3585"/>
      <c r="C3585"/>
      <c r="D3585"/>
      <c r="Q3585"/>
      <c r="AQ3585" s="20"/>
    </row>
    <row r="3586" spans="2:43">
      <c r="B3586"/>
      <c r="C3586"/>
      <c r="D3586"/>
      <c r="Q3586"/>
      <c r="AQ3586" s="20"/>
    </row>
    <row r="3587" spans="2:43">
      <c r="B3587"/>
      <c r="C3587"/>
      <c r="D3587"/>
      <c r="Q3587"/>
      <c r="AQ3587" s="20"/>
    </row>
    <row r="3588" spans="2:43">
      <c r="B3588"/>
      <c r="C3588"/>
      <c r="D3588"/>
      <c r="Q3588"/>
      <c r="AQ3588" s="20"/>
    </row>
    <row r="3589" spans="2:43">
      <c r="B3589"/>
      <c r="C3589"/>
      <c r="D3589"/>
      <c r="Q3589"/>
      <c r="AQ3589" s="20"/>
    </row>
    <row r="3590" spans="2:43">
      <c r="B3590"/>
      <c r="C3590"/>
      <c r="D3590"/>
      <c r="Q3590"/>
      <c r="AQ3590" s="20"/>
    </row>
    <row r="3591" spans="2:43">
      <c r="B3591"/>
      <c r="C3591"/>
      <c r="D3591"/>
      <c r="Q3591"/>
      <c r="AQ3591" s="20"/>
    </row>
    <row r="3592" spans="2:43">
      <c r="B3592"/>
      <c r="C3592"/>
      <c r="D3592"/>
      <c r="Q3592"/>
      <c r="AQ3592" s="20"/>
    </row>
    <row r="3593" spans="2:43">
      <c r="B3593"/>
      <c r="C3593"/>
      <c r="D3593"/>
      <c r="Q3593"/>
      <c r="AQ3593" s="20"/>
    </row>
    <row r="3594" spans="2:43">
      <c r="B3594"/>
      <c r="C3594"/>
      <c r="D3594"/>
      <c r="Q3594"/>
      <c r="AQ3594" s="20"/>
    </row>
    <row r="3595" spans="2:43">
      <c r="B3595"/>
      <c r="C3595"/>
      <c r="D3595"/>
      <c r="Q3595"/>
      <c r="AQ3595" s="20"/>
    </row>
    <row r="3596" spans="2:43">
      <c r="B3596"/>
      <c r="C3596"/>
      <c r="D3596"/>
      <c r="Q3596"/>
      <c r="AQ3596" s="20"/>
    </row>
    <row r="3597" spans="2:43">
      <c r="B3597"/>
      <c r="C3597"/>
      <c r="D3597"/>
      <c r="Q3597"/>
      <c r="AQ3597" s="20"/>
    </row>
    <row r="3598" spans="2:43">
      <c r="B3598"/>
      <c r="C3598"/>
      <c r="D3598"/>
      <c r="Q3598"/>
      <c r="AQ3598" s="20"/>
    </row>
    <row r="3599" spans="2:43">
      <c r="B3599"/>
      <c r="C3599"/>
      <c r="D3599"/>
      <c r="Q3599"/>
      <c r="AQ3599" s="20"/>
    </row>
    <row r="3600" spans="2:43">
      <c r="B3600"/>
      <c r="C3600"/>
      <c r="D3600"/>
      <c r="Q3600"/>
      <c r="AQ3600" s="20"/>
    </row>
    <row r="3601" spans="2:43">
      <c r="B3601"/>
      <c r="C3601"/>
      <c r="D3601"/>
      <c r="Q3601"/>
      <c r="AQ3601" s="20"/>
    </row>
    <row r="3602" spans="2:43">
      <c r="B3602"/>
      <c r="C3602"/>
      <c r="D3602"/>
      <c r="Q3602"/>
      <c r="AQ3602" s="20"/>
    </row>
    <row r="3603" spans="2:43">
      <c r="B3603"/>
      <c r="C3603"/>
      <c r="D3603"/>
      <c r="Q3603"/>
      <c r="AQ3603" s="20"/>
    </row>
    <row r="3604" spans="2:43">
      <c r="B3604"/>
      <c r="C3604"/>
      <c r="D3604"/>
      <c r="Q3604"/>
      <c r="AQ3604" s="20"/>
    </row>
    <row r="3605" spans="2:43">
      <c r="B3605"/>
      <c r="C3605"/>
      <c r="D3605"/>
      <c r="Q3605"/>
      <c r="AQ3605" s="20"/>
    </row>
    <row r="3606" spans="2:43">
      <c r="B3606"/>
      <c r="C3606"/>
      <c r="D3606"/>
      <c r="Q3606"/>
      <c r="AQ3606" s="20"/>
    </row>
    <row r="3607" spans="2:43">
      <c r="B3607"/>
      <c r="C3607"/>
      <c r="D3607"/>
      <c r="Q3607"/>
      <c r="AQ3607" s="20"/>
    </row>
    <row r="3608" spans="2:43">
      <c r="B3608"/>
      <c r="C3608"/>
      <c r="D3608"/>
      <c r="Q3608"/>
      <c r="AQ3608" s="20"/>
    </row>
    <row r="3609" spans="2:43">
      <c r="B3609"/>
      <c r="C3609"/>
      <c r="D3609"/>
      <c r="Q3609"/>
      <c r="AQ3609" s="20"/>
    </row>
    <row r="3610" spans="2:43">
      <c r="B3610"/>
      <c r="C3610"/>
      <c r="D3610"/>
      <c r="Q3610"/>
      <c r="AQ3610" s="20"/>
    </row>
    <row r="3611" spans="2:43">
      <c r="B3611"/>
      <c r="C3611"/>
      <c r="D3611"/>
      <c r="Q3611"/>
      <c r="AQ3611" s="20"/>
    </row>
    <row r="3612" spans="2:43">
      <c r="B3612"/>
      <c r="C3612"/>
      <c r="D3612"/>
      <c r="Q3612"/>
      <c r="AQ3612" s="20"/>
    </row>
    <row r="3613" spans="2:43">
      <c r="B3613"/>
      <c r="C3613"/>
      <c r="D3613"/>
      <c r="Q3613"/>
      <c r="AQ3613" s="20"/>
    </row>
    <row r="3614" spans="2:43">
      <c r="B3614"/>
      <c r="C3614"/>
      <c r="D3614"/>
      <c r="Q3614"/>
      <c r="AQ3614" s="20"/>
    </row>
    <row r="3615" spans="2:43">
      <c r="B3615"/>
      <c r="C3615"/>
      <c r="D3615"/>
      <c r="Q3615"/>
      <c r="AQ3615" s="20"/>
    </row>
    <row r="3616" spans="2:43">
      <c r="B3616"/>
      <c r="C3616"/>
      <c r="D3616"/>
      <c r="Q3616"/>
      <c r="AQ3616" s="20"/>
    </row>
    <row r="3617" spans="2:43">
      <c r="B3617"/>
      <c r="C3617"/>
      <c r="D3617"/>
      <c r="Q3617"/>
      <c r="AQ3617" s="20"/>
    </row>
    <row r="3618" spans="2:43">
      <c r="B3618"/>
      <c r="C3618"/>
      <c r="D3618"/>
      <c r="Q3618"/>
      <c r="AQ3618" s="20"/>
    </row>
    <row r="3619" spans="2:43">
      <c r="B3619"/>
      <c r="C3619"/>
      <c r="D3619"/>
      <c r="Q3619"/>
      <c r="AQ3619" s="20"/>
    </row>
    <row r="3620" spans="2:43">
      <c r="B3620"/>
      <c r="C3620"/>
      <c r="D3620"/>
      <c r="Q3620"/>
      <c r="AQ3620" s="20"/>
    </row>
    <row r="3621" spans="2:43">
      <c r="B3621"/>
      <c r="C3621"/>
      <c r="D3621"/>
      <c r="Q3621"/>
      <c r="AQ3621" s="20"/>
    </row>
    <row r="3622" spans="2:43">
      <c r="B3622"/>
      <c r="C3622"/>
      <c r="D3622"/>
      <c r="Q3622"/>
      <c r="AQ3622" s="20"/>
    </row>
    <row r="3623" spans="2:43">
      <c r="B3623"/>
      <c r="C3623"/>
      <c r="D3623"/>
      <c r="Q3623"/>
      <c r="AQ3623" s="20"/>
    </row>
    <row r="3624" spans="2:43">
      <c r="B3624"/>
      <c r="C3624"/>
      <c r="D3624"/>
      <c r="Q3624"/>
      <c r="AQ3624" s="20"/>
    </row>
    <row r="3625" spans="2:43">
      <c r="B3625"/>
      <c r="C3625"/>
      <c r="D3625"/>
      <c r="Q3625"/>
      <c r="AQ3625" s="20"/>
    </row>
    <row r="3626" spans="2:43">
      <c r="B3626"/>
      <c r="C3626"/>
      <c r="D3626"/>
      <c r="Q3626"/>
      <c r="AQ3626" s="20"/>
    </row>
    <row r="3627" spans="2:43">
      <c r="B3627"/>
      <c r="C3627"/>
      <c r="D3627"/>
      <c r="Q3627"/>
      <c r="AQ3627" s="20"/>
    </row>
    <row r="3628" spans="2:43">
      <c r="B3628"/>
      <c r="C3628"/>
      <c r="D3628"/>
      <c r="Q3628"/>
      <c r="AQ3628" s="20"/>
    </row>
    <row r="3629" spans="2:43">
      <c r="B3629"/>
      <c r="C3629"/>
      <c r="D3629"/>
      <c r="Q3629"/>
      <c r="AQ3629" s="20"/>
    </row>
    <row r="3630" spans="2:43">
      <c r="B3630"/>
      <c r="C3630"/>
      <c r="D3630"/>
      <c r="Q3630"/>
      <c r="AQ3630" s="20"/>
    </row>
    <row r="3631" spans="2:43">
      <c r="B3631"/>
      <c r="C3631"/>
      <c r="D3631"/>
      <c r="Q3631"/>
      <c r="AQ3631" s="20"/>
    </row>
    <row r="3632" spans="2:43">
      <c r="B3632"/>
      <c r="C3632"/>
      <c r="D3632"/>
      <c r="Q3632"/>
      <c r="AQ3632" s="20"/>
    </row>
    <row r="3633" spans="2:43">
      <c r="B3633"/>
      <c r="C3633"/>
      <c r="D3633"/>
      <c r="Q3633"/>
      <c r="AQ3633" s="20"/>
    </row>
    <row r="3634" spans="2:43">
      <c r="B3634"/>
      <c r="C3634"/>
      <c r="D3634"/>
      <c r="Q3634"/>
      <c r="AQ3634" s="20"/>
    </row>
    <row r="3635" spans="2:43">
      <c r="B3635"/>
      <c r="C3635"/>
      <c r="D3635"/>
      <c r="Q3635"/>
      <c r="AQ3635" s="20"/>
    </row>
    <row r="3636" spans="2:43">
      <c r="B3636"/>
      <c r="C3636"/>
      <c r="D3636"/>
      <c r="Q3636"/>
      <c r="AQ3636" s="20"/>
    </row>
    <row r="3637" spans="2:43">
      <c r="B3637"/>
      <c r="C3637"/>
      <c r="D3637"/>
      <c r="Q3637"/>
      <c r="AQ3637" s="20"/>
    </row>
    <row r="3638" spans="2:43">
      <c r="B3638"/>
      <c r="C3638"/>
      <c r="D3638"/>
      <c r="Q3638"/>
      <c r="AQ3638" s="20"/>
    </row>
    <row r="3639" spans="2:43">
      <c r="B3639"/>
      <c r="C3639"/>
      <c r="D3639"/>
      <c r="Q3639"/>
      <c r="AQ3639" s="20"/>
    </row>
    <row r="3640" spans="2:43">
      <c r="B3640"/>
      <c r="C3640"/>
      <c r="D3640"/>
      <c r="Q3640"/>
      <c r="AQ3640" s="20"/>
    </row>
    <row r="3641" spans="2:43">
      <c r="B3641"/>
      <c r="C3641"/>
      <c r="D3641"/>
      <c r="Q3641"/>
      <c r="AQ3641" s="20"/>
    </row>
    <row r="3642" spans="2:43">
      <c r="B3642"/>
      <c r="C3642"/>
      <c r="D3642"/>
      <c r="Q3642"/>
      <c r="AQ3642" s="20"/>
    </row>
    <row r="3643" spans="2:43">
      <c r="B3643"/>
      <c r="C3643"/>
      <c r="D3643"/>
      <c r="Q3643"/>
      <c r="AQ3643" s="20"/>
    </row>
    <row r="3644" spans="2:43">
      <c r="B3644"/>
      <c r="C3644"/>
      <c r="D3644"/>
      <c r="Q3644"/>
      <c r="AQ3644" s="20"/>
    </row>
    <row r="3645" spans="2:43">
      <c r="B3645"/>
      <c r="C3645"/>
      <c r="D3645"/>
      <c r="Q3645"/>
      <c r="AQ3645" s="20"/>
    </row>
    <row r="3646" spans="2:43">
      <c r="B3646"/>
      <c r="C3646"/>
      <c r="D3646"/>
      <c r="Q3646"/>
      <c r="AQ3646" s="20"/>
    </row>
    <row r="3647" spans="2:43">
      <c r="B3647"/>
      <c r="C3647"/>
      <c r="D3647"/>
      <c r="Q3647"/>
      <c r="AQ3647" s="20"/>
    </row>
    <row r="3648" spans="2:43">
      <c r="B3648"/>
      <c r="C3648"/>
      <c r="D3648"/>
      <c r="Q3648"/>
      <c r="AQ3648" s="20"/>
    </row>
    <row r="3649" spans="2:43">
      <c r="B3649"/>
      <c r="C3649"/>
      <c r="D3649"/>
      <c r="Q3649"/>
      <c r="AQ3649" s="20"/>
    </row>
    <row r="3650" spans="2:43">
      <c r="B3650"/>
      <c r="C3650"/>
      <c r="D3650"/>
      <c r="Q3650"/>
      <c r="AQ3650" s="20"/>
    </row>
    <row r="3651" spans="2:43">
      <c r="B3651"/>
      <c r="C3651"/>
      <c r="D3651"/>
      <c r="Q3651"/>
      <c r="AQ3651" s="20"/>
    </row>
    <row r="3652" spans="2:43">
      <c r="B3652"/>
      <c r="C3652"/>
      <c r="D3652"/>
      <c r="Q3652"/>
      <c r="AQ3652" s="20"/>
    </row>
    <row r="3653" spans="2:43">
      <c r="B3653"/>
      <c r="C3653"/>
      <c r="D3653"/>
      <c r="Q3653"/>
      <c r="AQ3653" s="20"/>
    </row>
    <row r="3654" spans="2:43">
      <c r="B3654"/>
      <c r="C3654"/>
      <c r="D3654"/>
      <c r="Q3654"/>
      <c r="AQ3654" s="20"/>
    </row>
    <row r="3655" spans="2:43">
      <c r="B3655"/>
      <c r="C3655"/>
      <c r="D3655"/>
      <c r="Q3655"/>
      <c r="AQ3655" s="20"/>
    </row>
    <row r="3656" spans="2:43">
      <c r="B3656"/>
      <c r="C3656"/>
      <c r="D3656"/>
      <c r="Q3656"/>
      <c r="AQ3656" s="20"/>
    </row>
    <row r="3657" spans="2:43">
      <c r="B3657"/>
      <c r="C3657"/>
      <c r="D3657"/>
      <c r="Q3657"/>
      <c r="AQ3657" s="20"/>
    </row>
    <row r="3658" spans="2:43">
      <c r="B3658"/>
      <c r="C3658"/>
      <c r="D3658"/>
      <c r="Q3658"/>
      <c r="AQ3658" s="20"/>
    </row>
    <row r="3659" spans="2:43">
      <c r="B3659"/>
      <c r="C3659"/>
      <c r="D3659"/>
      <c r="Q3659"/>
      <c r="AQ3659" s="20"/>
    </row>
    <row r="3660" spans="2:43">
      <c r="B3660"/>
      <c r="C3660"/>
      <c r="D3660"/>
      <c r="Q3660"/>
      <c r="AQ3660" s="20"/>
    </row>
    <row r="3661" spans="2:43">
      <c r="B3661"/>
      <c r="C3661"/>
      <c r="D3661"/>
      <c r="Q3661"/>
      <c r="AQ3661" s="20"/>
    </row>
    <row r="3662" spans="2:43">
      <c r="B3662"/>
      <c r="C3662"/>
      <c r="D3662"/>
      <c r="Q3662"/>
      <c r="AQ3662" s="20"/>
    </row>
    <row r="3663" spans="2:43">
      <c r="B3663"/>
      <c r="C3663"/>
      <c r="D3663"/>
      <c r="Q3663"/>
      <c r="AQ3663" s="20"/>
    </row>
    <row r="3664" spans="2:43">
      <c r="B3664"/>
      <c r="C3664"/>
      <c r="D3664"/>
      <c r="Q3664"/>
      <c r="AQ3664" s="20"/>
    </row>
    <row r="3665" spans="2:43">
      <c r="B3665"/>
      <c r="C3665"/>
      <c r="D3665"/>
      <c r="Q3665"/>
      <c r="AQ3665" s="20"/>
    </row>
    <row r="3666" spans="2:43">
      <c r="B3666"/>
      <c r="C3666"/>
      <c r="D3666"/>
      <c r="Q3666"/>
      <c r="AQ3666" s="20"/>
    </row>
    <row r="3667" spans="2:43">
      <c r="B3667"/>
      <c r="C3667"/>
      <c r="D3667"/>
      <c r="Q3667"/>
      <c r="AQ3667" s="20"/>
    </row>
    <row r="3668" spans="2:43">
      <c r="B3668"/>
      <c r="C3668"/>
      <c r="D3668"/>
      <c r="Q3668"/>
      <c r="AQ3668" s="20"/>
    </row>
    <row r="3669" spans="2:43">
      <c r="B3669"/>
      <c r="C3669"/>
      <c r="D3669"/>
      <c r="Q3669"/>
      <c r="AQ3669" s="20"/>
    </row>
    <row r="3670" spans="2:43">
      <c r="B3670"/>
      <c r="C3670"/>
      <c r="D3670"/>
      <c r="Q3670"/>
      <c r="AQ3670" s="20"/>
    </row>
    <row r="3671" spans="2:43">
      <c r="B3671"/>
      <c r="C3671"/>
      <c r="D3671"/>
      <c r="Q3671"/>
      <c r="AQ3671" s="20"/>
    </row>
    <row r="3672" spans="2:43">
      <c r="B3672"/>
      <c r="C3672"/>
      <c r="D3672"/>
      <c r="Q3672"/>
      <c r="AQ3672" s="20"/>
    </row>
    <row r="3673" spans="2:43">
      <c r="B3673"/>
      <c r="C3673"/>
      <c r="D3673"/>
      <c r="Q3673"/>
      <c r="AQ3673" s="20"/>
    </row>
    <row r="3674" spans="2:43">
      <c r="B3674"/>
      <c r="C3674"/>
      <c r="D3674"/>
      <c r="Q3674"/>
      <c r="AQ3674" s="20"/>
    </row>
    <row r="3675" spans="2:43">
      <c r="B3675"/>
      <c r="C3675"/>
      <c r="D3675"/>
      <c r="Q3675"/>
      <c r="AQ3675" s="20"/>
    </row>
    <row r="3676" spans="2:43">
      <c r="B3676"/>
      <c r="C3676"/>
      <c r="D3676"/>
      <c r="Q3676"/>
      <c r="AQ3676" s="20"/>
    </row>
    <row r="3677" spans="2:43">
      <c r="B3677"/>
      <c r="C3677"/>
      <c r="D3677"/>
      <c r="Q3677"/>
      <c r="AQ3677" s="20"/>
    </row>
    <row r="3678" spans="2:43">
      <c r="B3678"/>
      <c r="C3678"/>
      <c r="D3678"/>
      <c r="Q3678"/>
      <c r="AQ3678" s="20"/>
    </row>
    <row r="3679" spans="2:43">
      <c r="B3679"/>
      <c r="C3679"/>
      <c r="D3679"/>
      <c r="Q3679"/>
      <c r="AQ3679" s="20"/>
    </row>
    <row r="3680" spans="2:43">
      <c r="B3680"/>
      <c r="C3680"/>
      <c r="D3680"/>
      <c r="Q3680"/>
      <c r="AQ3680" s="20"/>
    </row>
    <row r="3681" spans="2:43">
      <c r="B3681"/>
      <c r="C3681"/>
      <c r="D3681"/>
      <c r="Q3681"/>
      <c r="AQ3681" s="20"/>
    </row>
    <row r="3682" spans="2:43">
      <c r="B3682"/>
      <c r="C3682"/>
      <c r="D3682"/>
      <c r="Q3682"/>
      <c r="AQ3682" s="20"/>
    </row>
    <row r="3683" spans="2:43">
      <c r="B3683"/>
      <c r="C3683"/>
      <c r="D3683"/>
      <c r="Q3683"/>
      <c r="AQ3683" s="20"/>
    </row>
    <row r="3684" spans="2:43">
      <c r="B3684"/>
      <c r="C3684"/>
      <c r="D3684"/>
      <c r="Q3684"/>
      <c r="AQ3684" s="20"/>
    </row>
    <row r="3685" spans="2:43">
      <c r="B3685"/>
      <c r="C3685"/>
      <c r="D3685"/>
      <c r="Q3685"/>
      <c r="AQ3685" s="20"/>
    </row>
    <row r="3686" spans="2:43">
      <c r="B3686"/>
      <c r="C3686"/>
      <c r="D3686"/>
      <c r="Q3686"/>
      <c r="AQ3686" s="20"/>
    </row>
    <row r="3687" spans="2:43">
      <c r="B3687"/>
      <c r="C3687"/>
      <c r="D3687"/>
      <c r="Q3687"/>
      <c r="AQ3687" s="20"/>
    </row>
    <row r="3688" spans="2:43">
      <c r="B3688"/>
      <c r="C3688"/>
      <c r="D3688"/>
      <c r="Q3688"/>
      <c r="AQ3688" s="20"/>
    </row>
    <row r="3689" spans="2:43">
      <c r="B3689"/>
      <c r="C3689"/>
      <c r="D3689"/>
      <c r="Q3689"/>
      <c r="AQ3689" s="20"/>
    </row>
    <row r="3690" spans="2:43">
      <c r="B3690"/>
      <c r="C3690"/>
      <c r="D3690"/>
      <c r="Q3690"/>
      <c r="AQ3690" s="20"/>
    </row>
    <row r="3691" spans="2:43">
      <c r="B3691"/>
      <c r="C3691"/>
      <c r="D3691"/>
      <c r="Q3691"/>
      <c r="AQ3691" s="20"/>
    </row>
    <row r="3692" spans="2:43">
      <c r="B3692"/>
      <c r="C3692"/>
      <c r="D3692"/>
      <c r="Q3692"/>
      <c r="AQ3692" s="20"/>
    </row>
    <row r="3693" spans="2:43">
      <c r="B3693"/>
      <c r="C3693"/>
      <c r="D3693"/>
      <c r="Q3693"/>
      <c r="AQ3693" s="20"/>
    </row>
    <row r="3694" spans="2:43">
      <c r="B3694"/>
      <c r="C3694"/>
      <c r="D3694"/>
      <c r="Q3694"/>
      <c r="AQ3694" s="20"/>
    </row>
    <row r="3695" spans="2:43">
      <c r="B3695"/>
      <c r="C3695"/>
      <c r="D3695"/>
      <c r="Q3695"/>
      <c r="AQ3695" s="20"/>
    </row>
    <row r="3696" spans="2:43">
      <c r="B3696"/>
      <c r="C3696"/>
      <c r="D3696"/>
      <c r="Q3696"/>
      <c r="AQ3696" s="20"/>
    </row>
    <row r="3697" spans="2:43">
      <c r="B3697"/>
      <c r="C3697"/>
      <c r="D3697"/>
      <c r="Q3697"/>
      <c r="AQ3697" s="20"/>
    </row>
    <row r="3698" spans="2:43">
      <c r="B3698"/>
      <c r="C3698"/>
      <c r="D3698"/>
      <c r="Q3698"/>
      <c r="AQ3698" s="20"/>
    </row>
    <row r="3699" spans="2:43">
      <c r="B3699"/>
      <c r="C3699"/>
      <c r="D3699"/>
      <c r="Q3699"/>
      <c r="AQ3699" s="20"/>
    </row>
    <row r="3700" spans="2:43">
      <c r="B3700"/>
      <c r="C3700"/>
      <c r="D3700"/>
      <c r="Q3700"/>
      <c r="AQ3700" s="20"/>
    </row>
    <row r="3701" spans="2:43">
      <c r="B3701"/>
      <c r="C3701"/>
      <c r="D3701"/>
      <c r="Q3701"/>
      <c r="AQ3701" s="20"/>
    </row>
    <row r="3702" spans="2:43">
      <c r="B3702"/>
      <c r="C3702"/>
      <c r="D3702"/>
      <c r="Q3702"/>
      <c r="AQ3702" s="20"/>
    </row>
    <row r="3703" spans="2:43">
      <c r="B3703"/>
      <c r="C3703"/>
      <c r="D3703"/>
      <c r="Q3703"/>
      <c r="AQ3703" s="20"/>
    </row>
    <row r="3704" spans="2:43">
      <c r="B3704"/>
      <c r="C3704"/>
      <c r="D3704"/>
      <c r="Q3704"/>
      <c r="AQ3704" s="20"/>
    </row>
    <row r="3705" spans="2:43">
      <c r="B3705"/>
      <c r="C3705"/>
      <c r="D3705"/>
      <c r="Q3705"/>
      <c r="AQ3705" s="20"/>
    </row>
    <row r="3706" spans="2:43">
      <c r="B3706"/>
      <c r="C3706"/>
      <c r="D3706"/>
      <c r="Q3706"/>
      <c r="AQ3706" s="20"/>
    </row>
    <row r="3707" spans="2:43">
      <c r="B3707"/>
      <c r="C3707"/>
      <c r="D3707"/>
      <c r="Q3707"/>
      <c r="AQ3707" s="20"/>
    </row>
    <row r="3708" spans="2:43">
      <c r="B3708"/>
      <c r="C3708"/>
      <c r="D3708"/>
      <c r="Q3708"/>
      <c r="AQ3708" s="20"/>
    </row>
    <row r="3709" spans="2:43">
      <c r="B3709"/>
      <c r="C3709"/>
      <c r="D3709"/>
      <c r="Q3709"/>
      <c r="AQ3709" s="20"/>
    </row>
    <row r="3710" spans="2:43">
      <c r="B3710"/>
      <c r="C3710"/>
      <c r="D3710"/>
      <c r="Q3710"/>
      <c r="AQ3710" s="20"/>
    </row>
    <row r="3711" spans="2:43">
      <c r="B3711"/>
      <c r="C3711"/>
      <c r="D3711"/>
      <c r="Q3711"/>
      <c r="AQ3711" s="20"/>
    </row>
    <row r="3712" spans="2:43">
      <c r="B3712"/>
      <c r="C3712"/>
      <c r="D3712"/>
      <c r="Q3712"/>
      <c r="AQ3712" s="20"/>
    </row>
    <row r="3713" spans="2:43">
      <c r="B3713"/>
      <c r="C3713"/>
      <c r="D3713"/>
      <c r="Q3713"/>
      <c r="AQ3713" s="20"/>
    </row>
    <row r="3714" spans="2:43">
      <c r="B3714"/>
      <c r="C3714"/>
      <c r="D3714"/>
      <c r="Q3714"/>
      <c r="AQ3714" s="20"/>
    </row>
    <row r="3715" spans="2:43">
      <c r="B3715"/>
      <c r="C3715"/>
      <c r="D3715"/>
      <c r="Q3715"/>
      <c r="AQ3715" s="20"/>
    </row>
    <row r="3716" spans="2:43">
      <c r="B3716"/>
      <c r="C3716"/>
      <c r="D3716"/>
      <c r="Q3716"/>
      <c r="AQ3716" s="20"/>
    </row>
    <row r="3717" spans="2:43">
      <c r="B3717"/>
      <c r="C3717"/>
      <c r="D3717"/>
      <c r="Q3717"/>
      <c r="AQ3717" s="20"/>
    </row>
    <row r="3718" spans="2:43">
      <c r="B3718"/>
      <c r="C3718"/>
      <c r="D3718"/>
      <c r="Q3718"/>
      <c r="AQ3718" s="20"/>
    </row>
    <row r="3719" spans="2:43">
      <c r="B3719"/>
      <c r="C3719"/>
      <c r="D3719"/>
      <c r="Q3719"/>
      <c r="AQ3719" s="20"/>
    </row>
    <row r="3720" spans="2:43">
      <c r="B3720"/>
      <c r="C3720"/>
      <c r="D3720"/>
      <c r="Q3720"/>
      <c r="AQ3720" s="20"/>
    </row>
    <row r="3721" spans="2:43">
      <c r="B3721"/>
      <c r="C3721"/>
      <c r="D3721"/>
      <c r="Q3721"/>
      <c r="AQ3721" s="20"/>
    </row>
    <row r="3722" spans="2:43">
      <c r="B3722"/>
      <c r="C3722"/>
      <c r="D3722"/>
      <c r="Q3722"/>
      <c r="AQ3722" s="20"/>
    </row>
    <row r="3723" spans="2:43">
      <c r="B3723"/>
      <c r="C3723"/>
      <c r="D3723"/>
      <c r="Q3723"/>
      <c r="AQ3723" s="20"/>
    </row>
    <row r="3724" spans="2:43">
      <c r="B3724"/>
      <c r="C3724"/>
      <c r="D3724"/>
      <c r="Q3724"/>
      <c r="AQ3724" s="20"/>
    </row>
    <row r="3725" spans="2:43">
      <c r="B3725"/>
      <c r="C3725"/>
      <c r="D3725"/>
      <c r="Q3725"/>
      <c r="AQ3725" s="20"/>
    </row>
    <row r="3726" spans="2:43">
      <c r="B3726"/>
      <c r="C3726"/>
      <c r="D3726"/>
      <c r="Q3726"/>
      <c r="AQ3726" s="20"/>
    </row>
    <row r="3727" spans="2:43">
      <c r="B3727"/>
      <c r="C3727"/>
      <c r="D3727"/>
      <c r="Q3727"/>
      <c r="AQ3727" s="20"/>
    </row>
    <row r="3728" spans="2:43">
      <c r="B3728"/>
      <c r="C3728"/>
      <c r="D3728"/>
      <c r="Q3728"/>
      <c r="AQ3728" s="20"/>
    </row>
    <row r="3729" spans="2:43">
      <c r="B3729"/>
      <c r="C3729"/>
      <c r="D3729"/>
      <c r="Q3729"/>
      <c r="AQ3729" s="20"/>
    </row>
    <row r="3730" spans="2:43">
      <c r="B3730"/>
      <c r="C3730"/>
      <c r="D3730"/>
      <c r="Q3730"/>
      <c r="AQ3730" s="20"/>
    </row>
    <row r="3731" spans="2:43">
      <c r="B3731"/>
      <c r="C3731"/>
      <c r="D3731"/>
      <c r="Q3731"/>
      <c r="AQ3731" s="20"/>
    </row>
    <row r="3732" spans="2:43">
      <c r="B3732"/>
      <c r="C3732"/>
      <c r="D3732"/>
      <c r="Q3732"/>
      <c r="AQ3732" s="20"/>
    </row>
    <row r="3733" spans="2:43">
      <c r="B3733"/>
      <c r="C3733"/>
      <c r="D3733"/>
      <c r="Q3733"/>
      <c r="AQ3733" s="20"/>
    </row>
    <row r="3734" spans="2:43">
      <c r="B3734"/>
      <c r="C3734"/>
      <c r="D3734"/>
      <c r="Q3734"/>
      <c r="AQ3734" s="20"/>
    </row>
    <row r="3735" spans="2:43">
      <c r="B3735"/>
      <c r="C3735"/>
      <c r="D3735"/>
      <c r="Q3735"/>
      <c r="AQ3735" s="20"/>
    </row>
    <row r="3736" spans="2:43">
      <c r="B3736"/>
      <c r="C3736"/>
      <c r="D3736"/>
      <c r="Q3736"/>
      <c r="AQ3736" s="20"/>
    </row>
    <row r="3737" spans="2:43">
      <c r="B3737"/>
      <c r="C3737"/>
      <c r="D3737"/>
      <c r="Q3737"/>
      <c r="AQ3737" s="20"/>
    </row>
    <row r="3738" spans="2:43">
      <c r="B3738"/>
      <c r="C3738"/>
      <c r="D3738"/>
      <c r="Q3738"/>
      <c r="AQ3738" s="20"/>
    </row>
    <row r="3739" spans="2:43">
      <c r="B3739"/>
      <c r="C3739"/>
      <c r="D3739"/>
      <c r="Q3739"/>
      <c r="AQ3739" s="20"/>
    </row>
    <row r="3740" spans="2:43">
      <c r="B3740"/>
      <c r="C3740"/>
      <c r="D3740"/>
      <c r="Q3740"/>
      <c r="AQ3740" s="20"/>
    </row>
    <row r="3741" spans="2:43">
      <c r="B3741"/>
      <c r="C3741"/>
      <c r="D3741"/>
      <c r="Q3741"/>
      <c r="AQ3741" s="20"/>
    </row>
    <row r="3742" spans="2:43">
      <c r="B3742"/>
      <c r="C3742"/>
      <c r="D3742"/>
      <c r="Q3742"/>
      <c r="AQ3742" s="20"/>
    </row>
    <row r="3743" spans="2:43">
      <c r="B3743"/>
      <c r="C3743"/>
      <c r="D3743"/>
      <c r="Q3743"/>
      <c r="AQ3743" s="20"/>
    </row>
    <row r="3744" spans="2:43">
      <c r="B3744"/>
      <c r="C3744"/>
      <c r="D3744"/>
      <c r="Q3744"/>
      <c r="AQ3744" s="20"/>
    </row>
    <row r="3745" spans="2:43">
      <c r="B3745"/>
      <c r="C3745"/>
      <c r="D3745"/>
      <c r="Q3745"/>
      <c r="AQ3745" s="20"/>
    </row>
    <row r="3746" spans="2:43">
      <c r="B3746"/>
      <c r="C3746"/>
      <c r="D3746"/>
      <c r="Q3746"/>
      <c r="AQ3746" s="20"/>
    </row>
    <row r="3747" spans="2:43">
      <c r="B3747"/>
      <c r="C3747"/>
      <c r="D3747"/>
      <c r="Q3747"/>
      <c r="AQ3747" s="20"/>
    </row>
    <row r="3748" spans="2:43">
      <c r="B3748"/>
      <c r="C3748"/>
      <c r="D3748"/>
      <c r="Q3748"/>
      <c r="AQ3748" s="20"/>
    </row>
    <row r="3749" spans="2:43">
      <c r="B3749"/>
      <c r="C3749"/>
      <c r="D3749"/>
      <c r="Q3749"/>
      <c r="AQ3749" s="20"/>
    </row>
    <row r="3750" spans="2:43">
      <c r="B3750"/>
      <c r="C3750"/>
      <c r="D3750"/>
      <c r="Q3750"/>
      <c r="AQ3750" s="20"/>
    </row>
    <row r="3751" spans="2:43">
      <c r="B3751"/>
      <c r="C3751"/>
      <c r="D3751"/>
      <c r="Q3751"/>
      <c r="AQ3751" s="20"/>
    </row>
    <row r="3752" spans="2:43">
      <c r="B3752"/>
      <c r="C3752"/>
      <c r="D3752"/>
      <c r="Q3752"/>
      <c r="AQ3752" s="20"/>
    </row>
    <row r="3753" spans="2:43">
      <c r="B3753"/>
      <c r="C3753"/>
      <c r="D3753"/>
      <c r="Q3753"/>
      <c r="AQ3753" s="20"/>
    </row>
    <row r="3754" spans="2:43">
      <c r="B3754"/>
      <c r="C3754"/>
      <c r="D3754"/>
      <c r="Q3754"/>
      <c r="AQ3754" s="20"/>
    </row>
    <row r="3755" spans="2:43">
      <c r="B3755"/>
      <c r="C3755"/>
      <c r="D3755"/>
      <c r="Q3755"/>
      <c r="AQ3755" s="20"/>
    </row>
    <row r="3756" spans="2:43">
      <c r="B3756"/>
      <c r="C3756"/>
      <c r="D3756"/>
      <c r="Q3756"/>
      <c r="AQ3756" s="20"/>
    </row>
    <row r="3757" spans="2:43">
      <c r="B3757"/>
      <c r="C3757"/>
      <c r="D3757"/>
      <c r="Q3757"/>
      <c r="AQ3757" s="20"/>
    </row>
    <row r="3758" spans="2:43">
      <c r="B3758"/>
      <c r="C3758"/>
      <c r="D3758"/>
      <c r="Q3758"/>
      <c r="AQ3758" s="20"/>
    </row>
    <row r="3759" spans="2:43">
      <c r="B3759"/>
      <c r="C3759"/>
      <c r="D3759"/>
      <c r="Q3759"/>
      <c r="AQ3759" s="20"/>
    </row>
    <row r="3760" spans="2:43">
      <c r="B3760"/>
      <c r="C3760"/>
      <c r="D3760"/>
      <c r="Q3760"/>
      <c r="AQ3760" s="20"/>
    </row>
    <row r="3761" spans="2:43">
      <c r="B3761"/>
      <c r="C3761"/>
      <c r="D3761"/>
      <c r="Q3761"/>
      <c r="AQ3761" s="20"/>
    </row>
    <row r="3762" spans="2:43">
      <c r="B3762"/>
      <c r="C3762"/>
      <c r="D3762"/>
      <c r="Q3762"/>
      <c r="AQ3762" s="20"/>
    </row>
    <row r="3763" spans="2:43">
      <c r="B3763"/>
      <c r="C3763"/>
      <c r="D3763"/>
      <c r="Q3763"/>
      <c r="AQ3763" s="20"/>
    </row>
    <row r="3764" spans="2:43">
      <c r="B3764"/>
      <c r="C3764"/>
      <c r="D3764"/>
      <c r="Q3764"/>
      <c r="AQ3764" s="20"/>
    </row>
    <row r="3765" spans="2:43">
      <c r="B3765"/>
      <c r="C3765"/>
      <c r="D3765"/>
      <c r="Q3765"/>
      <c r="AQ3765" s="20"/>
    </row>
    <row r="3766" spans="2:43">
      <c r="B3766"/>
      <c r="C3766"/>
      <c r="D3766"/>
      <c r="Q3766"/>
      <c r="AQ3766" s="20"/>
    </row>
    <row r="3767" spans="2:43">
      <c r="B3767"/>
      <c r="C3767"/>
      <c r="D3767"/>
      <c r="Q3767"/>
      <c r="AQ3767" s="20"/>
    </row>
    <row r="3768" spans="2:43">
      <c r="B3768"/>
      <c r="C3768"/>
      <c r="D3768"/>
      <c r="Q3768"/>
      <c r="AQ3768" s="20"/>
    </row>
    <row r="3769" spans="2:43">
      <c r="B3769"/>
      <c r="C3769"/>
      <c r="D3769"/>
      <c r="Q3769"/>
      <c r="AQ3769" s="20"/>
    </row>
    <row r="3770" spans="2:43">
      <c r="B3770"/>
      <c r="C3770"/>
      <c r="D3770"/>
      <c r="Q3770"/>
      <c r="AQ3770" s="20"/>
    </row>
    <row r="3771" spans="2:43">
      <c r="B3771"/>
      <c r="C3771"/>
      <c r="D3771"/>
      <c r="Q3771"/>
      <c r="AQ3771" s="20"/>
    </row>
    <row r="3772" spans="2:43">
      <c r="B3772"/>
      <c r="C3772"/>
      <c r="D3772"/>
      <c r="Q3772"/>
      <c r="AQ3772" s="20"/>
    </row>
    <row r="3773" spans="2:43">
      <c r="B3773"/>
      <c r="C3773"/>
      <c r="D3773"/>
      <c r="Q3773"/>
      <c r="AQ3773" s="20"/>
    </row>
    <row r="3774" spans="2:43">
      <c r="B3774"/>
      <c r="C3774"/>
      <c r="D3774"/>
      <c r="Q3774"/>
      <c r="AQ3774" s="20"/>
    </row>
    <row r="3775" spans="2:43">
      <c r="B3775"/>
      <c r="C3775"/>
      <c r="D3775"/>
      <c r="Q3775"/>
      <c r="AQ3775" s="20"/>
    </row>
    <row r="3776" spans="2:43">
      <c r="B3776"/>
      <c r="C3776"/>
      <c r="D3776"/>
      <c r="Q3776"/>
      <c r="AQ3776" s="20"/>
    </row>
    <row r="3777" spans="2:43">
      <c r="B3777"/>
      <c r="C3777"/>
      <c r="D3777"/>
      <c r="Q3777"/>
      <c r="AQ3777" s="20"/>
    </row>
    <row r="3778" spans="2:43">
      <c r="B3778"/>
      <c r="C3778"/>
      <c r="D3778"/>
      <c r="Q3778"/>
      <c r="AQ3778" s="20"/>
    </row>
    <row r="3779" spans="2:43">
      <c r="B3779"/>
      <c r="C3779"/>
      <c r="D3779"/>
      <c r="Q3779"/>
      <c r="AQ3779" s="20"/>
    </row>
    <row r="3780" spans="2:43">
      <c r="B3780"/>
      <c r="C3780"/>
      <c r="D3780"/>
      <c r="Q3780"/>
      <c r="AQ3780" s="20"/>
    </row>
    <row r="3781" spans="2:43">
      <c r="B3781"/>
      <c r="C3781"/>
      <c r="D3781"/>
      <c r="Q3781"/>
      <c r="AQ3781" s="20"/>
    </row>
    <row r="3782" spans="2:43">
      <c r="B3782"/>
      <c r="C3782"/>
      <c r="D3782"/>
      <c r="Q3782"/>
      <c r="AQ3782" s="20"/>
    </row>
    <row r="3783" spans="2:43">
      <c r="B3783"/>
      <c r="C3783"/>
      <c r="D3783"/>
      <c r="Q3783"/>
      <c r="AQ3783" s="20"/>
    </row>
    <row r="3784" spans="2:43">
      <c r="B3784"/>
      <c r="C3784"/>
      <c r="D3784"/>
      <c r="Q3784"/>
      <c r="AQ3784" s="20"/>
    </row>
    <row r="3785" spans="2:43">
      <c r="B3785"/>
      <c r="C3785"/>
      <c r="D3785"/>
      <c r="Q3785"/>
      <c r="AQ3785" s="20"/>
    </row>
    <row r="3786" spans="2:43">
      <c r="B3786"/>
      <c r="C3786"/>
      <c r="D3786"/>
      <c r="Q3786"/>
      <c r="AQ3786" s="20"/>
    </row>
    <row r="3787" spans="2:43">
      <c r="B3787"/>
      <c r="C3787"/>
      <c r="D3787"/>
      <c r="Q3787"/>
      <c r="AQ3787" s="20"/>
    </row>
    <row r="3788" spans="2:43">
      <c r="B3788"/>
      <c r="C3788"/>
      <c r="D3788"/>
      <c r="Q3788"/>
      <c r="AQ3788" s="20"/>
    </row>
    <row r="3789" spans="2:43">
      <c r="B3789"/>
      <c r="C3789"/>
      <c r="D3789"/>
      <c r="Q3789"/>
      <c r="AQ3789" s="20"/>
    </row>
    <row r="3790" spans="2:43">
      <c r="B3790"/>
      <c r="C3790"/>
      <c r="D3790"/>
      <c r="Q3790"/>
      <c r="AQ3790" s="20"/>
    </row>
    <row r="3791" spans="2:43">
      <c r="B3791"/>
      <c r="C3791"/>
      <c r="D3791"/>
      <c r="Q3791"/>
      <c r="AQ3791" s="20"/>
    </row>
    <row r="3792" spans="2:43">
      <c r="B3792"/>
      <c r="C3792"/>
      <c r="D3792"/>
      <c r="Q3792"/>
      <c r="AQ3792" s="20"/>
    </row>
    <row r="3793" spans="2:43">
      <c r="B3793"/>
      <c r="C3793"/>
      <c r="D3793"/>
      <c r="Q3793"/>
      <c r="AQ3793" s="20"/>
    </row>
    <row r="3794" spans="2:43">
      <c r="B3794"/>
      <c r="C3794"/>
      <c r="D3794"/>
      <c r="Q3794"/>
      <c r="AQ3794" s="20"/>
    </row>
    <row r="3795" spans="2:43">
      <c r="B3795"/>
      <c r="C3795"/>
      <c r="D3795"/>
      <c r="Q3795"/>
      <c r="AQ3795" s="20"/>
    </row>
    <row r="3796" spans="2:43">
      <c r="B3796"/>
      <c r="C3796"/>
      <c r="D3796"/>
      <c r="Q3796"/>
      <c r="AQ3796" s="20"/>
    </row>
    <row r="3797" spans="2:43">
      <c r="B3797"/>
      <c r="C3797"/>
      <c r="D3797"/>
      <c r="Q3797"/>
      <c r="AQ3797" s="20"/>
    </row>
    <row r="3798" spans="2:43">
      <c r="B3798"/>
      <c r="C3798"/>
      <c r="D3798"/>
      <c r="Q3798"/>
      <c r="AQ3798" s="20"/>
    </row>
    <row r="3799" spans="2:43">
      <c r="B3799"/>
      <c r="C3799"/>
      <c r="D3799"/>
      <c r="Q3799"/>
      <c r="AQ3799" s="20"/>
    </row>
    <row r="3800" spans="2:43">
      <c r="B3800"/>
      <c r="C3800"/>
      <c r="D3800"/>
      <c r="Q3800"/>
      <c r="AQ3800" s="20"/>
    </row>
    <row r="3801" spans="2:43">
      <c r="B3801"/>
      <c r="C3801"/>
      <c r="D3801"/>
      <c r="Q3801"/>
      <c r="AQ3801" s="20"/>
    </row>
    <row r="3802" spans="2:43">
      <c r="B3802"/>
      <c r="C3802"/>
      <c r="D3802"/>
      <c r="Q3802"/>
      <c r="AQ3802" s="20"/>
    </row>
    <row r="3803" spans="2:43">
      <c r="B3803"/>
      <c r="C3803"/>
      <c r="D3803"/>
      <c r="Q3803"/>
      <c r="AQ3803" s="20"/>
    </row>
    <row r="3804" spans="2:43">
      <c r="B3804"/>
      <c r="C3804"/>
      <c r="D3804"/>
      <c r="Q3804"/>
      <c r="AQ3804" s="20"/>
    </row>
    <row r="3805" spans="2:43">
      <c r="B3805"/>
      <c r="C3805"/>
      <c r="D3805"/>
      <c r="Q3805"/>
      <c r="AQ3805" s="20"/>
    </row>
    <row r="3806" spans="2:43">
      <c r="B3806"/>
      <c r="C3806"/>
      <c r="D3806"/>
      <c r="Q3806"/>
      <c r="AQ3806" s="20"/>
    </row>
    <row r="3807" spans="2:43">
      <c r="B3807"/>
      <c r="C3807"/>
      <c r="D3807"/>
      <c r="Q3807"/>
      <c r="AQ3807" s="20"/>
    </row>
    <row r="3808" spans="2:43">
      <c r="B3808"/>
      <c r="C3808"/>
      <c r="D3808"/>
      <c r="Q3808"/>
      <c r="AQ3808" s="20"/>
    </row>
    <row r="3809" spans="2:43">
      <c r="B3809"/>
      <c r="C3809"/>
      <c r="D3809"/>
      <c r="Q3809"/>
      <c r="AQ3809" s="20"/>
    </row>
    <row r="3810" spans="2:43">
      <c r="B3810"/>
      <c r="C3810"/>
      <c r="D3810"/>
      <c r="Q3810"/>
      <c r="AQ3810" s="20"/>
    </row>
    <row r="3811" spans="2:43">
      <c r="B3811"/>
      <c r="C3811"/>
      <c r="D3811"/>
      <c r="Q3811"/>
      <c r="AQ3811" s="20"/>
    </row>
    <row r="3812" spans="2:43">
      <c r="B3812"/>
      <c r="C3812"/>
      <c r="D3812"/>
      <c r="Q3812"/>
      <c r="AQ3812" s="20"/>
    </row>
    <row r="3813" spans="2:43">
      <c r="B3813"/>
      <c r="C3813"/>
      <c r="D3813"/>
      <c r="Q3813"/>
      <c r="AQ3813" s="20"/>
    </row>
    <row r="3814" spans="2:43">
      <c r="B3814"/>
      <c r="C3814"/>
      <c r="D3814"/>
      <c r="Q3814"/>
      <c r="AQ3814" s="20"/>
    </row>
    <row r="3815" spans="2:43">
      <c r="B3815"/>
      <c r="C3815"/>
      <c r="D3815"/>
      <c r="Q3815"/>
      <c r="AQ3815" s="20"/>
    </row>
    <row r="3816" spans="2:43">
      <c r="B3816"/>
      <c r="C3816"/>
      <c r="D3816"/>
      <c r="Q3816"/>
      <c r="AQ3816" s="20"/>
    </row>
    <row r="3817" spans="2:43">
      <c r="B3817"/>
      <c r="C3817"/>
      <c r="D3817"/>
      <c r="Q3817"/>
      <c r="AQ3817" s="20"/>
    </row>
    <row r="3818" spans="2:43">
      <c r="B3818"/>
      <c r="C3818"/>
      <c r="D3818"/>
      <c r="Q3818"/>
      <c r="AQ3818" s="20"/>
    </row>
    <row r="3819" spans="2:43">
      <c r="B3819"/>
      <c r="C3819"/>
      <c r="D3819"/>
      <c r="Q3819"/>
      <c r="AQ3819" s="20"/>
    </row>
    <row r="3820" spans="2:43">
      <c r="B3820"/>
      <c r="C3820"/>
      <c r="D3820"/>
      <c r="Q3820"/>
      <c r="AQ3820" s="20"/>
    </row>
    <row r="3821" spans="2:43">
      <c r="B3821"/>
      <c r="C3821"/>
      <c r="D3821"/>
      <c r="Q3821"/>
      <c r="AQ3821" s="20"/>
    </row>
    <row r="3822" spans="2:43">
      <c r="B3822"/>
      <c r="C3822"/>
      <c r="D3822"/>
      <c r="Q3822"/>
      <c r="AQ3822" s="20"/>
    </row>
    <row r="3823" spans="2:43">
      <c r="B3823"/>
      <c r="C3823"/>
      <c r="D3823"/>
      <c r="Q3823"/>
      <c r="AQ3823" s="20"/>
    </row>
    <row r="3824" spans="2:43">
      <c r="B3824"/>
      <c r="C3824"/>
      <c r="D3824"/>
      <c r="Q3824"/>
      <c r="AQ3824" s="20"/>
    </row>
    <row r="3825" spans="2:43">
      <c r="B3825"/>
      <c r="C3825"/>
      <c r="D3825"/>
      <c r="Q3825"/>
      <c r="AQ3825" s="20"/>
    </row>
    <row r="3826" spans="2:43">
      <c r="B3826"/>
      <c r="C3826"/>
      <c r="D3826"/>
      <c r="Q3826"/>
      <c r="AQ3826" s="20"/>
    </row>
    <row r="3827" spans="2:43">
      <c r="B3827"/>
      <c r="C3827"/>
      <c r="D3827"/>
      <c r="Q3827"/>
      <c r="AQ3827" s="20"/>
    </row>
    <row r="3828" spans="2:43">
      <c r="B3828"/>
      <c r="C3828"/>
      <c r="D3828"/>
      <c r="Q3828"/>
      <c r="AQ3828" s="20"/>
    </row>
    <row r="3829" spans="2:43">
      <c r="B3829"/>
      <c r="C3829"/>
      <c r="D3829"/>
      <c r="Q3829"/>
      <c r="AQ3829" s="20"/>
    </row>
    <row r="3830" spans="2:43">
      <c r="B3830"/>
      <c r="C3830"/>
      <c r="D3830"/>
      <c r="Q3830"/>
      <c r="AQ3830" s="20"/>
    </row>
    <row r="3831" spans="2:43">
      <c r="B3831"/>
      <c r="C3831"/>
      <c r="D3831"/>
      <c r="Q3831"/>
      <c r="AQ3831" s="20"/>
    </row>
    <row r="3832" spans="2:43">
      <c r="B3832"/>
      <c r="C3832"/>
      <c r="D3832"/>
      <c r="Q3832"/>
      <c r="AQ3832" s="20"/>
    </row>
    <row r="3833" spans="2:43">
      <c r="B3833"/>
      <c r="C3833"/>
      <c r="D3833"/>
      <c r="Q3833"/>
      <c r="AQ3833" s="20"/>
    </row>
    <row r="3834" spans="2:43">
      <c r="B3834"/>
      <c r="C3834"/>
      <c r="D3834"/>
      <c r="Q3834"/>
      <c r="AQ3834" s="20"/>
    </row>
    <row r="3835" spans="2:43">
      <c r="B3835"/>
      <c r="C3835"/>
      <c r="D3835"/>
      <c r="Q3835"/>
      <c r="AQ3835" s="20"/>
    </row>
    <row r="3836" spans="2:43">
      <c r="B3836"/>
      <c r="C3836"/>
      <c r="D3836"/>
      <c r="Q3836"/>
      <c r="AQ3836" s="20"/>
    </row>
    <row r="3837" spans="2:43">
      <c r="B3837"/>
      <c r="C3837"/>
      <c r="D3837"/>
      <c r="Q3837"/>
      <c r="AQ3837" s="20"/>
    </row>
    <row r="3838" spans="2:43">
      <c r="B3838"/>
      <c r="C3838"/>
      <c r="D3838"/>
      <c r="Q3838"/>
      <c r="AQ3838" s="20"/>
    </row>
    <row r="3839" spans="2:43">
      <c r="B3839"/>
      <c r="C3839"/>
      <c r="D3839"/>
      <c r="Q3839"/>
      <c r="AQ3839" s="20"/>
    </row>
    <row r="3840" spans="2:43">
      <c r="B3840"/>
      <c r="C3840"/>
      <c r="D3840"/>
      <c r="Q3840"/>
      <c r="AQ3840" s="20"/>
    </row>
    <row r="3841" spans="2:43">
      <c r="B3841"/>
      <c r="C3841"/>
      <c r="D3841"/>
      <c r="Q3841"/>
      <c r="AQ3841" s="20"/>
    </row>
    <row r="3842" spans="2:43">
      <c r="B3842"/>
      <c r="C3842"/>
      <c r="D3842"/>
      <c r="Q3842"/>
      <c r="AQ3842" s="20"/>
    </row>
    <row r="3843" spans="2:43">
      <c r="B3843"/>
      <c r="C3843"/>
      <c r="D3843"/>
      <c r="Q3843"/>
      <c r="AQ3843" s="20"/>
    </row>
    <row r="3844" spans="2:43">
      <c r="B3844"/>
      <c r="C3844"/>
      <c r="D3844"/>
      <c r="Q3844"/>
      <c r="AQ3844" s="20"/>
    </row>
    <row r="3845" spans="2:43">
      <c r="B3845"/>
      <c r="C3845"/>
      <c r="D3845"/>
      <c r="Q3845"/>
      <c r="AQ3845" s="20"/>
    </row>
    <row r="3846" spans="2:43">
      <c r="B3846"/>
      <c r="C3846"/>
      <c r="D3846"/>
      <c r="Q3846"/>
      <c r="AQ3846" s="20"/>
    </row>
    <row r="3847" spans="2:43">
      <c r="B3847"/>
      <c r="C3847"/>
      <c r="D3847"/>
      <c r="Q3847"/>
      <c r="AQ3847" s="20"/>
    </row>
    <row r="3848" spans="2:43">
      <c r="B3848"/>
      <c r="C3848"/>
      <c r="D3848"/>
      <c r="Q3848"/>
      <c r="AQ3848" s="20"/>
    </row>
    <row r="3849" spans="2:43">
      <c r="B3849"/>
      <c r="C3849"/>
      <c r="D3849"/>
      <c r="Q3849"/>
      <c r="AQ3849" s="20"/>
    </row>
    <row r="3850" spans="2:43">
      <c r="B3850"/>
      <c r="C3850"/>
      <c r="D3850"/>
      <c r="Q3850"/>
      <c r="AQ3850" s="20"/>
    </row>
    <row r="3851" spans="2:43">
      <c r="B3851"/>
      <c r="C3851"/>
      <c r="D3851"/>
      <c r="Q3851"/>
      <c r="AQ3851" s="20"/>
    </row>
    <row r="3852" spans="2:43">
      <c r="B3852"/>
      <c r="C3852"/>
      <c r="D3852"/>
      <c r="Q3852"/>
      <c r="AQ3852" s="20"/>
    </row>
    <row r="3853" spans="2:43">
      <c r="B3853"/>
      <c r="C3853"/>
      <c r="D3853"/>
      <c r="Q3853"/>
      <c r="AQ3853" s="20"/>
    </row>
    <row r="3854" spans="2:43">
      <c r="B3854"/>
      <c r="C3854"/>
      <c r="D3854"/>
      <c r="Q3854"/>
      <c r="AQ3854" s="20"/>
    </row>
    <row r="3855" spans="2:43">
      <c r="B3855"/>
      <c r="C3855"/>
      <c r="D3855"/>
      <c r="Q3855"/>
      <c r="AQ3855" s="20"/>
    </row>
    <row r="3856" spans="2:43">
      <c r="B3856"/>
      <c r="C3856"/>
      <c r="D3856"/>
      <c r="Q3856"/>
      <c r="AQ3856" s="20"/>
    </row>
    <row r="3857" spans="2:43">
      <c r="B3857"/>
      <c r="C3857"/>
      <c r="D3857"/>
      <c r="Q3857"/>
      <c r="AQ3857" s="20"/>
    </row>
    <row r="3858" spans="2:43">
      <c r="B3858"/>
      <c r="C3858"/>
      <c r="D3858"/>
      <c r="Q3858"/>
      <c r="AQ3858" s="20"/>
    </row>
    <row r="3859" spans="2:43">
      <c r="B3859"/>
      <c r="C3859"/>
      <c r="D3859"/>
      <c r="Q3859"/>
      <c r="AQ3859" s="20"/>
    </row>
    <row r="3860" spans="2:43">
      <c r="B3860"/>
      <c r="C3860"/>
      <c r="D3860"/>
      <c r="Q3860"/>
      <c r="AQ3860" s="20"/>
    </row>
    <row r="3861" spans="2:43">
      <c r="B3861"/>
      <c r="C3861"/>
      <c r="D3861"/>
      <c r="Q3861"/>
      <c r="AQ3861" s="20"/>
    </row>
    <row r="3862" spans="2:43">
      <c r="B3862"/>
      <c r="C3862"/>
      <c r="D3862"/>
      <c r="Q3862"/>
      <c r="AQ3862" s="20"/>
    </row>
    <row r="3863" spans="2:43">
      <c r="B3863"/>
      <c r="C3863"/>
      <c r="D3863"/>
      <c r="Q3863"/>
      <c r="AQ3863" s="20"/>
    </row>
    <row r="3864" spans="2:43">
      <c r="B3864"/>
      <c r="C3864"/>
      <c r="D3864"/>
      <c r="Q3864"/>
      <c r="AQ3864" s="20"/>
    </row>
    <row r="3865" spans="2:43">
      <c r="B3865"/>
      <c r="C3865"/>
      <c r="D3865"/>
      <c r="Q3865"/>
      <c r="AQ3865" s="20"/>
    </row>
    <row r="3866" spans="2:43">
      <c r="B3866"/>
      <c r="C3866"/>
      <c r="D3866"/>
      <c r="Q3866"/>
      <c r="AQ3866" s="20"/>
    </row>
    <row r="3867" spans="2:43">
      <c r="B3867"/>
      <c r="C3867"/>
      <c r="D3867"/>
      <c r="Q3867"/>
      <c r="AQ3867" s="20"/>
    </row>
    <row r="3868" spans="2:43">
      <c r="B3868"/>
      <c r="C3868"/>
      <c r="D3868"/>
      <c r="Q3868"/>
      <c r="AQ3868" s="20"/>
    </row>
    <row r="3869" spans="2:43">
      <c r="B3869"/>
      <c r="C3869"/>
      <c r="D3869"/>
      <c r="Q3869"/>
      <c r="AQ3869" s="20"/>
    </row>
    <row r="3870" spans="2:43">
      <c r="B3870"/>
      <c r="C3870"/>
      <c r="D3870"/>
      <c r="Q3870"/>
      <c r="AQ3870" s="20"/>
    </row>
    <row r="3871" spans="2:43">
      <c r="B3871"/>
      <c r="C3871"/>
      <c r="D3871"/>
      <c r="Q3871"/>
      <c r="AQ3871" s="20"/>
    </row>
    <row r="3872" spans="2:43">
      <c r="B3872"/>
      <c r="C3872"/>
      <c r="D3872"/>
      <c r="Q3872"/>
      <c r="AQ3872" s="20"/>
    </row>
    <row r="3873" spans="2:43">
      <c r="B3873"/>
      <c r="C3873"/>
      <c r="D3873"/>
      <c r="Q3873"/>
      <c r="AQ3873" s="20"/>
    </row>
    <row r="3874" spans="2:43">
      <c r="B3874"/>
      <c r="C3874"/>
      <c r="D3874"/>
      <c r="Q3874"/>
      <c r="AQ3874" s="20"/>
    </row>
    <row r="3875" spans="2:43">
      <c r="B3875"/>
      <c r="C3875"/>
      <c r="D3875"/>
      <c r="Q3875"/>
      <c r="AQ3875" s="20"/>
    </row>
    <row r="3876" spans="2:43">
      <c r="B3876"/>
      <c r="C3876"/>
      <c r="D3876"/>
      <c r="Q3876"/>
      <c r="AQ3876" s="20"/>
    </row>
    <row r="3877" spans="2:43">
      <c r="B3877"/>
      <c r="C3877"/>
      <c r="D3877"/>
      <c r="Q3877"/>
      <c r="AQ3877" s="20"/>
    </row>
    <row r="3878" spans="2:43">
      <c r="B3878"/>
      <c r="C3878"/>
      <c r="D3878"/>
      <c r="Q3878"/>
      <c r="AQ3878" s="20"/>
    </row>
    <row r="3879" spans="2:43">
      <c r="B3879"/>
      <c r="C3879"/>
      <c r="D3879"/>
      <c r="Q3879"/>
      <c r="AQ3879" s="20"/>
    </row>
    <row r="3880" spans="2:43">
      <c r="B3880"/>
      <c r="C3880"/>
      <c r="D3880"/>
      <c r="Q3880"/>
      <c r="AQ3880" s="20"/>
    </row>
    <row r="3881" spans="2:43">
      <c r="B3881"/>
      <c r="C3881"/>
      <c r="D3881"/>
      <c r="Q3881"/>
      <c r="AQ3881" s="20"/>
    </row>
    <row r="3882" spans="2:43">
      <c r="B3882"/>
      <c r="C3882"/>
      <c r="D3882"/>
      <c r="Q3882"/>
      <c r="AQ3882" s="20"/>
    </row>
    <row r="3883" spans="2:43">
      <c r="B3883"/>
      <c r="C3883"/>
      <c r="D3883"/>
      <c r="Q3883"/>
      <c r="AQ3883" s="20"/>
    </row>
    <row r="3884" spans="2:43">
      <c r="B3884"/>
      <c r="C3884"/>
      <c r="D3884"/>
      <c r="Q3884"/>
      <c r="AQ3884" s="20"/>
    </row>
    <row r="3885" spans="2:43">
      <c r="B3885"/>
      <c r="C3885"/>
      <c r="D3885"/>
      <c r="Q3885"/>
      <c r="AQ3885" s="20"/>
    </row>
    <row r="3886" spans="2:43">
      <c r="B3886"/>
      <c r="C3886"/>
      <c r="D3886"/>
      <c r="Q3886"/>
      <c r="AQ3886" s="20"/>
    </row>
    <row r="3887" spans="2:43">
      <c r="B3887"/>
      <c r="C3887"/>
      <c r="D3887"/>
      <c r="Q3887"/>
      <c r="AQ3887" s="20"/>
    </row>
    <row r="3888" spans="2:43">
      <c r="B3888"/>
      <c r="C3888"/>
      <c r="D3888"/>
      <c r="Q3888"/>
      <c r="AQ3888" s="20"/>
    </row>
    <row r="3889" spans="2:43">
      <c r="B3889"/>
      <c r="C3889"/>
      <c r="D3889"/>
      <c r="Q3889"/>
      <c r="AQ3889" s="20"/>
    </row>
    <row r="3890" spans="2:43">
      <c r="B3890"/>
      <c r="C3890"/>
      <c r="D3890"/>
      <c r="Q3890"/>
      <c r="AQ3890" s="20"/>
    </row>
    <row r="3891" spans="2:43">
      <c r="B3891"/>
      <c r="C3891"/>
      <c r="D3891"/>
      <c r="Q3891"/>
      <c r="AQ3891" s="20"/>
    </row>
    <row r="3892" spans="2:43">
      <c r="B3892"/>
      <c r="C3892"/>
      <c r="D3892"/>
      <c r="Q3892"/>
      <c r="AQ3892" s="20"/>
    </row>
    <row r="3893" spans="2:43">
      <c r="B3893"/>
      <c r="C3893"/>
      <c r="D3893"/>
      <c r="Q3893"/>
      <c r="AQ3893" s="20"/>
    </row>
    <row r="3894" spans="2:43">
      <c r="B3894"/>
      <c r="C3894"/>
      <c r="D3894"/>
      <c r="Q3894"/>
      <c r="AQ3894" s="20"/>
    </row>
    <row r="3895" spans="2:43">
      <c r="B3895"/>
      <c r="C3895"/>
      <c r="D3895"/>
      <c r="Q3895"/>
      <c r="AQ3895" s="20"/>
    </row>
    <row r="3896" spans="2:43">
      <c r="B3896"/>
      <c r="C3896"/>
      <c r="D3896"/>
      <c r="Q3896"/>
      <c r="AQ3896" s="20"/>
    </row>
    <row r="3897" spans="2:43">
      <c r="B3897"/>
      <c r="C3897"/>
      <c r="D3897"/>
      <c r="Q3897"/>
      <c r="AQ3897" s="20"/>
    </row>
    <row r="3898" spans="2:43">
      <c r="B3898"/>
      <c r="C3898"/>
      <c r="D3898"/>
      <c r="Q3898"/>
      <c r="AQ3898" s="20"/>
    </row>
    <row r="3899" spans="2:43">
      <c r="B3899"/>
      <c r="C3899"/>
      <c r="D3899"/>
      <c r="Q3899"/>
      <c r="AQ3899" s="20"/>
    </row>
    <row r="3900" spans="2:43">
      <c r="B3900"/>
      <c r="C3900"/>
      <c r="D3900"/>
      <c r="Q3900"/>
      <c r="AQ3900" s="20"/>
    </row>
    <row r="3901" spans="2:43">
      <c r="B3901"/>
      <c r="C3901"/>
      <c r="D3901"/>
      <c r="Q3901"/>
      <c r="AQ3901" s="20"/>
    </row>
    <row r="3902" spans="2:43">
      <c r="B3902"/>
      <c r="C3902"/>
      <c r="D3902"/>
      <c r="Q3902"/>
      <c r="AQ3902" s="20"/>
    </row>
    <row r="3903" spans="2:43">
      <c r="B3903"/>
      <c r="C3903"/>
      <c r="D3903"/>
      <c r="Q3903"/>
      <c r="AQ3903" s="20"/>
    </row>
    <row r="3904" spans="2:43">
      <c r="B3904"/>
      <c r="C3904"/>
      <c r="D3904"/>
      <c r="Q3904"/>
      <c r="AQ3904" s="20"/>
    </row>
    <row r="3905" spans="2:43">
      <c r="B3905"/>
      <c r="C3905"/>
      <c r="D3905"/>
      <c r="Q3905"/>
      <c r="AQ3905" s="20"/>
    </row>
    <row r="3906" spans="2:43">
      <c r="B3906"/>
      <c r="C3906"/>
      <c r="D3906"/>
      <c r="Q3906"/>
      <c r="AQ3906" s="20"/>
    </row>
    <row r="3907" spans="2:43">
      <c r="B3907"/>
      <c r="C3907"/>
      <c r="D3907"/>
      <c r="Q3907"/>
      <c r="AQ3907" s="20"/>
    </row>
    <row r="3908" spans="2:43">
      <c r="B3908"/>
      <c r="C3908"/>
      <c r="D3908"/>
      <c r="Q3908"/>
      <c r="AQ3908" s="20"/>
    </row>
    <row r="3909" spans="2:43">
      <c r="B3909"/>
      <c r="C3909"/>
      <c r="D3909"/>
      <c r="Q3909"/>
      <c r="AQ3909" s="20"/>
    </row>
    <row r="3910" spans="2:43">
      <c r="B3910"/>
      <c r="C3910"/>
      <c r="D3910"/>
      <c r="Q3910"/>
      <c r="AQ3910" s="20"/>
    </row>
    <row r="3911" spans="2:43">
      <c r="B3911"/>
      <c r="C3911"/>
      <c r="D3911"/>
      <c r="Q3911"/>
      <c r="AQ3911" s="20"/>
    </row>
    <row r="3912" spans="2:43">
      <c r="B3912"/>
      <c r="C3912"/>
      <c r="D3912"/>
      <c r="Q3912"/>
      <c r="AQ3912" s="20"/>
    </row>
    <row r="3913" spans="2:43">
      <c r="B3913"/>
      <c r="C3913"/>
      <c r="D3913"/>
      <c r="Q3913"/>
      <c r="AQ3913" s="20"/>
    </row>
    <row r="3914" spans="2:43">
      <c r="B3914"/>
      <c r="C3914"/>
      <c r="D3914"/>
      <c r="Q3914"/>
      <c r="AQ3914" s="20"/>
    </row>
    <row r="3915" spans="2:43">
      <c r="B3915"/>
      <c r="C3915"/>
      <c r="D3915"/>
      <c r="Q3915"/>
      <c r="AQ3915" s="20"/>
    </row>
    <row r="3916" spans="2:43">
      <c r="B3916"/>
      <c r="C3916"/>
      <c r="D3916"/>
      <c r="Q3916"/>
      <c r="AQ3916" s="20"/>
    </row>
    <row r="3917" spans="2:43">
      <c r="B3917"/>
      <c r="C3917"/>
      <c r="D3917"/>
      <c r="Q3917"/>
      <c r="AQ3917" s="20"/>
    </row>
    <row r="3918" spans="2:43">
      <c r="B3918"/>
      <c r="C3918"/>
      <c r="D3918"/>
      <c r="Q3918"/>
      <c r="AQ3918" s="20"/>
    </row>
    <row r="3919" spans="2:43">
      <c r="B3919"/>
      <c r="C3919"/>
      <c r="D3919"/>
      <c r="Q3919"/>
      <c r="AQ3919" s="20"/>
    </row>
    <row r="3920" spans="2:43">
      <c r="B3920"/>
      <c r="C3920"/>
      <c r="D3920"/>
      <c r="Q3920"/>
      <c r="AQ3920" s="20"/>
    </row>
    <row r="3921" spans="2:43">
      <c r="B3921"/>
      <c r="C3921"/>
      <c r="D3921"/>
      <c r="Q3921"/>
      <c r="AQ3921" s="20"/>
    </row>
    <row r="3922" spans="2:43">
      <c r="B3922"/>
      <c r="C3922"/>
      <c r="D3922"/>
      <c r="Q3922"/>
      <c r="AQ3922" s="20"/>
    </row>
    <row r="3923" spans="2:43">
      <c r="B3923"/>
      <c r="C3923"/>
      <c r="D3923"/>
      <c r="Q3923"/>
      <c r="AQ3923" s="20"/>
    </row>
    <row r="3924" spans="2:43">
      <c r="B3924"/>
      <c r="C3924"/>
      <c r="D3924"/>
      <c r="Q3924"/>
      <c r="AQ3924" s="20"/>
    </row>
    <row r="3925" spans="2:43">
      <c r="B3925"/>
      <c r="C3925"/>
      <c r="D3925"/>
      <c r="Q3925"/>
      <c r="AQ3925" s="20"/>
    </row>
    <row r="3926" spans="2:43">
      <c r="B3926"/>
      <c r="C3926"/>
      <c r="D3926"/>
      <c r="Q3926"/>
      <c r="AQ3926" s="20"/>
    </row>
    <row r="3927" spans="2:43">
      <c r="B3927"/>
      <c r="C3927"/>
      <c r="D3927"/>
      <c r="Q3927"/>
      <c r="AQ3927" s="20"/>
    </row>
    <row r="3928" spans="2:43">
      <c r="B3928"/>
      <c r="C3928"/>
      <c r="D3928"/>
      <c r="Q3928"/>
      <c r="AQ3928" s="20"/>
    </row>
    <row r="3929" spans="2:43">
      <c r="B3929"/>
      <c r="C3929"/>
      <c r="D3929"/>
      <c r="Q3929"/>
      <c r="AQ3929" s="20"/>
    </row>
    <row r="3930" spans="2:43">
      <c r="B3930"/>
      <c r="C3930"/>
      <c r="D3930"/>
      <c r="Q3930"/>
      <c r="AQ3930" s="20"/>
    </row>
    <row r="3931" spans="2:43">
      <c r="B3931"/>
      <c r="C3931"/>
      <c r="D3931"/>
      <c r="Q3931"/>
      <c r="AQ3931" s="20"/>
    </row>
    <row r="3932" spans="2:43">
      <c r="B3932"/>
      <c r="C3932"/>
      <c r="D3932"/>
      <c r="Q3932"/>
      <c r="AQ3932" s="20"/>
    </row>
    <row r="3933" spans="2:43">
      <c r="B3933"/>
      <c r="C3933"/>
      <c r="D3933"/>
      <c r="Q3933"/>
      <c r="AQ3933" s="20"/>
    </row>
    <row r="3934" spans="2:43">
      <c r="B3934"/>
      <c r="C3934"/>
      <c r="D3934"/>
      <c r="Q3934"/>
      <c r="AQ3934" s="20"/>
    </row>
    <row r="3935" spans="2:43">
      <c r="B3935"/>
      <c r="C3935"/>
      <c r="D3935"/>
      <c r="Q3935"/>
      <c r="AQ3935" s="20"/>
    </row>
    <row r="3936" spans="2:43">
      <c r="B3936"/>
      <c r="C3936"/>
      <c r="D3936"/>
      <c r="Q3936"/>
      <c r="AQ3936" s="20"/>
    </row>
    <row r="3937" spans="2:43">
      <c r="B3937"/>
      <c r="C3937"/>
      <c r="D3937"/>
      <c r="Q3937"/>
      <c r="AQ3937" s="20"/>
    </row>
    <row r="3938" spans="2:43">
      <c r="B3938"/>
      <c r="C3938"/>
      <c r="D3938"/>
      <c r="Q3938"/>
      <c r="AQ3938" s="20"/>
    </row>
    <row r="3939" spans="2:43">
      <c r="B3939"/>
      <c r="C3939"/>
      <c r="D3939"/>
      <c r="Q3939"/>
      <c r="AQ3939" s="20"/>
    </row>
    <row r="3940" spans="2:43">
      <c r="B3940"/>
      <c r="C3940"/>
      <c r="D3940"/>
      <c r="Q3940"/>
      <c r="AQ3940" s="20"/>
    </row>
    <row r="3941" spans="2:43">
      <c r="B3941"/>
      <c r="C3941"/>
      <c r="D3941"/>
      <c r="Q3941"/>
      <c r="AQ3941" s="20"/>
    </row>
    <row r="3942" spans="2:43">
      <c r="B3942"/>
      <c r="C3942"/>
      <c r="D3942"/>
      <c r="Q3942"/>
      <c r="AQ3942" s="20"/>
    </row>
    <row r="3943" spans="2:43">
      <c r="B3943"/>
      <c r="C3943"/>
      <c r="D3943"/>
      <c r="Q3943"/>
      <c r="AQ3943" s="20"/>
    </row>
    <row r="3944" spans="2:43">
      <c r="B3944"/>
      <c r="C3944"/>
      <c r="D3944"/>
      <c r="Q3944"/>
      <c r="AQ3944" s="20"/>
    </row>
    <row r="3945" spans="2:43">
      <c r="B3945"/>
      <c r="C3945"/>
      <c r="D3945"/>
      <c r="Q3945"/>
      <c r="AQ3945" s="20"/>
    </row>
    <row r="3946" spans="2:43">
      <c r="B3946"/>
      <c r="C3946"/>
      <c r="D3946"/>
      <c r="Q3946"/>
      <c r="AQ3946" s="20"/>
    </row>
    <row r="3947" spans="2:43">
      <c r="B3947"/>
      <c r="C3947"/>
      <c r="D3947"/>
      <c r="Q3947"/>
      <c r="AQ3947" s="20"/>
    </row>
    <row r="3948" spans="2:43">
      <c r="B3948"/>
      <c r="C3948"/>
      <c r="D3948"/>
      <c r="Q3948"/>
      <c r="AQ3948" s="20"/>
    </row>
    <row r="3949" spans="2:43">
      <c r="B3949"/>
      <c r="C3949"/>
      <c r="D3949"/>
      <c r="Q3949"/>
      <c r="AQ3949" s="20"/>
    </row>
    <row r="3950" spans="2:43">
      <c r="B3950"/>
      <c r="C3950"/>
      <c r="D3950"/>
      <c r="Q3950"/>
      <c r="AQ3950" s="20"/>
    </row>
    <row r="3951" spans="2:43">
      <c r="B3951"/>
      <c r="C3951"/>
      <c r="D3951"/>
      <c r="Q3951"/>
      <c r="AQ3951" s="20"/>
    </row>
    <row r="3952" spans="2:43">
      <c r="B3952"/>
      <c r="C3952"/>
      <c r="D3952"/>
      <c r="Q3952"/>
      <c r="AQ3952" s="20"/>
    </row>
    <row r="3953" spans="2:43">
      <c r="B3953"/>
      <c r="C3953"/>
      <c r="D3953"/>
      <c r="Q3953"/>
      <c r="AQ3953" s="20"/>
    </row>
    <row r="3954" spans="2:43">
      <c r="B3954"/>
      <c r="C3954"/>
      <c r="D3954"/>
      <c r="Q3954"/>
      <c r="AQ3954" s="20"/>
    </row>
    <row r="3955" spans="2:43">
      <c r="B3955"/>
      <c r="C3955"/>
      <c r="D3955"/>
      <c r="Q3955"/>
      <c r="AQ3955" s="20"/>
    </row>
    <row r="3956" spans="2:43">
      <c r="B3956"/>
      <c r="C3956"/>
      <c r="D3956"/>
      <c r="Q3956"/>
      <c r="AQ3956" s="20"/>
    </row>
    <row r="3957" spans="2:43">
      <c r="B3957"/>
      <c r="C3957"/>
      <c r="D3957"/>
      <c r="Q3957"/>
      <c r="AQ3957" s="20"/>
    </row>
    <row r="3958" spans="2:43">
      <c r="B3958"/>
      <c r="C3958"/>
      <c r="D3958"/>
      <c r="Q3958"/>
      <c r="AQ3958" s="20"/>
    </row>
    <row r="3959" spans="2:43">
      <c r="B3959"/>
      <c r="C3959"/>
      <c r="D3959"/>
      <c r="Q3959"/>
      <c r="AQ3959" s="20"/>
    </row>
    <row r="3960" spans="2:43">
      <c r="B3960"/>
      <c r="C3960"/>
      <c r="D3960"/>
      <c r="Q3960"/>
      <c r="AQ3960" s="20"/>
    </row>
    <row r="3961" spans="2:43">
      <c r="B3961"/>
      <c r="C3961"/>
      <c r="D3961"/>
      <c r="Q3961"/>
      <c r="AQ3961" s="20"/>
    </row>
    <row r="3962" spans="2:43">
      <c r="B3962"/>
      <c r="C3962"/>
      <c r="D3962"/>
      <c r="Q3962"/>
      <c r="AQ3962" s="20"/>
    </row>
    <row r="3963" spans="2:43">
      <c r="B3963"/>
      <c r="C3963"/>
      <c r="D3963"/>
      <c r="Q3963"/>
      <c r="AQ3963" s="20"/>
    </row>
    <row r="3964" spans="2:43">
      <c r="B3964"/>
      <c r="C3964"/>
      <c r="D3964"/>
      <c r="Q3964"/>
      <c r="AQ3964" s="20"/>
    </row>
    <row r="3965" spans="2:43">
      <c r="B3965"/>
      <c r="C3965"/>
      <c r="D3965"/>
      <c r="Q3965"/>
      <c r="AQ3965" s="20"/>
    </row>
    <row r="3966" spans="2:43">
      <c r="B3966"/>
      <c r="C3966"/>
      <c r="D3966"/>
      <c r="Q3966"/>
      <c r="AQ3966" s="20"/>
    </row>
    <row r="3967" spans="2:43">
      <c r="B3967"/>
      <c r="C3967"/>
      <c r="D3967"/>
      <c r="Q3967"/>
      <c r="AQ3967" s="20"/>
    </row>
    <row r="3968" spans="2:43">
      <c r="B3968"/>
      <c r="C3968"/>
      <c r="D3968"/>
      <c r="Q3968"/>
      <c r="AQ3968" s="20"/>
    </row>
    <row r="3969" spans="2:43">
      <c r="B3969"/>
      <c r="C3969"/>
      <c r="D3969"/>
      <c r="Q3969"/>
      <c r="AQ3969" s="20"/>
    </row>
    <row r="3970" spans="2:43">
      <c r="B3970"/>
      <c r="C3970"/>
      <c r="D3970"/>
      <c r="Q3970"/>
      <c r="AQ3970" s="20"/>
    </row>
    <row r="3971" spans="2:43">
      <c r="B3971"/>
      <c r="C3971"/>
      <c r="D3971"/>
      <c r="Q3971"/>
      <c r="AQ3971" s="20"/>
    </row>
    <row r="3972" spans="2:43">
      <c r="B3972"/>
      <c r="C3972"/>
      <c r="D3972"/>
      <c r="Q3972"/>
      <c r="AQ3972" s="20"/>
    </row>
    <row r="3973" spans="2:43">
      <c r="B3973"/>
      <c r="C3973"/>
      <c r="D3973"/>
      <c r="Q3973"/>
      <c r="AQ3973" s="20"/>
    </row>
    <row r="3974" spans="2:43">
      <c r="B3974"/>
      <c r="C3974"/>
      <c r="D3974"/>
      <c r="Q3974"/>
      <c r="AQ3974" s="20"/>
    </row>
    <row r="3975" spans="2:43">
      <c r="B3975"/>
      <c r="C3975"/>
      <c r="D3975"/>
      <c r="Q3975"/>
      <c r="AQ3975" s="20"/>
    </row>
    <row r="3976" spans="2:43">
      <c r="B3976"/>
      <c r="C3976"/>
      <c r="D3976"/>
      <c r="Q3976"/>
      <c r="AQ3976" s="20"/>
    </row>
    <row r="3977" spans="2:43">
      <c r="B3977"/>
      <c r="C3977"/>
      <c r="D3977"/>
      <c r="Q3977"/>
      <c r="AQ3977" s="20"/>
    </row>
    <row r="3978" spans="2:43">
      <c r="B3978"/>
      <c r="C3978"/>
      <c r="D3978"/>
      <c r="Q3978"/>
      <c r="AQ3978" s="20"/>
    </row>
    <row r="3979" spans="2:43">
      <c r="B3979"/>
      <c r="C3979"/>
      <c r="D3979"/>
      <c r="Q3979"/>
      <c r="AQ3979" s="20"/>
    </row>
    <row r="3980" spans="2:43">
      <c r="B3980"/>
      <c r="C3980"/>
      <c r="D3980"/>
      <c r="Q3980"/>
      <c r="AQ3980" s="20"/>
    </row>
    <row r="3981" spans="2:43">
      <c r="B3981"/>
      <c r="C3981"/>
      <c r="D3981"/>
      <c r="Q3981"/>
      <c r="AQ3981" s="20"/>
    </row>
    <row r="3982" spans="2:43">
      <c r="B3982"/>
      <c r="C3982"/>
      <c r="D3982"/>
      <c r="Q3982"/>
      <c r="AQ3982" s="20"/>
    </row>
    <row r="3983" spans="2:43">
      <c r="B3983"/>
      <c r="C3983"/>
      <c r="D3983"/>
      <c r="Q3983"/>
      <c r="AQ3983" s="20"/>
    </row>
    <row r="3984" spans="2:43">
      <c r="B3984"/>
      <c r="C3984"/>
      <c r="D3984"/>
      <c r="Q3984"/>
      <c r="AQ3984" s="20"/>
    </row>
    <row r="3985" spans="2:43">
      <c r="B3985"/>
      <c r="C3985"/>
      <c r="D3985"/>
      <c r="Q3985"/>
      <c r="AQ3985" s="20"/>
    </row>
    <row r="3986" spans="2:43">
      <c r="B3986"/>
      <c r="C3986"/>
      <c r="D3986"/>
      <c r="Q3986"/>
      <c r="AQ3986" s="20"/>
    </row>
    <row r="3987" spans="2:43">
      <c r="B3987"/>
      <c r="C3987"/>
      <c r="D3987"/>
      <c r="Q3987"/>
      <c r="AQ3987" s="20"/>
    </row>
    <row r="3988" spans="2:43">
      <c r="B3988"/>
      <c r="C3988"/>
      <c r="D3988"/>
      <c r="Q3988"/>
      <c r="AQ3988" s="20"/>
    </row>
    <row r="3989" spans="2:43">
      <c r="B3989"/>
      <c r="C3989"/>
      <c r="D3989"/>
      <c r="Q3989"/>
      <c r="AQ3989" s="20"/>
    </row>
    <row r="3990" spans="2:43">
      <c r="B3990"/>
      <c r="C3990"/>
      <c r="D3990"/>
      <c r="Q3990"/>
      <c r="AQ3990" s="20"/>
    </row>
    <row r="3991" spans="2:43">
      <c r="B3991"/>
      <c r="C3991"/>
      <c r="D3991"/>
      <c r="Q3991"/>
      <c r="AQ3991" s="20"/>
    </row>
    <row r="3992" spans="2:43">
      <c r="B3992"/>
      <c r="C3992"/>
      <c r="D3992"/>
      <c r="Q3992"/>
      <c r="AQ3992" s="20"/>
    </row>
    <row r="3993" spans="2:43">
      <c r="B3993"/>
      <c r="C3993"/>
      <c r="D3993"/>
      <c r="Q3993"/>
      <c r="AQ3993" s="20"/>
    </row>
    <row r="3994" spans="2:43">
      <c r="B3994"/>
      <c r="C3994"/>
      <c r="D3994"/>
      <c r="Q3994"/>
      <c r="AQ3994" s="20"/>
    </row>
    <row r="3995" spans="2:43">
      <c r="B3995"/>
      <c r="C3995"/>
      <c r="D3995"/>
      <c r="Q3995"/>
      <c r="AQ3995" s="20"/>
    </row>
    <row r="3996" spans="2:43">
      <c r="B3996"/>
      <c r="C3996"/>
      <c r="D3996"/>
      <c r="Q3996"/>
      <c r="AQ3996" s="20"/>
    </row>
    <row r="3997" spans="2:43">
      <c r="B3997"/>
      <c r="C3997"/>
      <c r="D3997"/>
      <c r="Q3997"/>
      <c r="AQ3997" s="20"/>
    </row>
    <row r="3998" spans="2:43">
      <c r="B3998"/>
      <c r="C3998"/>
      <c r="D3998"/>
      <c r="Q3998"/>
      <c r="AQ3998" s="20"/>
    </row>
    <row r="3999" spans="2:43">
      <c r="B3999"/>
      <c r="C3999"/>
      <c r="D3999"/>
      <c r="Q3999"/>
      <c r="AQ3999" s="20"/>
    </row>
    <row r="4000" spans="2:43">
      <c r="B4000"/>
      <c r="C4000"/>
      <c r="D4000"/>
      <c r="Q4000"/>
      <c r="AQ4000" s="20"/>
    </row>
    <row r="4001" spans="2:43">
      <c r="B4001"/>
      <c r="C4001"/>
      <c r="D4001"/>
      <c r="Q4001"/>
      <c r="AQ4001" s="20"/>
    </row>
    <row r="4002" spans="2:43">
      <c r="B4002"/>
      <c r="C4002"/>
      <c r="D4002"/>
      <c r="Q4002"/>
      <c r="AQ4002" s="20"/>
    </row>
    <row r="4003" spans="2:43">
      <c r="B4003"/>
      <c r="C4003"/>
      <c r="D4003"/>
      <c r="Q4003"/>
      <c r="AQ4003" s="20"/>
    </row>
    <row r="4004" spans="2:43">
      <c r="B4004"/>
      <c r="C4004"/>
      <c r="D4004"/>
      <c r="Q4004"/>
      <c r="AQ4004" s="20"/>
    </row>
    <row r="4005" spans="2:43">
      <c r="B4005"/>
      <c r="C4005"/>
      <c r="D4005"/>
      <c r="Q4005"/>
      <c r="AQ4005" s="20"/>
    </row>
    <row r="4006" spans="2:43">
      <c r="B4006"/>
      <c r="C4006"/>
      <c r="D4006"/>
      <c r="Q4006"/>
      <c r="AQ4006" s="20"/>
    </row>
    <row r="4007" spans="2:43">
      <c r="B4007"/>
      <c r="C4007"/>
      <c r="D4007"/>
      <c r="Q4007"/>
      <c r="AQ4007" s="20"/>
    </row>
    <row r="4008" spans="2:43">
      <c r="B4008"/>
      <c r="C4008"/>
      <c r="D4008"/>
      <c r="Q4008"/>
      <c r="AQ4008" s="20"/>
    </row>
    <row r="4009" spans="2:43">
      <c r="B4009"/>
      <c r="C4009"/>
      <c r="D4009"/>
      <c r="Q4009"/>
      <c r="AQ4009" s="20"/>
    </row>
    <row r="4010" spans="2:43">
      <c r="B4010"/>
      <c r="C4010"/>
      <c r="D4010"/>
      <c r="Q4010"/>
      <c r="AQ4010" s="20"/>
    </row>
    <row r="4011" spans="2:43">
      <c r="B4011"/>
      <c r="C4011"/>
      <c r="D4011"/>
      <c r="Q4011"/>
      <c r="AQ4011" s="20"/>
    </row>
    <row r="4012" spans="2:43">
      <c r="B4012"/>
      <c r="C4012"/>
      <c r="D4012"/>
      <c r="Q4012"/>
      <c r="AQ4012" s="20"/>
    </row>
    <row r="4013" spans="2:43">
      <c r="B4013"/>
      <c r="C4013"/>
      <c r="D4013"/>
      <c r="Q4013"/>
      <c r="AQ4013" s="20"/>
    </row>
    <row r="4014" spans="2:43">
      <c r="B4014"/>
      <c r="C4014"/>
      <c r="D4014"/>
      <c r="Q4014"/>
      <c r="AQ4014" s="20"/>
    </row>
    <row r="4015" spans="2:43">
      <c r="B4015"/>
      <c r="C4015"/>
      <c r="D4015"/>
      <c r="Q4015"/>
      <c r="AQ4015" s="20"/>
    </row>
    <row r="4016" spans="2:43">
      <c r="B4016"/>
      <c r="C4016"/>
      <c r="D4016"/>
      <c r="Q4016"/>
      <c r="AQ4016" s="20"/>
    </row>
    <row r="4017" spans="2:43">
      <c r="B4017"/>
      <c r="C4017"/>
      <c r="D4017"/>
      <c r="Q4017"/>
      <c r="AQ4017" s="20"/>
    </row>
    <row r="4018" spans="2:43">
      <c r="B4018"/>
      <c r="C4018"/>
      <c r="D4018"/>
      <c r="Q4018"/>
      <c r="AQ4018" s="20"/>
    </row>
    <row r="4019" spans="2:43">
      <c r="B4019"/>
      <c r="C4019"/>
      <c r="D4019"/>
      <c r="Q4019"/>
      <c r="AQ4019" s="20"/>
    </row>
    <row r="4020" spans="2:43">
      <c r="B4020"/>
      <c r="C4020"/>
      <c r="D4020"/>
      <c r="Q4020"/>
      <c r="AQ4020" s="20"/>
    </row>
    <row r="4021" spans="2:43">
      <c r="B4021"/>
      <c r="C4021"/>
      <c r="D4021"/>
      <c r="Q4021"/>
      <c r="AQ4021" s="20"/>
    </row>
    <row r="4022" spans="2:43">
      <c r="B4022"/>
      <c r="C4022"/>
      <c r="D4022"/>
      <c r="Q4022"/>
      <c r="AQ4022" s="20"/>
    </row>
    <row r="4023" spans="2:43">
      <c r="B4023"/>
      <c r="C4023"/>
      <c r="D4023"/>
      <c r="Q4023"/>
      <c r="AQ4023" s="20"/>
    </row>
    <row r="4024" spans="2:43">
      <c r="B4024"/>
      <c r="C4024"/>
      <c r="D4024"/>
      <c r="Q4024"/>
      <c r="AQ4024" s="20"/>
    </row>
    <row r="4025" spans="2:43">
      <c r="B4025"/>
      <c r="C4025"/>
      <c r="D4025"/>
      <c r="Q4025"/>
      <c r="AQ4025" s="20"/>
    </row>
    <row r="4026" spans="2:43">
      <c r="B4026"/>
      <c r="C4026"/>
      <c r="D4026"/>
      <c r="Q4026"/>
      <c r="AQ4026" s="20"/>
    </row>
    <row r="4027" spans="2:43">
      <c r="B4027"/>
      <c r="C4027"/>
      <c r="D4027"/>
      <c r="Q4027"/>
      <c r="AQ4027" s="20"/>
    </row>
    <row r="4028" spans="2:43">
      <c r="B4028"/>
      <c r="C4028"/>
      <c r="D4028"/>
      <c r="Q4028"/>
      <c r="AQ4028" s="20"/>
    </row>
    <row r="4029" spans="2:43">
      <c r="B4029"/>
      <c r="C4029"/>
      <c r="D4029"/>
      <c r="Q4029"/>
      <c r="AQ4029" s="20"/>
    </row>
    <row r="4030" spans="2:43">
      <c r="B4030"/>
      <c r="C4030"/>
      <c r="D4030"/>
      <c r="Q4030"/>
      <c r="AQ4030" s="20"/>
    </row>
    <row r="4031" spans="2:43">
      <c r="B4031"/>
      <c r="C4031"/>
      <c r="D4031"/>
      <c r="Q4031"/>
      <c r="AQ4031" s="20"/>
    </row>
    <row r="4032" spans="2:43">
      <c r="B4032"/>
      <c r="C4032"/>
      <c r="D4032"/>
      <c r="Q4032"/>
      <c r="AQ4032" s="20"/>
    </row>
    <row r="4033" spans="2:43">
      <c r="B4033"/>
      <c r="C4033"/>
      <c r="D4033"/>
      <c r="Q4033"/>
      <c r="AQ4033" s="20"/>
    </row>
    <row r="4034" spans="2:43">
      <c r="B4034"/>
      <c r="C4034"/>
      <c r="D4034"/>
      <c r="Q4034"/>
      <c r="AQ4034" s="20"/>
    </row>
    <row r="4035" spans="2:43">
      <c r="B4035"/>
      <c r="C4035"/>
      <c r="D4035"/>
      <c r="Q4035"/>
      <c r="AQ4035" s="20"/>
    </row>
    <row r="4036" spans="2:43">
      <c r="B4036"/>
      <c r="C4036"/>
      <c r="D4036"/>
      <c r="Q4036"/>
      <c r="AQ4036" s="20"/>
    </row>
    <row r="4037" spans="2:43">
      <c r="B4037"/>
      <c r="C4037"/>
      <c r="D4037"/>
      <c r="Q4037"/>
      <c r="AQ4037" s="20"/>
    </row>
    <row r="4038" spans="2:43">
      <c r="B4038"/>
      <c r="C4038"/>
      <c r="D4038"/>
      <c r="Q4038"/>
      <c r="AQ4038" s="20"/>
    </row>
    <row r="4039" spans="2:43">
      <c r="B4039"/>
      <c r="C4039"/>
      <c r="D4039"/>
      <c r="Q4039"/>
      <c r="AQ4039" s="20"/>
    </row>
    <row r="4040" spans="2:43">
      <c r="B4040"/>
      <c r="C4040"/>
      <c r="D4040"/>
      <c r="Q4040"/>
      <c r="AQ4040" s="20"/>
    </row>
    <row r="4041" spans="2:43">
      <c r="B4041"/>
      <c r="C4041"/>
      <c r="D4041"/>
      <c r="Q4041"/>
      <c r="AQ4041" s="20"/>
    </row>
    <row r="4042" spans="2:43">
      <c r="B4042"/>
      <c r="C4042"/>
      <c r="D4042"/>
      <c r="Q4042"/>
      <c r="AQ4042" s="20"/>
    </row>
    <row r="4043" spans="2:43">
      <c r="B4043"/>
      <c r="C4043"/>
      <c r="D4043"/>
      <c r="Q4043"/>
      <c r="AQ4043" s="20"/>
    </row>
    <row r="4044" spans="2:43">
      <c r="B4044"/>
      <c r="C4044"/>
      <c r="D4044"/>
      <c r="Q4044"/>
      <c r="AQ4044" s="20"/>
    </row>
    <row r="4045" spans="2:43">
      <c r="B4045"/>
      <c r="C4045"/>
      <c r="D4045"/>
      <c r="Q4045"/>
      <c r="AQ4045" s="20"/>
    </row>
    <row r="4046" spans="2:43">
      <c r="B4046"/>
      <c r="C4046"/>
      <c r="D4046"/>
      <c r="Q4046"/>
      <c r="AQ4046" s="20"/>
    </row>
    <row r="4047" spans="2:43">
      <c r="B4047"/>
      <c r="C4047"/>
      <c r="D4047"/>
      <c r="Q4047"/>
      <c r="AQ4047" s="20"/>
    </row>
    <row r="4048" spans="2:43">
      <c r="B4048"/>
      <c r="C4048"/>
      <c r="D4048"/>
      <c r="Q4048"/>
      <c r="AQ4048" s="20"/>
    </row>
    <row r="4049" spans="2:43">
      <c r="B4049"/>
      <c r="C4049"/>
      <c r="D4049"/>
      <c r="Q4049"/>
      <c r="AQ4049" s="20"/>
    </row>
    <row r="4050" spans="2:43">
      <c r="B4050"/>
      <c r="C4050"/>
      <c r="D4050"/>
      <c r="Q4050"/>
      <c r="AQ4050" s="20"/>
    </row>
    <row r="4051" spans="2:43">
      <c r="B4051"/>
      <c r="C4051"/>
      <c r="D4051"/>
      <c r="Q4051"/>
      <c r="AQ4051" s="20"/>
    </row>
    <row r="4052" spans="2:43">
      <c r="B4052"/>
      <c r="C4052"/>
      <c r="D4052"/>
      <c r="Q4052"/>
      <c r="AQ4052" s="20"/>
    </row>
    <row r="4053" spans="2:43">
      <c r="B4053"/>
      <c r="C4053"/>
      <c r="D4053"/>
      <c r="Q4053"/>
      <c r="AQ4053" s="20"/>
    </row>
    <row r="4054" spans="2:43">
      <c r="B4054"/>
      <c r="C4054"/>
      <c r="D4054"/>
      <c r="Q4054"/>
      <c r="AQ4054" s="20"/>
    </row>
    <row r="4055" spans="2:43">
      <c r="B4055"/>
      <c r="C4055"/>
      <c r="D4055"/>
      <c r="Q4055"/>
      <c r="AQ4055" s="20"/>
    </row>
    <row r="4056" spans="2:43">
      <c r="B4056"/>
      <c r="C4056"/>
      <c r="D4056"/>
      <c r="Q4056"/>
      <c r="AQ4056" s="20"/>
    </row>
    <row r="4057" spans="2:43">
      <c r="B4057"/>
      <c r="C4057"/>
      <c r="D4057"/>
      <c r="Q4057"/>
      <c r="AQ4057" s="20"/>
    </row>
    <row r="4058" spans="2:43">
      <c r="B4058"/>
      <c r="C4058"/>
      <c r="D4058"/>
      <c r="Q4058"/>
      <c r="AQ4058" s="20"/>
    </row>
    <row r="4059" spans="2:43">
      <c r="B4059"/>
      <c r="C4059"/>
      <c r="D4059"/>
      <c r="Q4059"/>
      <c r="AQ4059" s="20"/>
    </row>
    <row r="4060" spans="2:43">
      <c r="B4060"/>
      <c r="C4060"/>
      <c r="D4060"/>
      <c r="Q4060"/>
      <c r="AQ4060" s="20"/>
    </row>
    <row r="4061" spans="2:43">
      <c r="B4061"/>
      <c r="C4061"/>
      <c r="D4061"/>
      <c r="Q4061"/>
      <c r="AQ4061" s="20"/>
    </row>
    <row r="4062" spans="2:43">
      <c r="B4062"/>
      <c r="C4062"/>
      <c r="D4062"/>
      <c r="Q4062"/>
      <c r="AQ4062" s="20"/>
    </row>
    <row r="4063" spans="2:43">
      <c r="B4063"/>
      <c r="C4063"/>
      <c r="D4063"/>
      <c r="Q4063"/>
      <c r="AQ4063" s="20"/>
    </row>
    <row r="4064" spans="2:43">
      <c r="B4064"/>
      <c r="C4064"/>
      <c r="D4064"/>
      <c r="Q4064"/>
      <c r="AQ4064" s="20"/>
    </row>
    <row r="4065" spans="2:43">
      <c r="B4065"/>
      <c r="C4065"/>
      <c r="D4065"/>
      <c r="Q4065"/>
      <c r="AQ4065" s="20"/>
    </row>
    <row r="4066" spans="2:43">
      <c r="B4066"/>
      <c r="C4066"/>
      <c r="D4066"/>
      <c r="Q4066"/>
      <c r="AQ4066" s="20"/>
    </row>
    <row r="4067" spans="2:43">
      <c r="B4067"/>
      <c r="C4067"/>
      <c r="D4067"/>
      <c r="Q4067"/>
      <c r="AQ4067" s="20"/>
    </row>
    <row r="4068" spans="2:43">
      <c r="B4068"/>
      <c r="C4068"/>
      <c r="D4068"/>
      <c r="Q4068"/>
      <c r="AQ4068" s="20"/>
    </row>
    <row r="4069" spans="2:43">
      <c r="B4069"/>
      <c r="C4069"/>
      <c r="D4069"/>
      <c r="Q4069"/>
      <c r="AQ4069" s="20"/>
    </row>
    <row r="4070" spans="2:43">
      <c r="B4070"/>
      <c r="C4070"/>
      <c r="D4070"/>
      <c r="Q4070"/>
      <c r="AQ4070" s="20"/>
    </row>
    <row r="4071" spans="2:43">
      <c r="B4071"/>
      <c r="C4071"/>
      <c r="D4071"/>
      <c r="Q4071"/>
      <c r="AQ4071" s="20"/>
    </row>
    <row r="4072" spans="2:43">
      <c r="B4072"/>
      <c r="C4072"/>
      <c r="D4072"/>
      <c r="Q4072"/>
      <c r="AQ4072" s="20"/>
    </row>
    <row r="4073" spans="2:43">
      <c r="B4073"/>
      <c r="C4073"/>
      <c r="D4073"/>
      <c r="Q4073"/>
      <c r="AQ4073" s="20"/>
    </row>
    <row r="4074" spans="2:43">
      <c r="B4074"/>
      <c r="C4074"/>
      <c r="D4074"/>
      <c r="Q4074"/>
      <c r="AQ4074" s="20"/>
    </row>
    <row r="4075" spans="2:43">
      <c r="B4075"/>
      <c r="C4075"/>
      <c r="D4075"/>
      <c r="Q4075"/>
      <c r="AQ4075" s="20"/>
    </row>
    <row r="4076" spans="2:43">
      <c r="B4076"/>
      <c r="C4076"/>
      <c r="D4076"/>
      <c r="Q4076"/>
      <c r="AQ4076" s="20"/>
    </row>
    <row r="4077" spans="2:43">
      <c r="B4077"/>
      <c r="C4077"/>
      <c r="D4077"/>
      <c r="Q4077"/>
      <c r="AQ4077" s="20"/>
    </row>
    <row r="4078" spans="2:43">
      <c r="B4078"/>
      <c r="C4078"/>
      <c r="D4078"/>
      <c r="Q4078"/>
      <c r="AQ4078" s="20"/>
    </row>
    <row r="4079" spans="2:43">
      <c r="B4079"/>
      <c r="C4079"/>
      <c r="D4079"/>
      <c r="Q4079"/>
      <c r="AQ4079" s="20"/>
    </row>
    <row r="4080" spans="2:43">
      <c r="B4080"/>
      <c r="C4080"/>
      <c r="D4080"/>
      <c r="Q4080"/>
      <c r="AQ4080" s="20"/>
    </row>
    <row r="4081" spans="2:43">
      <c r="B4081"/>
      <c r="C4081"/>
      <c r="D4081"/>
      <c r="Q4081"/>
      <c r="AQ4081" s="20"/>
    </row>
    <row r="4082" spans="2:43">
      <c r="B4082"/>
      <c r="C4082"/>
      <c r="D4082"/>
      <c r="Q4082"/>
      <c r="AQ4082" s="20"/>
    </row>
    <row r="4083" spans="2:43">
      <c r="B4083"/>
      <c r="C4083"/>
      <c r="D4083"/>
      <c r="Q4083"/>
      <c r="AQ4083" s="20"/>
    </row>
    <row r="4084" spans="2:43">
      <c r="B4084"/>
      <c r="C4084"/>
      <c r="D4084"/>
      <c r="Q4084"/>
      <c r="AQ4084" s="20"/>
    </row>
    <row r="4085" spans="2:43">
      <c r="B4085"/>
      <c r="C4085"/>
      <c r="D4085"/>
      <c r="Q4085"/>
      <c r="AQ4085" s="20"/>
    </row>
    <row r="4086" spans="2:43">
      <c r="B4086"/>
      <c r="C4086"/>
      <c r="D4086"/>
      <c r="Q4086"/>
      <c r="AQ4086" s="20"/>
    </row>
    <row r="4087" spans="2:43">
      <c r="B4087"/>
      <c r="C4087"/>
      <c r="D4087"/>
      <c r="Q4087"/>
      <c r="AQ4087" s="20"/>
    </row>
    <row r="4088" spans="2:43">
      <c r="B4088"/>
      <c r="C4088"/>
      <c r="D4088"/>
      <c r="Q4088"/>
      <c r="AQ4088" s="20"/>
    </row>
    <row r="4089" spans="2:43">
      <c r="B4089"/>
      <c r="C4089"/>
      <c r="D4089"/>
      <c r="Q4089"/>
      <c r="AQ4089" s="20"/>
    </row>
    <row r="4090" spans="2:43">
      <c r="B4090"/>
      <c r="C4090"/>
      <c r="D4090"/>
      <c r="Q4090"/>
      <c r="AQ4090" s="20"/>
    </row>
    <row r="4091" spans="2:43">
      <c r="B4091"/>
      <c r="C4091"/>
      <c r="D4091"/>
      <c r="Q4091"/>
      <c r="AQ4091" s="20"/>
    </row>
    <row r="4092" spans="2:43">
      <c r="B4092"/>
      <c r="C4092"/>
      <c r="D4092"/>
      <c r="Q4092"/>
      <c r="AQ4092" s="20"/>
    </row>
    <row r="4093" spans="2:43">
      <c r="B4093"/>
      <c r="C4093"/>
      <c r="D4093"/>
      <c r="Q4093"/>
      <c r="AQ4093" s="20"/>
    </row>
    <row r="4094" spans="2:43">
      <c r="B4094"/>
      <c r="C4094"/>
      <c r="D4094"/>
      <c r="Q4094"/>
      <c r="AQ4094" s="20"/>
    </row>
    <row r="4095" spans="2:43">
      <c r="B4095"/>
      <c r="C4095"/>
      <c r="D4095"/>
      <c r="Q4095"/>
      <c r="AQ4095" s="20"/>
    </row>
    <row r="4096" spans="2:43">
      <c r="B4096"/>
      <c r="C4096"/>
      <c r="D4096"/>
      <c r="Q4096"/>
      <c r="AQ4096" s="20"/>
    </row>
    <row r="4097" spans="2:43">
      <c r="B4097"/>
      <c r="C4097"/>
      <c r="D4097"/>
      <c r="AQ4097" s="20"/>
    </row>
    <row r="4098" spans="2:43">
      <c r="B4098"/>
      <c r="C4098"/>
      <c r="D4098"/>
      <c r="AQ4098" s="20"/>
    </row>
    <row r="4099" spans="2:43">
      <c r="B4099"/>
      <c r="C4099"/>
      <c r="D4099"/>
      <c r="AQ4099" s="20"/>
    </row>
    <row r="4100" spans="2:43">
      <c r="B4100"/>
      <c r="C4100"/>
      <c r="D4100"/>
      <c r="AQ4100" s="20"/>
    </row>
    <row r="4101" spans="2:43">
      <c r="B4101"/>
      <c r="C4101"/>
      <c r="D4101"/>
      <c r="AQ4101" s="20"/>
    </row>
    <row r="4102" spans="2:43">
      <c r="B4102"/>
      <c r="C4102"/>
      <c r="D4102"/>
      <c r="AQ4102" s="20"/>
    </row>
    <row r="4103" spans="2:43">
      <c r="B4103"/>
      <c r="C4103"/>
      <c r="D4103"/>
      <c r="AQ4103" s="20"/>
    </row>
    <row r="4104" spans="2:43">
      <c r="B4104"/>
      <c r="C4104"/>
      <c r="D4104"/>
      <c r="AQ4104" s="20"/>
    </row>
    <row r="4105" spans="2:43">
      <c r="B4105"/>
      <c r="C4105"/>
      <c r="D4105"/>
      <c r="AQ4105" s="20"/>
    </row>
    <row r="4106" spans="2:43">
      <c r="B4106"/>
      <c r="C4106"/>
      <c r="D4106"/>
      <c r="AQ4106" s="20"/>
    </row>
    <row r="4107" spans="2:43">
      <c r="B4107"/>
      <c r="C4107"/>
      <c r="D4107"/>
      <c r="AQ4107" s="20"/>
    </row>
    <row r="4108" spans="2:43">
      <c r="B4108"/>
      <c r="C4108"/>
      <c r="D4108"/>
      <c r="AQ4108" s="20"/>
    </row>
    <row r="4109" spans="2:43">
      <c r="B4109"/>
      <c r="C4109"/>
      <c r="D4109"/>
      <c r="AQ4109" s="20"/>
    </row>
    <row r="4110" spans="2:43">
      <c r="B4110"/>
      <c r="C4110"/>
      <c r="D4110"/>
      <c r="AQ4110" s="20"/>
    </row>
    <row r="4111" spans="2:43">
      <c r="B4111"/>
      <c r="C4111"/>
      <c r="D4111"/>
      <c r="AQ4111" s="20"/>
    </row>
    <row r="4112" spans="2:43">
      <c r="B4112"/>
      <c r="C4112"/>
      <c r="D4112"/>
      <c r="AQ4112" s="20"/>
    </row>
    <row r="4113" spans="2:43">
      <c r="B4113"/>
      <c r="C4113"/>
      <c r="D4113"/>
      <c r="AQ4113" s="20"/>
    </row>
    <row r="4114" spans="2:43">
      <c r="B4114"/>
      <c r="C4114"/>
      <c r="D4114"/>
      <c r="AQ4114" s="20"/>
    </row>
    <row r="4115" spans="2:43">
      <c r="B4115"/>
      <c r="C4115"/>
      <c r="D4115"/>
      <c r="AQ4115" s="20"/>
    </row>
    <row r="4116" spans="2:43">
      <c r="B4116"/>
      <c r="C4116"/>
      <c r="D4116"/>
      <c r="AQ4116" s="20"/>
    </row>
    <row r="4117" spans="2:43">
      <c r="B4117"/>
      <c r="C4117"/>
      <c r="D4117"/>
      <c r="AQ4117" s="20"/>
    </row>
    <row r="4118" spans="2:43">
      <c r="B4118"/>
      <c r="C4118"/>
      <c r="D4118"/>
      <c r="AQ4118" s="20"/>
    </row>
    <row r="4119" spans="2:43">
      <c r="B4119"/>
      <c r="C4119"/>
      <c r="D4119"/>
      <c r="AQ4119" s="20"/>
    </row>
    <row r="4120" spans="2:43">
      <c r="B4120"/>
      <c r="C4120"/>
      <c r="D4120"/>
      <c r="AQ4120" s="20"/>
    </row>
    <row r="4121" spans="2:43">
      <c r="B4121"/>
      <c r="C4121"/>
      <c r="D4121"/>
      <c r="AQ4121" s="20"/>
    </row>
    <row r="4122" spans="2:43">
      <c r="B4122"/>
      <c r="C4122"/>
      <c r="D4122"/>
      <c r="AQ4122" s="20"/>
    </row>
    <row r="4123" spans="2:43">
      <c r="B4123"/>
      <c r="C4123"/>
      <c r="D4123"/>
      <c r="AQ4123" s="20"/>
    </row>
    <row r="4124" spans="2:43">
      <c r="B4124"/>
      <c r="C4124"/>
      <c r="D4124"/>
      <c r="AQ4124" s="20"/>
    </row>
    <row r="4125" spans="2:43">
      <c r="B4125"/>
      <c r="C4125"/>
      <c r="D4125"/>
      <c r="AQ4125" s="20"/>
    </row>
    <row r="4126" spans="2:43">
      <c r="B4126"/>
      <c r="C4126"/>
      <c r="D4126"/>
      <c r="AQ4126" s="20"/>
    </row>
    <row r="4127" spans="2:43">
      <c r="B4127"/>
      <c r="C4127"/>
      <c r="D4127"/>
      <c r="AQ4127" s="20"/>
    </row>
    <row r="4128" spans="2:43">
      <c r="B4128"/>
      <c r="C4128"/>
      <c r="D4128"/>
      <c r="AQ4128" s="20"/>
    </row>
    <row r="4129" spans="2:43">
      <c r="B4129"/>
      <c r="C4129"/>
      <c r="D4129"/>
      <c r="AQ4129" s="20"/>
    </row>
    <row r="4130" spans="2:43">
      <c r="B4130"/>
      <c r="C4130"/>
      <c r="D4130"/>
      <c r="AQ4130" s="20"/>
    </row>
    <row r="4131" spans="2:43">
      <c r="B4131"/>
      <c r="C4131"/>
      <c r="D4131"/>
      <c r="AQ4131" s="20"/>
    </row>
    <row r="4132" spans="2:43">
      <c r="B4132"/>
      <c r="C4132"/>
      <c r="D4132"/>
      <c r="AQ4132" s="20"/>
    </row>
    <row r="4133" spans="2:43">
      <c r="B4133"/>
      <c r="C4133"/>
      <c r="D4133"/>
      <c r="AQ4133" s="20"/>
    </row>
    <row r="4134" spans="2:43">
      <c r="B4134"/>
      <c r="C4134"/>
      <c r="D4134"/>
      <c r="AQ4134" s="20"/>
    </row>
    <row r="4135" spans="2:43">
      <c r="B4135"/>
      <c r="C4135"/>
      <c r="D4135"/>
      <c r="AQ4135" s="20"/>
    </row>
    <row r="4136" spans="2:43">
      <c r="B4136"/>
      <c r="C4136"/>
      <c r="D4136"/>
      <c r="AQ4136" s="20"/>
    </row>
    <row r="4137" spans="2:43">
      <c r="B4137"/>
      <c r="C4137"/>
      <c r="D4137"/>
      <c r="AQ4137" s="20"/>
    </row>
    <row r="4138" spans="2:43">
      <c r="B4138"/>
      <c r="C4138"/>
      <c r="D4138"/>
      <c r="AQ4138" s="20"/>
    </row>
    <row r="4139" spans="2:43">
      <c r="B4139"/>
      <c r="C4139"/>
      <c r="D4139"/>
      <c r="AQ4139" s="20"/>
    </row>
    <row r="4140" spans="2:43">
      <c r="B4140"/>
      <c r="C4140"/>
      <c r="D4140"/>
      <c r="AQ4140" s="20"/>
    </row>
    <row r="4141" spans="2:43">
      <c r="B4141"/>
      <c r="C4141"/>
      <c r="D4141"/>
      <c r="AQ4141" s="20"/>
    </row>
    <row r="4142" spans="2:43">
      <c r="B4142"/>
      <c r="C4142"/>
      <c r="D4142"/>
      <c r="AQ4142" s="20"/>
    </row>
    <row r="4143" spans="2:43">
      <c r="B4143"/>
      <c r="C4143"/>
      <c r="D4143"/>
      <c r="AQ4143" s="20"/>
    </row>
    <row r="4144" spans="2:43">
      <c r="B4144"/>
      <c r="C4144"/>
      <c r="D4144"/>
      <c r="AQ4144" s="20"/>
    </row>
    <row r="4145" spans="2:43">
      <c r="B4145"/>
      <c r="C4145"/>
      <c r="D4145"/>
      <c r="AQ4145" s="20"/>
    </row>
    <row r="4146" spans="2:43">
      <c r="B4146"/>
      <c r="C4146"/>
      <c r="D4146"/>
      <c r="AQ4146" s="20"/>
    </row>
    <row r="4147" spans="2:43">
      <c r="B4147"/>
      <c r="C4147"/>
      <c r="D4147"/>
      <c r="AQ4147" s="20"/>
    </row>
    <row r="4148" spans="2:43">
      <c r="B4148"/>
      <c r="C4148"/>
      <c r="D4148"/>
      <c r="AQ4148" s="20"/>
    </row>
    <row r="4149" spans="2:43">
      <c r="B4149"/>
      <c r="C4149"/>
      <c r="D4149"/>
      <c r="AQ4149" s="20"/>
    </row>
    <row r="4150" spans="2:43">
      <c r="B4150"/>
      <c r="C4150"/>
      <c r="D4150"/>
      <c r="AQ4150" s="20"/>
    </row>
    <row r="4151" spans="2:43">
      <c r="B4151"/>
      <c r="C4151"/>
      <c r="D4151"/>
      <c r="AQ4151" s="20"/>
    </row>
    <row r="4152" spans="2:43">
      <c r="B4152"/>
      <c r="C4152"/>
      <c r="D4152"/>
      <c r="AQ4152" s="20"/>
    </row>
    <row r="4153" spans="2:43">
      <c r="B4153"/>
      <c r="C4153"/>
      <c r="D4153"/>
      <c r="AQ4153" s="20"/>
    </row>
    <row r="4154" spans="2:43">
      <c r="B4154"/>
      <c r="C4154"/>
      <c r="D4154"/>
      <c r="AQ4154" s="20"/>
    </row>
    <row r="4155" spans="2:43">
      <c r="B4155"/>
      <c r="C4155"/>
      <c r="D4155"/>
      <c r="AQ4155" s="20"/>
    </row>
    <row r="4156" spans="2:43">
      <c r="B4156"/>
      <c r="C4156"/>
      <c r="D4156"/>
      <c r="AQ4156" s="20"/>
    </row>
    <row r="4157" spans="2:43">
      <c r="B4157"/>
      <c r="C4157"/>
      <c r="D4157"/>
      <c r="AQ4157" s="20"/>
    </row>
    <row r="4158" spans="2:43">
      <c r="B4158"/>
      <c r="C4158"/>
      <c r="D4158"/>
      <c r="AQ4158" s="20"/>
    </row>
    <row r="4159" spans="2:43">
      <c r="B4159"/>
      <c r="C4159"/>
      <c r="D4159"/>
      <c r="AQ4159" s="20"/>
    </row>
    <row r="4160" spans="2:43">
      <c r="B4160"/>
      <c r="C4160"/>
      <c r="D4160"/>
      <c r="AQ4160" s="20"/>
    </row>
    <row r="4161" spans="2:43">
      <c r="B4161"/>
      <c r="C4161"/>
      <c r="D4161"/>
      <c r="AQ4161" s="20"/>
    </row>
    <row r="4162" spans="2:43">
      <c r="B4162"/>
      <c r="C4162"/>
      <c r="D4162"/>
      <c r="AQ4162" s="20"/>
    </row>
    <row r="4163" spans="2:43">
      <c r="B4163"/>
      <c r="C4163"/>
      <c r="D4163"/>
      <c r="AQ4163" s="20"/>
    </row>
    <row r="4164" spans="2:43">
      <c r="B4164"/>
      <c r="C4164"/>
      <c r="D4164"/>
      <c r="AQ4164" s="20"/>
    </row>
    <row r="4165" spans="2:43">
      <c r="B4165"/>
      <c r="C4165"/>
      <c r="D4165"/>
      <c r="AQ4165" s="20"/>
    </row>
    <row r="4166" spans="2:43">
      <c r="B4166"/>
      <c r="C4166"/>
      <c r="D4166"/>
      <c r="AQ4166" s="20"/>
    </row>
    <row r="4167" spans="2:43">
      <c r="B4167"/>
      <c r="C4167"/>
      <c r="D4167"/>
      <c r="AQ4167" s="20"/>
    </row>
    <row r="4168" spans="2:43">
      <c r="B4168"/>
      <c r="C4168"/>
      <c r="D4168"/>
      <c r="AQ4168" s="20"/>
    </row>
    <row r="4169" spans="2:43">
      <c r="B4169"/>
      <c r="C4169"/>
      <c r="D4169"/>
      <c r="AQ4169" s="20"/>
    </row>
    <row r="4170" spans="2:43">
      <c r="B4170"/>
      <c r="C4170"/>
      <c r="D4170"/>
      <c r="AQ4170" s="20"/>
    </row>
    <row r="4171" spans="2:43">
      <c r="B4171"/>
      <c r="C4171"/>
      <c r="D4171"/>
      <c r="AQ4171" s="20"/>
    </row>
    <row r="4172" spans="2:43">
      <c r="B4172"/>
      <c r="C4172"/>
      <c r="D4172"/>
      <c r="AQ4172" s="20"/>
    </row>
    <row r="4173" spans="2:43">
      <c r="B4173"/>
      <c r="C4173"/>
      <c r="D4173"/>
      <c r="AQ4173" s="20"/>
    </row>
    <row r="4174" spans="2:43">
      <c r="B4174"/>
      <c r="C4174"/>
      <c r="D4174"/>
      <c r="AQ4174" s="20"/>
    </row>
    <row r="4175" spans="2:43">
      <c r="B4175"/>
      <c r="C4175"/>
      <c r="D4175"/>
      <c r="AQ4175" s="20"/>
    </row>
    <row r="4176" spans="2:43">
      <c r="B4176"/>
      <c r="C4176"/>
      <c r="D4176"/>
      <c r="AQ4176" s="20"/>
    </row>
    <row r="4177" spans="2:43">
      <c r="B4177"/>
      <c r="C4177"/>
      <c r="D4177"/>
      <c r="AQ4177" s="20"/>
    </row>
    <row r="4178" spans="2:43">
      <c r="B4178"/>
      <c r="C4178"/>
      <c r="D4178"/>
      <c r="AQ4178" s="20"/>
    </row>
    <row r="4179" spans="2:43">
      <c r="B4179"/>
      <c r="C4179"/>
      <c r="D4179"/>
      <c r="AQ4179" s="20"/>
    </row>
    <row r="4180" spans="2:43">
      <c r="B4180"/>
      <c r="C4180"/>
      <c r="D4180"/>
      <c r="AQ4180" s="20"/>
    </row>
    <row r="4181" spans="2:43">
      <c r="B4181"/>
      <c r="C4181"/>
      <c r="D4181"/>
      <c r="AQ4181" s="20"/>
    </row>
    <row r="4182" spans="2:43">
      <c r="B4182"/>
      <c r="C4182"/>
      <c r="D4182"/>
      <c r="AQ4182" s="20"/>
    </row>
    <row r="4183" spans="2:43">
      <c r="B4183"/>
      <c r="C4183"/>
      <c r="D4183"/>
      <c r="AQ4183" s="20"/>
    </row>
    <row r="4184" spans="2:43">
      <c r="B4184"/>
      <c r="C4184"/>
      <c r="D4184"/>
      <c r="AQ4184" s="20"/>
    </row>
    <row r="4185" spans="2:43">
      <c r="B4185"/>
      <c r="C4185"/>
      <c r="D4185"/>
      <c r="AQ4185" s="20"/>
    </row>
    <row r="4186" spans="2:43">
      <c r="B4186"/>
      <c r="C4186"/>
      <c r="D4186"/>
      <c r="AQ4186" s="20"/>
    </row>
    <row r="4187" spans="2:43">
      <c r="B4187"/>
      <c r="C4187"/>
      <c r="D4187"/>
      <c r="AQ4187" s="20"/>
    </row>
    <row r="4188" spans="2:43">
      <c r="B4188"/>
      <c r="C4188"/>
      <c r="D4188"/>
      <c r="AQ4188" s="20"/>
    </row>
    <row r="4189" spans="2:43">
      <c r="B4189"/>
      <c r="C4189"/>
      <c r="D4189"/>
      <c r="AQ4189" s="20"/>
    </row>
    <row r="4190" spans="2:43">
      <c r="B4190"/>
      <c r="C4190"/>
      <c r="D4190"/>
      <c r="AQ4190" s="20"/>
    </row>
    <row r="4191" spans="2:43">
      <c r="B4191"/>
      <c r="C4191"/>
      <c r="D4191"/>
      <c r="AQ4191" s="20"/>
    </row>
    <row r="4192" spans="2:43">
      <c r="B4192"/>
      <c r="C4192"/>
      <c r="D4192"/>
      <c r="AQ4192" s="20"/>
    </row>
    <row r="4193" spans="2:43">
      <c r="B4193"/>
      <c r="C4193"/>
      <c r="D4193"/>
      <c r="AQ4193" s="20"/>
    </row>
    <row r="4194" spans="2:43">
      <c r="B4194"/>
      <c r="C4194"/>
      <c r="D4194"/>
      <c r="AQ4194" s="20"/>
    </row>
    <row r="4195" spans="2:43">
      <c r="B4195"/>
      <c r="C4195"/>
      <c r="D4195"/>
      <c r="AQ4195" s="20"/>
    </row>
    <row r="4196" spans="2:43">
      <c r="B4196"/>
      <c r="C4196"/>
      <c r="D4196"/>
      <c r="AQ4196" s="20"/>
    </row>
    <row r="4197" spans="2:43">
      <c r="B4197"/>
      <c r="C4197"/>
      <c r="D4197"/>
      <c r="AQ4197" s="20"/>
    </row>
    <row r="4198" spans="2:43">
      <c r="B4198"/>
      <c r="C4198"/>
      <c r="D4198"/>
      <c r="AQ4198" s="20"/>
    </row>
    <row r="4199" spans="2:43">
      <c r="B4199"/>
      <c r="C4199"/>
      <c r="D4199"/>
      <c r="AQ4199" s="20"/>
    </row>
    <row r="4200" spans="2:43">
      <c r="B4200"/>
      <c r="C4200"/>
      <c r="D4200"/>
      <c r="AQ4200" s="20"/>
    </row>
    <row r="4201" spans="2:43">
      <c r="B4201"/>
      <c r="C4201"/>
      <c r="D4201"/>
      <c r="AQ4201" s="20"/>
    </row>
    <row r="4202" spans="2:43">
      <c r="B4202"/>
      <c r="C4202"/>
      <c r="D4202"/>
      <c r="AQ4202" s="20"/>
    </row>
    <row r="4203" spans="2:43">
      <c r="B4203"/>
      <c r="C4203"/>
      <c r="D4203"/>
      <c r="AQ4203" s="20"/>
    </row>
    <row r="4204" spans="2:43">
      <c r="B4204"/>
      <c r="C4204"/>
      <c r="D4204"/>
      <c r="AQ4204" s="20"/>
    </row>
    <row r="4205" spans="2:43">
      <c r="B4205"/>
      <c r="C4205"/>
      <c r="D4205"/>
      <c r="AQ4205" s="20"/>
    </row>
    <row r="4206" spans="2:43">
      <c r="B4206"/>
      <c r="C4206"/>
      <c r="D4206"/>
      <c r="AQ4206" s="20"/>
    </row>
    <row r="4207" spans="2:43">
      <c r="B4207"/>
      <c r="C4207"/>
      <c r="D4207"/>
      <c r="AQ4207" s="20"/>
    </row>
    <row r="4208" spans="2:43">
      <c r="B4208"/>
      <c r="C4208"/>
      <c r="D4208"/>
      <c r="AQ4208" s="20"/>
    </row>
    <row r="4209" spans="2:43">
      <c r="B4209"/>
      <c r="C4209"/>
      <c r="D4209"/>
      <c r="AQ4209" s="20"/>
    </row>
    <row r="4210" spans="2:43">
      <c r="B4210"/>
      <c r="C4210"/>
      <c r="D4210"/>
      <c r="AQ4210" s="20"/>
    </row>
    <row r="4211" spans="2:43">
      <c r="B4211"/>
      <c r="C4211"/>
      <c r="D4211"/>
      <c r="AQ4211" s="20"/>
    </row>
    <row r="4212" spans="2:43">
      <c r="B4212"/>
      <c r="C4212"/>
      <c r="D4212"/>
    </row>
    <row r="4213" spans="2:43">
      <c r="B4213"/>
      <c r="C4213"/>
      <c r="D4213"/>
    </row>
    <row r="4214" spans="2:43">
      <c r="B4214"/>
      <c r="C4214"/>
      <c r="D4214"/>
    </row>
    <row r="4215" spans="2:43">
      <c r="B4215"/>
      <c r="C4215"/>
      <c r="D4215"/>
    </row>
    <row r="4216" spans="2:43">
      <c r="B4216"/>
      <c r="C4216"/>
      <c r="D4216"/>
    </row>
    <row r="4217" spans="2:43">
      <c r="B4217"/>
      <c r="C4217"/>
      <c r="D4217"/>
    </row>
    <row r="4218" spans="2:43">
      <c r="B4218"/>
      <c r="C4218"/>
      <c r="D4218"/>
    </row>
    <row r="4219" spans="2:43">
      <c r="B4219"/>
      <c r="C4219"/>
      <c r="D4219"/>
    </row>
    <row r="4220" spans="2:43">
      <c r="B4220"/>
      <c r="C4220"/>
      <c r="D4220"/>
    </row>
    <row r="4221" spans="2:43">
      <c r="B4221"/>
      <c r="C4221"/>
      <c r="D4221"/>
    </row>
    <row r="4222" spans="2:43">
      <c r="B4222"/>
      <c r="C4222"/>
      <c r="D4222"/>
    </row>
    <row r="4223" spans="2:43">
      <c r="B4223"/>
      <c r="C4223"/>
      <c r="D4223"/>
    </row>
    <row r="4224" spans="2:43">
      <c r="B4224"/>
      <c r="C4224"/>
      <c r="D4224"/>
    </row>
    <row r="4225" spans="2:4">
      <c r="B4225"/>
      <c r="C4225"/>
      <c r="D4225"/>
    </row>
    <row r="4226" spans="2:4">
      <c r="B4226"/>
      <c r="C4226"/>
      <c r="D4226"/>
    </row>
    <row r="4227" spans="2:4">
      <c r="B4227"/>
      <c r="C4227"/>
      <c r="D4227"/>
    </row>
    <row r="4228" spans="2:4">
      <c r="B4228"/>
      <c r="C4228"/>
      <c r="D4228"/>
    </row>
    <row r="4229" spans="2:4">
      <c r="B4229"/>
      <c r="C4229"/>
      <c r="D4229"/>
    </row>
    <row r="4230" spans="2:4">
      <c r="B4230"/>
      <c r="C4230"/>
      <c r="D4230"/>
    </row>
    <row r="4231" spans="2:4">
      <c r="B4231"/>
      <c r="C4231"/>
      <c r="D4231"/>
    </row>
    <row r="4232" spans="2:4">
      <c r="B4232"/>
      <c r="C4232"/>
      <c r="D4232"/>
    </row>
    <row r="4233" spans="2:4">
      <c r="B4233"/>
      <c r="C4233"/>
      <c r="D4233"/>
    </row>
    <row r="4234" spans="2:4">
      <c r="B4234"/>
      <c r="C4234"/>
      <c r="D4234"/>
    </row>
    <row r="4235" spans="2:4">
      <c r="B4235"/>
      <c r="C4235"/>
      <c r="D4235"/>
    </row>
    <row r="4236" spans="2:4">
      <c r="B4236"/>
      <c r="C4236"/>
      <c r="D4236"/>
    </row>
    <row r="4237" spans="2:4">
      <c r="B4237"/>
      <c r="C4237"/>
      <c r="D4237"/>
    </row>
    <row r="4238" spans="2:4">
      <c r="B4238"/>
      <c r="C4238"/>
      <c r="D4238"/>
    </row>
    <row r="4239" spans="2:4">
      <c r="B4239"/>
      <c r="C4239"/>
      <c r="D4239"/>
    </row>
    <row r="4240" spans="2:4">
      <c r="B4240"/>
      <c r="C4240"/>
      <c r="D4240"/>
    </row>
    <row r="4241" spans="2:4">
      <c r="B4241"/>
      <c r="C4241"/>
      <c r="D4241"/>
    </row>
    <row r="4242" spans="2:4">
      <c r="B4242"/>
      <c r="C4242"/>
      <c r="D4242"/>
    </row>
    <row r="4243" spans="2:4">
      <c r="B4243"/>
      <c r="C4243"/>
      <c r="D4243"/>
    </row>
    <row r="4244" spans="2:4">
      <c r="B4244"/>
      <c r="C4244"/>
      <c r="D4244"/>
    </row>
    <row r="4245" spans="2:4">
      <c r="B4245"/>
      <c r="C4245"/>
      <c r="D4245"/>
    </row>
    <row r="4246" spans="2:4">
      <c r="B4246"/>
      <c r="C4246"/>
      <c r="D4246"/>
    </row>
    <row r="4247" spans="2:4">
      <c r="B4247"/>
      <c r="C4247"/>
      <c r="D4247"/>
    </row>
    <row r="4248" spans="2:4">
      <c r="B4248"/>
      <c r="C4248"/>
      <c r="D4248"/>
    </row>
    <row r="4421" spans="14:15">
      <c r="N4421" s="3"/>
      <c r="O4421" s="3"/>
    </row>
    <row r="4427" spans="14:15">
      <c r="N4427" s="3"/>
      <c r="O4427" s="3"/>
    </row>
    <row r="4429" spans="14:15">
      <c r="N4429" s="3"/>
      <c r="O4429" s="3"/>
    </row>
    <row r="4431" spans="14:15">
      <c r="N4431" s="3"/>
      <c r="O4431" s="3"/>
    </row>
    <row r="4432" spans="14:15">
      <c r="N4432" s="3"/>
      <c r="O4432" s="3"/>
    </row>
    <row r="4566" spans="14:15">
      <c r="N4566" s="3"/>
      <c r="O4566" s="3"/>
    </row>
    <row r="4567" spans="14:15">
      <c r="N4567" s="3"/>
      <c r="O4567" s="3"/>
    </row>
    <row r="4598" spans="14:15">
      <c r="N4598" s="3"/>
      <c r="O4598" s="3"/>
    </row>
    <row r="4772" spans="14:15">
      <c r="N4772" s="3"/>
      <c r="O4772" s="3"/>
    </row>
    <row r="5036" spans="14:15">
      <c r="N5036" s="3"/>
      <c r="O5036" s="3"/>
    </row>
    <row r="5202" spans="14:15">
      <c r="N5202" s="3"/>
      <c r="O5202" s="3"/>
    </row>
  </sheetData>
  <mergeCells count="12">
    <mergeCell ref="BP166:BV166"/>
    <mergeCell ref="BM168:BM174"/>
    <mergeCell ref="A1:D1"/>
    <mergeCell ref="F1:I1"/>
    <mergeCell ref="K1:N1"/>
    <mergeCell ref="P1:S1"/>
    <mergeCell ref="U1:X1"/>
    <mergeCell ref="CE1:CJ1"/>
    <mergeCell ref="AM1:AP1"/>
    <mergeCell ref="Z1:AC1"/>
    <mergeCell ref="AE1:AH1"/>
    <mergeCell ref="AJ1:AK1"/>
  </mergeCells>
  <phoneticPr fontId="1" type="noConversion"/>
  <conditionalFormatting sqref="BP168:BV174">
    <cfRule type="dataBar" priority="9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{B915A082-0F48-4846-9833-C85969A60298}</x14:id>
        </ext>
      </extLst>
    </cfRule>
  </conditionalFormatting>
  <conditionalFormatting sqref="BP180:BP182">
    <cfRule type="dataBar" priority="1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{EC7ECC6E-D6EB-43D1-8CBF-1FC018C5C234}</x14:id>
        </ext>
      </extLst>
    </cfRule>
  </conditionalFormatting>
  <conditionalFormatting sqref="BE29:BF31">
    <cfRule type="colorScale" priority="5">
      <colorScale>
        <cfvo type="min"/>
        <cfvo type="max"/>
        <color theme="7" tint="0.79998168889431442"/>
        <color theme="7" tint="0.39997558519241921"/>
      </colorScale>
    </cfRule>
  </conditionalFormatting>
  <conditionalFormatting sqref="BE29:BE31">
    <cfRule type="colorScale" priority="4">
      <colorScale>
        <cfvo type="min"/>
        <cfvo type="max"/>
        <color theme="7" tint="0.79998168889431442"/>
        <color theme="7" tint="0.39997558519241921"/>
      </colorScale>
    </cfRule>
  </conditionalFormatting>
  <conditionalFormatting sqref="BF29:BF31">
    <cfRule type="colorScale" priority="3">
      <colorScale>
        <cfvo type="min"/>
        <cfvo type="max"/>
        <color theme="7" tint="0.79998168889431442"/>
        <color theme="7" tint="0.39997558519241921"/>
      </colorScale>
    </cfRule>
  </conditionalFormatting>
  <conditionalFormatting sqref="BQ180:BQ182">
    <cfRule type="dataBar" priority="1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{09DFF06E-4204-4516-B277-B8EA88377BBF}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15A082-0F48-4846-9833-C85969A60298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BP168:BV174</xm:sqref>
        </x14:conditionalFormatting>
        <x14:conditionalFormatting xmlns:xm="http://schemas.microsoft.com/office/excel/2006/main">
          <x14:cfRule type="dataBar" id="{EC7ECC6E-D6EB-43D1-8CBF-1FC018C5C234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BP180:BP182</xm:sqref>
        </x14:conditionalFormatting>
        <x14:conditionalFormatting xmlns:xm="http://schemas.microsoft.com/office/excel/2006/main">
          <x14:cfRule type="dataBar" id="{09DFF06E-4204-4516-B277-B8EA88377BBF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BQ180:BQ182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68791-7817-4F3F-BFA4-80A2C7621D6B}">
  <sheetPr codeName="Sheet6">
    <tabColor rgb="FFF29E6A"/>
  </sheetPr>
  <dimension ref="A1:AM70"/>
  <sheetViews>
    <sheetView showGridLines="0" topLeftCell="D1" zoomScale="55" zoomScaleNormal="55" workbookViewId="0">
      <selection activeCell="I12" sqref="I12"/>
    </sheetView>
  </sheetViews>
  <sheetFormatPr defaultRowHeight="14.45"/>
  <cols>
    <col min="1" max="1" width="9.140625" style="1"/>
    <col min="4" max="4" width="15.28515625" customWidth="1"/>
    <col min="6" max="6" width="9.140625" style="1"/>
    <col min="11" max="11" width="9.140625" style="1"/>
    <col min="12" max="12" width="10.5703125" customWidth="1"/>
    <col min="13" max="13" width="11" customWidth="1"/>
    <col min="14" max="14" width="11" bestFit="1" customWidth="1"/>
    <col min="15" max="15" width="11.28515625" bestFit="1" customWidth="1"/>
    <col min="16" max="16" width="10.7109375" style="1" customWidth="1"/>
    <col min="17" max="17" width="10.7109375" customWidth="1"/>
    <col min="18" max="18" width="11.42578125" customWidth="1"/>
    <col min="19" max="19" width="9" customWidth="1"/>
    <col min="20" max="20" width="8.7109375" style="1"/>
    <col min="21" max="21" width="9.140625" style="1"/>
    <col min="22" max="22" width="9.140625" style="2"/>
    <col min="26" max="26" width="9.140625" style="1"/>
    <col min="27" max="27" width="13.42578125" bestFit="1" customWidth="1"/>
    <col min="31" max="31" width="9.140625" style="1"/>
    <col min="36" max="36" width="9.140625" style="1"/>
    <col min="37" max="37" width="9.140625" style="2"/>
    <col min="39" max="39" width="9.140625" style="1"/>
  </cols>
  <sheetData>
    <row r="1" spans="1:39" ht="34.5" customHeight="1">
      <c r="A1" s="185" t="s">
        <v>1169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  <c r="AE1"/>
      <c r="AJ1"/>
      <c r="AK1"/>
      <c r="AM1"/>
    </row>
    <row r="2" spans="1:39" ht="48.75" customHeight="1">
      <c r="A2" s="73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E2"/>
      <c r="AJ2"/>
      <c r="AK2"/>
      <c r="AM2"/>
    </row>
    <row r="3" spans="1:39">
      <c r="A3" s="27"/>
      <c r="B3" s="26"/>
      <c r="C3" s="26"/>
      <c r="D3" s="26"/>
      <c r="E3" s="26"/>
      <c r="F3" s="27"/>
      <c r="G3" s="26"/>
      <c r="H3" s="26"/>
      <c r="I3" s="26"/>
      <c r="J3" s="26"/>
      <c r="K3" s="27"/>
      <c r="L3" s="26"/>
      <c r="M3" s="26"/>
      <c r="N3" s="26"/>
      <c r="O3" s="26"/>
      <c r="P3" s="27"/>
      <c r="Q3" s="26"/>
      <c r="R3" s="26"/>
      <c r="S3" s="26"/>
      <c r="T3" s="27"/>
      <c r="U3" s="27"/>
      <c r="V3" s="68"/>
      <c r="W3" s="26"/>
      <c r="X3" s="26"/>
      <c r="Y3" s="26"/>
      <c r="Z3" s="27"/>
      <c r="AB3" s="30"/>
      <c r="AC3" s="30"/>
    </row>
    <row r="4" spans="1:39">
      <c r="A4" s="27"/>
      <c r="B4" s="26"/>
      <c r="C4" s="26"/>
      <c r="D4" s="26"/>
      <c r="E4" s="26"/>
      <c r="F4" s="27"/>
      <c r="G4" s="26"/>
      <c r="H4" s="26"/>
      <c r="I4" s="26"/>
      <c r="J4" s="26"/>
      <c r="K4" s="27"/>
      <c r="L4" s="26"/>
      <c r="M4" s="26"/>
      <c r="N4" s="26"/>
      <c r="O4" s="26"/>
      <c r="P4" s="27"/>
      <c r="Q4" s="26"/>
      <c r="R4" s="26"/>
      <c r="S4" s="26"/>
      <c r="T4" s="27"/>
      <c r="U4" s="27"/>
      <c r="V4" s="68"/>
      <c r="W4" s="26"/>
      <c r="X4" s="26"/>
      <c r="Y4" s="26"/>
      <c r="Z4" s="27"/>
    </row>
    <row r="5" spans="1:39">
      <c r="A5" s="27"/>
      <c r="B5" s="26"/>
      <c r="C5" s="26"/>
      <c r="D5" s="26"/>
      <c r="E5" s="26"/>
      <c r="F5" s="27"/>
      <c r="G5" s="26"/>
      <c r="H5" s="26"/>
      <c r="I5" s="26"/>
      <c r="J5" s="26"/>
      <c r="K5" s="27"/>
      <c r="L5" s="26"/>
      <c r="M5" s="26"/>
      <c r="N5" s="26"/>
      <c r="O5" s="26"/>
      <c r="P5" s="27"/>
      <c r="Q5" s="26"/>
      <c r="R5" s="26"/>
      <c r="S5" s="26"/>
      <c r="T5" s="27"/>
      <c r="U5" s="27"/>
      <c r="V5" s="68"/>
      <c r="W5" s="26"/>
      <c r="X5" s="26"/>
      <c r="Y5" s="26"/>
      <c r="Z5" s="27"/>
      <c r="AA5" s="17"/>
      <c r="AB5" s="19"/>
      <c r="AC5" s="18"/>
      <c r="AD5" s="18"/>
    </row>
    <row r="6" spans="1:39">
      <c r="A6" s="27"/>
      <c r="B6" s="26"/>
      <c r="C6" s="26"/>
      <c r="D6" s="26"/>
      <c r="E6" s="26"/>
      <c r="F6" s="27"/>
      <c r="G6" s="26"/>
      <c r="H6" s="26"/>
      <c r="I6" s="26"/>
      <c r="J6" s="26"/>
      <c r="K6" s="27"/>
      <c r="L6" s="26"/>
      <c r="M6" s="26"/>
      <c r="N6" s="26"/>
      <c r="O6" s="26"/>
      <c r="P6" s="27"/>
      <c r="Q6" s="26"/>
      <c r="R6" s="26"/>
      <c r="S6" s="26"/>
      <c r="T6" s="27"/>
      <c r="U6" s="27"/>
      <c r="V6" s="68"/>
      <c r="W6" s="26"/>
      <c r="X6" s="26"/>
      <c r="Y6" s="26"/>
      <c r="Z6" s="27"/>
      <c r="AA6" s="17"/>
      <c r="AB6" s="19"/>
      <c r="AC6" s="18"/>
      <c r="AD6" s="18"/>
    </row>
    <row r="7" spans="1:39">
      <c r="A7" s="27"/>
      <c r="B7" s="26"/>
      <c r="C7" s="26"/>
      <c r="D7" s="26"/>
      <c r="E7" s="26"/>
      <c r="F7" s="27"/>
      <c r="G7" s="26"/>
      <c r="H7" s="26"/>
      <c r="I7" s="26"/>
      <c r="J7" s="26"/>
      <c r="K7" s="27"/>
      <c r="L7" s="26"/>
      <c r="M7" s="26"/>
      <c r="N7" s="26"/>
      <c r="O7" s="26"/>
      <c r="P7" s="27"/>
      <c r="Q7" s="26"/>
      <c r="R7" s="26"/>
      <c r="S7" s="26"/>
      <c r="T7" s="27"/>
      <c r="U7" s="27"/>
      <c r="V7" s="69"/>
      <c r="W7" s="26"/>
      <c r="X7" s="26"/>
      <c r="Y7" s="26"/>
      <c r="Z7" s="27"/>
      <c r="AA7" s="17"/>
      <c r="AB7" s="19"/>
      <c r="AC7" s="18"/>
    </row>
    <row r="8" spans="1:39">
      <c r="A8" s="27"/>
      <c r="B8" s="26"/>
      <c r="C8" s="26"/>
      <c r="D8" s="26"/>
      <c r="E8" s="26"/>
      <c r="F8" s="27"/>
      <c r="G8" s="26"/>
      <c r="H8" s="26"/>
      <c r="I8" s="26"/>
      <c r="J8" s="26"/>
      <c r="K8" s="27"/>
      <c r="L8" s="26"/>
      <c r="M8" s="26"/>
      <c r="N8" s="26"/>
      <c r="O8" s="26"/>
      <c r="P8" s="27"/>
      <c r="Q8" s="26"/>
      <c r="R8" s="26"/>
      <c r="S8" s="26"/>
      <c r="T8" s="27"/>
      <c r="U8" s="27"/>
      <c r="V8" s="69"/>
      <c r="W8" s="26"/>
      <c r="X8" s="26"/>
      <c r="Y8" s="26"/>
      <c r="Z8" s="27"/>
      <c r="AA8" s="17"/>
      <c r="AB8" s="19"/>
      <c r="AC8" s="18"/>
      <c r="AD8" s="18"/>
    </row>
    <row r="9" spans="1:39">
      <c r="A9" s="27"/>
      <c r="B9" s="26"/>
      <c r="C9" s="26"/>
      <c r="D9" s="26"/>
      <c r="E9" s="26"/>
      <c r="F9" s="27"/>
      <c r="G9" s="26"/>
      <c r="H9" s="26"/>
      <c r="I9" s="26"/>
      <c r="J9" s="26"/>
      <c r="K9" s="27"/>
      <c r="L9" s="26"/>
      <c r="M9" s="26"/>
      <c r="N9" s="26"/>
      <c r="O9" s="26"/>
      <c r="P9" s="27"/>
      <c r="Q9" s="26"/>
      <c r="R9" s="26"/>
      <c r="S9" s="26"/>
      <c r="T9" s="27"/>
      <c r="U9" s="27"/>
      <c r="V9" s="69"/>
      <c r="W9" s="26"/>
      <c r="X9" s="26"/>
      <c r="Y9" s="26"/>
      <c r="Z9" s="27"/>
      <c r="AA9" s="17"/>
      <c r="AB9" s="19"/>
      <c r="AC9" s="18"/>
    </row>
    <row r="10" spans="1:39">
      <c r="A10" s="27"/>
      <c r="B10" s="26"/>
      <c r="C10" s="26"/>
      <c r="D10" s="26"/>
      <c r="E10" s="26"/>
      <c r="F10" s="27"/>
      <c r="G10" s="26"/>
      <c r="H10" s="26"/>
      <c r="I10" s="26"/>
      <c r="J10" s="26"/>
      <c r="K10" s="27"/>
      <c r="L10" s="26"/>
      <c r="M10" s="26"/>
      <c r="N10" s="26"/>
      <c r="O10" s="26"/>
      <c r="P10" s="27"/>
      <c r="Q10" s="26"/>
      <c r="R10" s="26"/>
      <c r="S10" s="26"/>
      <c r="T10" s="27"/>
      <c r="U10" s="27"/>
      <c r="V10" s="69"/>
      <c r="W10" s="26"/>
      <c r="X10" s="26"/>
      <c r="Y10" s="26"/>
      <c r="Z10" s="27"/>
      <c r="AA10" s="17"/>
      <c r="AB10" s="19"/>
      <c r="AC10" s="18"/>
      <c r="AD10" s="18"/>
    </row>
    <row r="11" spans="1:39">
      <c r="A11" s="27"/>
      <c r="B11" s="26"/>
      <c r="C11" s="26"/>
      <c r="D11" s="26"/>
      <c r="E11" s="26"/>
      <c r="F11" s="27"/>
      <c r="G11" s="26"/>
      <c r="H11" s="26"/>
      <c r="I11" s="26"/>
      <c r="J11" s="26"/>
      <c r="K11" s="27"/>
      <c r="L11" s="26"/>
      <c r="M11" s="26"/>
      <c r="N11" s="26"/>
      <c r="O11" s="26"/>
      <c r="P11" s="27"/>
      <c r="Q11" s="26"/>
      <c r="R11" s="26"/>
      <c r="S11" s="26"/>
      <c r="T11" s="27"/>
      <c r="U11" s="27"/>
      <c r="V11" s="69"/>
      <c r="W11" s="26"/>
      <c r="X11" s="26"/>
      <c r="Y11" s="26"/>
      <c r="Z11" s="27"/>
      <c r="AA11" s="17"/>
      <c r="AB11" s="18"/>
      <c r="AC11" s="18"/>
      <c r="AD11" s="18"/>
    </row>
    <row r="12" spans="1:39">
      <c r="A12" s="27"/>
      <c r="B12" s="26"/>
      <c r="C12" s="26"/>
      <c r="D12" s="26"/>
      <c r="E12" s="26"/>
      <c r="F12" s="27"/>
      <c r="G12" s="26"/>
      <c r="H12" s="26"/>
      <c r="I12" s="26"/>
      <c r="J12" s="26"/>
      <c r="K12" s="27"/>
      <c r="L12" s="26"/>
      <c r="M12" s="26"/>
      <c r="N12" s="26"/>
      <c r="O12" s="26"/>
      <c r="P12" s="27"/>
      <c r="Q12" s="26"/>
      <c r="R12" s="26"/>
      <c r="S12" s="26"/>
      <c r="T12" s="27"/>
      <c r="U12" s="27"/>
      <c r="V12" s="69"/>
      <c r="W12" s="26"/>
      <c r="X12" s="26"/>
      <c r="Y12" s="26"/>
      <c r="Z12" s="27"/>
      <c r="AA12" s="17"/>
      <c r="AB12" s="18"/>
      <c r="AC12" s="18"/>
    </row>
    <row r="13" spans="1:39">
      <c r="A13" s="27"/>
      <c r="B13" s="26"/>
      <c r="C13" s="26"/>
      <c r="D13" s="26"/>
      <c r="E13" s="26"/>
      <c r="F13" s="27"/>
      <c r="G13" s="26"/>
      <c r="H13" s="26"/>
      <c r="I13" s="26"/>
      <c r="J13" s="26"/>
      <c r="K13" s="27"/>
      <c r="L13" s="26"/>
      <c r="M13" s="26"/>
      <c r="N13" s="26"/>
      <c r="O13" s="26"/>
      <c r="P13" s="27"/>
      <c r="Q13" s="26"/>
      <c r="R13" s="26"/>
      <c r="S13" s="26"/>
      <c r="T13" s="27"/>
      <c r="U13" s="27"/>
      <c r="V13" s="69"/>
      <c r="W13" s="26"/>
      <c r="X13" s="26"/>
      <c r="Y13" s="26"/>
      <c r="Z13" s="27"/>
      <c r="AA13" s="17"/>
      <c r="AB13" s="18"/>
      <c r="AC13" s="18"/>
    </row>
    <row r="14" spans="1:39">
      <c r="A14" s="27"/>
      <c r="B14" s="26"/>
      <c r="C14" s="26"/>
      <c r="D14" s="26"/>
      <c r="E14" s="26"/>
      <c r="F14" s="27"/>
      <c r="G14" s="26"/>
      <c r="H14" s="26"/>
      <c r="I14" s="26"/>
      <c r="J14" s="26"/>
      <c r="K14" s="27"/>
      <c r="L14" s="26"/>
      <c r="M14" s="26"/>
      <c r="N14" s="26"/>
      <c r="O14" s="26"/>
      <c r="P14" s="27"/>
      <c r="Q14" s="26"/>
      <c r="R14" s="26"/>
      <c r="S14" s="26"/>
      <c r="T14" s="27"/>
      <c r="U14" s="27"/>
      <c r="V14" s="68"/>
      <c r="W14" s="26"/>
      <c r="X14" s="26"/>
      <c r="Y14" s="26"/>
      <c r="Z14" s="27"/>
      <c r="AA14" s="17"/>
      <c r="AB14" s="18"/>
      <c r="AC14" s="18"/>
    </row>
    <row r="15" spans="1:39">
      <c r="A15" s="27"/>
      <c r="B15" s="26"/>
      <c r="C15" s="26"/>
      <c r="D15" s="26"/>
      <c r="E15" s="26"/>
      <c r="F15" s="27"/>
      <c r="G15" s="26"/>
      <c r="H15" s="26"/>
      <c r="I15" s="26"/>
      <c r="J15" s="26"/>
      <c r="K15" s="27"/>
      <c r="L15" s="26"/>
      <c r="M15" s="26"/>
      <c r="N15" s="26"/>
      <c r="O15" s="26"/>
      <c r="P15" s="27"/>
      <c r="Q15" s="26"/>
      <c r="R15" s="26"/>
      <c r="S15" s="26"/>
      <c r="T15" s="27"/>
      <c r="U15" s="67"/>
      <c r="V15" s="70"/>
      <c r="W15" s="28"/>
      <c r="X15" s="28"/>
      <c r="Y15" s="28"/>
      <c r="Z15" s="67"/>
      <c r="AA15" s="17"/>
      <c r="AB15" s="18"/>
      <c r="AE15" s="71"/>
    </row>
    <row r="16" spans="1:39">
      <c r="A16" s="27"/>
      <c r="B16" s="26"/>
      <c r="C16" s="26"/>
      <c r="D16" s="26"/>
      <c r="E16" s="26"/>
      <c r="F16" s="27"/>
      <c r="G16" s="26"/>
      <c r="H16" s="26"/>
      <c r="I16" s="26"/>
      <c r="J16" s="26"/>
      <c r="K16" s="27"/>
      <c r="L16" s="26"/>
      <c r="M16" s="26"/>
      <c r="N16" s="26"/>
      <c r="O16" s="26"/>
      <c r="P16" s="27"/>
      <c r="Q16" s="26"/>
      <c r="R16" s="26"/>
      <c r="S16" s="26"/>
      <c r="T16" s="27"/>
      <c r="U16" s="67"/>
      <c r="V16" s="70"/>
      <c r="W16" s="28"/>
      <c r="X16" s="28"/>
      <c r="Y16" s="28"/>
      <c r="Z16" s="67"/>
      <c r="AA16" s="17"/>
      <c r="AB16" s="18"/>
      <c r="AC16" s="18"/>
      <c r="AD16" s="18"/>
      <c r="AE16" s="71"/>
    </row>
    <row r="17" spans="1:37">
      <c r="A17" s="27"/>
      <c r="B17" s="26"/>
      <c r="C17" s="26"/>
      <c r="D17" s="26"/>
      <c r="E17" s="26"/>
      <c r="F17" s="27"/>
      <c r="G17" s="26"/>
      <c r="H17" s="26"/>
      <c r="I17" s="26"/>
      <c r="J17" s="26"/>
      <c r="K17" s="27"/>
      <c r="L17" s="26"/>
      <c r="M17" s="26"/>
      <c r="N17" s="26"/>
      <c r="O17" s="26"/>
      <c r="P17" s="27"/>
      <c r="Q17" s="26"/>
      <c r="R17" s="26"/>
      <c r="S17" s="26"/>
      <c r="T17" s="27"/>
      <c r="U17" s="27"/>
      <c r="V17" s="68"/>
      <c r="W17" s="26"/>
      <c r="X17" s="26"/>
      <c r="Y17" s="26"/>
      <c r="Z17" s="27"/>
      <c r="AA17" s="17"/>
      <c r="AB17" s="18"/>
      <c r="AC17" s="18"/>
      <c r="AD17" s="18"/>
      <c r="AE17" s="71"/>
      <c r="AF17" s="18"/>
      <c r="AK17" s="72"/>
    </row>
    <row r="18" spans="1:37">
      <c r="A18" s="27"/>
      <c r="B18" s="26"/>
      <c r="C18" s="26"/>
      <c r="D18" s="26"/>
      <c r="E18" s="26"/>
      <c r="F18" s="27"/>
      <c r="G18" s="26"/>
      <c r="H18" s="26"/>
      <c r="I18" s="26"/>
      <c r="J18" s="26"/>
      <c r="K18" s="27"/>
      <c r="L18" s="26"/>
      <c r="M18" s="26"/>
      <c r="N18" s="26"/>
      <c r="O18" s="26"/>
      <c r="P18" s="27"/>
      <c r="Q18" s="26"/>
      <c r="R18" s="26"/>
      <c r="S18" s="26"/>
      <c r="T18" s="27"/>
      <c r="U18" s="27"/>
      <c r="V18" s="68"/>
      <c r="W18" s="26"/>
      <c r="X18" s="26"/>
      <c r="Y18" s="26"/>
      <c r="Z18" s="27"/>
      <c r="AA18" s="17"/>
      <c r="AB18" s="18"/>
      <c r="AC18" s="18"/>
      <c r="AD18" s="18"/>
      <c r="AE18" s="71"/>
      <c r="AF18" s="18"/>
    </row>
    <row r="19" spans="1:37">
      <c r="A19" s="27"/>
      <c r="B19" s="26"/>
      <c r="C19" s="26"/>
      <c r="D19" s="26"/>
      <c r="E19" s="26"/>
      <c r="F19" s="27"/>
      <c r="G19" s="26"/>
      <c r="H19" s="26"/>
      <c r="I19" s="26"/>
      <c r="J19" s="26"/>
      <c r="K19" s="27"/>
      <c r="L19" s="26"/>
      <c r="M19" s="26"/>
      <c r="N19" s="26"/>
      <c r="O19" s="26"/>
      <c r="P19" s="27"/>
      <c r="Q19" s="26"/>
      <c r="R19" s="26"/>
      <c r="S19" s="26"/>
      <c r="T19" s="27"/>
      <c r="U19" s="27"/>
      <c r="V19" s="68"/>
      <c r="W19" s="26"/>
      <c r="X19" s="26"/>
      <c r="Y19" s="26"/>
      <c r="Z19" s="27"/>
      <c r="AA19" s="17"/>
      <c r="AB19" s="18"/>
      <c r="AC19" s="18"/>
      <c r="AD19" s="18"/>
      <c r="AE19" s="71"/>
      <c r="AF19" s="18"/>
    </row>
    <row r="20" spans="1:37">
      <c r="A20" s="27"/>
      <c r="B20" s="26"/>
      <c r="C20" s="26"/>
      <c r="D20" s="26"/>
      <c r="E20" s="26"/>
      <c r="F20" s="27"/>
      <c r="G20" s="26"/>
      <c r="H20" s="26"/>
      <c r="I20" s="26"/>
      <c r="J20" s="26"/>
      <c r="K20" s="27"/>
      <c r="L20" s="26"/>
      <c r="M20" s="26"/>
      <c r="N20" s="26"/>
      <c r="O20" s="26"/>
      <c r="P20" s="27"/>
      <c r="Q20" s="26"/>
      <c r="R20" s="26"/>
      <c r="S20" s="26"/>
      <c r="T20" s="27"/>
      <c r="U20" s="27"/>
      <c r="V20" s="68"/>
      <c r="W20" s="26"/>
      <c r="X20" s="26"/>
      <c r="Y20" s="26"/>
      <c r="Z20" s="27"/>
      <c r="AA20" s="17"/>
      <c r="AB20" s="191"/>
      <c r="AC20" s="18"/>
      <c r="AD20" s="18"/>
      <c r="AE20" s="71"/>
      <c r="AF20" s="18"/>
    </row>
    <row r="21" spans="1:37">
      <c r="A21" s="27"/>
      <c r="B21" s="26"/>
      <c r="C21" s="26"/>
      <c r="D21" s="26"/>
      <c r="E21" s="26"/>
      <c r="F21" s="27"/>
      <c r="G21" s="26"/>
      <c r="H21" s="26"/>
      <c r="I21" s="26"/>
      <c r="J21" s="26"/>
      <c r="K21" s="27"/>
      <c r="L21" s="26"/>
      <c r="M21" s="26"/>
      <c r="N21" s="26"/>
      <c r="O21" s="26"/>
      <c r="P21" s="27"/>
      <c r="Q21" s="26"/>
      <c r="R21" s="26"/>
      <c r="S21" s="26"/>
      <c r="T21" s="27"/>
      <c r="U21" s="27"/>
      <c r="V21" s="68"/>
      <c r="W21" s="26"/>
      <c r="X21" s="26"/>
      <c r="Y21" s="26"/>
      <c r="Z21" s="27"/>
      <c r="AA21" s="17"/>
      <c r="AB21" s="191"/>
      <c r="AC21" s="18"/>
      <c r="AD21" s="18"/>
      <c r="AE21" s="71"/>
      <c r="AF21" s="18"/>
    </row>
    <row r="22" spans="1:37">
      <c r="A22" s="27"/>
      <c r="B22" s="26"/>
      <c r="C22" s="26"/>
      <c r="D22" s="26"/>
      <c r="E22" s="26"/>
      <c r="F22" s="27"/>
      <c r="G22" s="26"/>
      <c r="H22" s="26"/>
      <c r="I22" s="26"/>
      <c r="J22" s="26"/>
      <c r="K22" s="27"/>
      <c r="L22" s="26"/>
      <c r="M22" s="26"/>
      <c r="N22" s="26"/>
      <c r="O22" s="26"/>
      <c r="P22" s="27"/>
      <c r="Q22" s="26"/>
      <c r="R22" s="26"/>
      <c r="S22" s="26"/>
      <c r="T22" s="27"/>
      <c r="U22" s="27"/>
      <c r="V22" s="68"/>
      <c r="W22" s="26"/>
      <c r="X22" s="26"/>
      <c r="Y22" s="26"/>
      <c r="Z22" s="27"/>
      <c r="AA22" s="17"/>
      <c r="AB22" s="18"/>
      <c r="AC22" s="18"/>
      <c r="AD22" s="18"/>
      <c r="AE22" s="71"/>
      <c r="AF22" s="18"/>
      <c r="AG22" s="18"/>
      <c r="AH22" s="18"/>
      <c r="AI22" s="18"/>
      <c r="AJ22" s="71"/>
      <c r="AK22" s="72"/>
    </row>
    <row r="23" spans="1:37">
      <c r="A23" s="27"/>
      <c r="B23" s="26"/>
      <c r="C23" s="26"/>
      <c r="D23" s="26"/>
      <c r="E23" s="26"/>
      <c r="F23" s="27"/>
      <c r="G23" s="26"/>
      <c r="H23" s="26"/>
      <c r="I23" s="26"/>
      <c r="J23" s="26"/>
      <c r="K23" s="27"/>
      <c r="L23" s="26"/>
      <c r="M23" s="26"/>
      <c r="N23" s="26"/>
      <c r="O23" s="26"/>
      <c r="P23" s="27"/>
      <c r="Q23" s="26"/>
      <c r="R23" s="26"/>
      <c r="S23" s="26"/>
      <c r="T23" s="27"/>
      <c r="U23" s="27"/>
      <c r="V23" s="68"/>
      <c r="W23" s="26"/>
      <c r="X23" s="26"/>
      <c r="Y23" s="26"/>
      <c r="Z23" s="27"/>
      <c r="AA23" s="17"/>
      <c r="AB23" s="18"/>
      <c r="AC23" s="18"/>
      <c r="AD23" s="18"/>
      <c r="AE23" s="71"/>
      <c r="AF23" s="18"/>
      <c r="AG23" s="18"/>
      <c r="AH23" s="18"/>
      <c r="AI23" s="18"/>
      <c r="AJ23" s="71"/>
      <c r="AK23" s="72"/>
    </row>
    <row r="24" spans="1:37">
      <c r="A24" s="27"/>
      <c r="B24" s="26"/>
      <c r="C24" s="26"/>
      <c r="D24" s="26"/>
      <c r="E24" s="26"/>
      <c r="F24" s="27"/>
      <c r="G24" s="26"/>
      <c r="H24" s="26"/>
      <c r="I24" s="26"/>
      <c r="J24" s="26"/>
      <c r="K24" s="27"/>
      <c r="L24" s="26"/>
      <c r="M24" s="26"/>
      <c r="N24" s="26"/>
      <c r="O24" s="26"/>
      <c r="P24" s="27"/>
      <c r="Q24" s="26"/>
      <c r="R24" s="26"/>
      <c r="S24" s="26"/>
      <c r="T24" s="27"/>
      <c r="U24" s="27"/>
      <c r="V24" s="68"/>
      <c r="W24" s="26"/>
      <c r="X24" s="26"/>
      <c r="Y24" s="26"/>
      <c r="Z24" s="27"/>
      <c r="AA24" s="17"/>
      <c r="AB24" s="18"/>
      <c r="AC24" s="18"/>
      <c r="AD24" s="18"/>
      <c r="AE24" s="71"/>
      <c r="AF24" s="18"/>
      <c r="AG24" s="18"/>
      <c r="AH24" s="18"/>
      <c r="AI24" s="18"/>
      <c r="AJ24" s="71"/>
    </row>
    <row r="25" spans="1:37">
      <c r="A25" s="27"/>
      <c r="B25" s="26"/>
      <c r="C25" s="26"/>
      <c r="D25" s="26"/>
      <c r="E25" s="26"/>
      <c r="F25" s="27"/>
      <c r="G25" s="26"/>
      <c r="H25" s="26"/>
      <c r="I25" s="26"/>
      <c r="J25" s="26"/>
      <c r="K25" s="27"/>
      <c r="L25" s="26"/>
      <c r="M25" s="26"/>
      <c r="N25" s="26"/>
      <c r="O25" s="26"/>
      <c r="P25" s="27"/>
      <c r="Q25" s="26"/>
      <c r="R25" s="26"/>
      <c r="S25" s="26"/>
      <c r="T25" s="27"/>
      <c r="U25" s="27"/>
      <c r="V25" s="68"/>
      <c r="W25" s="26"/>
      <c r="X25" s="26"/>
      <c r="Y25" s="26"/>
      <c r="Z25" s="27"/>
      <c r="AA25" s="17"/>
      <c r="AB25" s="18"/>
      <c r="AC25" s="18"/>
      <c r="AD25" s="18"/>
      <c r="AE25" s="71"/>
      <c r="AF25" s="18"/>
      <c r="AG25" s="18"/>
      <c r="AH25" s="18"/>
      <c r="AI25" s="18"/>
      <c r="AJ25" s="71"/>
    </row>
    <row r="26" spans="1:37">
      <c r="A26" s="27"/>
      <c r="B26" s="26"/>
      <c r="C26" s="26"/>
      <c r="D26" s="26"/>
      <c r="E26" s="26"/>
      <c r="F26" s="27"/>
      <c r="G26" s="26"/>
      <c r="H26" s="26"/>
      <c r="I26" s="26"/>
      <c r="J26" s="26"/>
      <c r="K26" s="27"/>
      <c r="L26" s="26"/>
      <c r="M26" s="26"/>
      <c r="N26" s="26"/>
      <c r="O26" s="26"/>
      <c r="P26" s="27"/>
      <c r="Q26" s="26"/>
      <c r="R26" s="26"/>
      <c r="S26" s="26"/>
      <c r="T26" s="27"/>
      <c r="U26" s="27"/>
      <c r="V26" s="68"/>
      <c r="W26" s="26"/>
      <c r="X26" s="26"/>
      <c r="Y26" s="26"/>
      <c r="Z26" s="27"/>
      <c r="AA26" s="17"/>
      <c r="AB26" s="18"/>
      <c r="AC26" s="18"/>
      <c r="AD26" s="18"/>
      <c r="AE26" s="71"/>
      <c r="AF26" s="18"/>
    </row>
    <row r="27" spans="1:37">
      <c r="A27" s="27"/>
      <c r="B27" s="26"/>
      <c r="C27" s="26"/>
      <c r="D27" s="26"/>
      <c r="E27" s="26"/>
      <c r="F27" s="27"/>
      <c r="G27" s="26"/>
      <c r="H27" s="26"/>
      <c r="I27" s="26"/>
      <c r="J27" s="26"/>
      <c r="K27" s="27"/>
      <c r="L27" s="26"/>
      <c r="M27" s="26"/>
      <c r="N27" s="26"/>
      <c r="O27" s="26"/>
      <c r="P27" s="27"/>
      <c r="Q27" s="26"/>
      <c r="R27" s="26"/>
      <c r="S27" s="26"/>
      <c r="T27" s="27"/>
      <c r="U27" s="27"/>
      <c r="V27" s="68"/>
      <c r="W27" s="26"/>
      <c r="X27" s="26"/>
      <c r="Y27" s="26"/>
      <c r="Z27" s="27"/>
      <c r="AA27" s="17"/>
      <c r="AB27" s="18"/>
      <c r="AC27" s="18"/>
      <c r="AD27" s="18"/>
      <c r="AE27" s="71"/>
      <c r="AF27" s="18"/>
      <c r="AG27" s="18"/>
      <c r="AH27" s="18"/>
      <c r="AI27" s="18"/>
      <c r="AJ27" s="71"/>
      <c r="AK27" s="72"/>
    </row>
    <row r="28" spans="1:37">
      <c r="A28" s="27"/>
      <c r="B28" s="26"/>
      <c r="C28" s="26"/>
      <c r="D28" s="26"/>
      <c r="E28" s="26"/>
      <c r="F28" s="27"/>
      <c r="G28" s="26"/>
      <c r="H28" s="26"/>
      <c r="I28" s="26"/>
      <c r="J28" s="26"/>
      <c r="K28" s="27"/>
      <c r="L28" s="26"/>
      <c r="M28" s="26"/>
      <c r="N28" s="26"/>
      <c r="O28" s="26"/>
      <c r="P28" s="27"/>
      <c r="Q28" s="26"/>
      <c r="R28" s="26"/>
      <c r="S28" s="26"/>
      <c r="T28" s="27"/>
      <c r="U28" s="27"/>
      <c r="V28" s="68"/>
      <c r="W28" s="26"/>
      <c r="X28" s="26"/>
      <c r="Y28" s="26"/>
      <c r="Z28" s="27"/>
      <c r="AA28" s="17"/>
      <c r="AB28" s="18"/>
      <c r="AC28" s="18"/>
      <c r="AD28" s="18"/>
      <c r="AE28" s="71"/>
      <c r="AF28" s="18"/>
      <c r="AG28" s="18"/>
      <c r="AH28" s="18"/>
      <c r="AI28" s="18"/>
      <c r="AJ28" s="71"/>
      <c r="AK28" s="72"/>
    </row>
    <row r="29" spans="1:37">
      <c r="A29" s="27"/>
      <c r="B29" s="26"/>
      <c r="C29" s="26"/>
      <c r="D29" s="26"/>
      <c r="E29" s="26"/>
      <c r="F29" s="27"/>
      <c r="G29" s="26"/>
      <c r="H29" s="26"/>
      <c r="I29" s="26"/>
      <c r="J29" s="26"/>
      <c r="K29" s="27"/>
      <c r="L29" s="26"/>
      <c r="M29" s="26"/>
      <c r="N29" s="26"/>
      <c r="O29" s="26"/>
      <c r="P29" s="27"/>
      <c r="Q29" s="26"/>
      <c r="R29" s="26"/>
      <c r="S29" s="26"/>
      <c r="T29" s="27"/>
      <c r="U29" s="27"/>
      <c r="V29" s="68"/>
      <c r="W29" s="26"/>
      <c r="X29" s="26"/>
      <c r="Y29" s="26"/>
      <c r="Z29" s="27"/>
      <c r="AA29" s="17"/>
      <c r="AB29" s="18"/>
      <c r="AC29" s="18"/>
      <c r="AD29" s="18"/>
      <c r="AE29" s="71"/>
      <c r="AF29" s="18"/>
      <c r="AG29" s="18"/>
      <c r="AH29" s="18"/>
      <c r="AI29" s="18"/>
      <c r="AJ29" s="71"/>
    </row>
    <row r="30" spans="1:37">
      <c r="A30" s="27"/>
      <c r="B30" s="26"/>
      <c r="C30" s="26"/>
      <c r="D30" s="26"/>
      <c r="E30" s="26"/>
      <c r="F30" s="27"/>
      <c r="G30" s="26"/>
      <c r="H30" s="26"/>
      <c r="I30" s="26"/>
      <c r="J30" s="26"/>
      <c r="K30" s="27"/>
      <c r="L30" s="26"/>
      <c r="M30" s="26"/>
      <c r="N30" s="26"/>
      <c r="O30" s="26"/>
      <c r="P30" s="27"/>
      <c r="Q30" s="26"/>
      <c r="R30" s="26"/>
      <c r="S30" s="26"/>
      <c r="T30" s="27"/>
      <c r="U30" s="27"/>
      <c r="V30" s="68"/>
      <c r="W30" s="26"/>
      <c r="X30" s="26"/>
      <c r="Y30" s="26"/>
      <c r="Z30" s="27"/>
      <c r="AA30" s="17"/>
      <c r="AB30" s="18"/>
      <c r="AC30" s="18"/>
      <c r="AD30" s="18"/>
      <c r="AE30" s="71"/>
      <c r="AF30" s="18"/>
      <c r="AG30" s="18"/>
      <c r="AH30" s="18"/>
      <c r="AI30" s="18"/>
    </row>
    <row r="31" spans="1:37">
      <c r="A31" s="27"/>
      <c r="B31" s="26"/>
      <c r="C31" s="26"/>
      <c r="D31" s="26"/>
      <c r="E31" s="26"/>
      <c r="F31" s="27"/>
      <c r="G31" s="26"/>
      <c r="H31" s="26"/>
      <c r="I31" s="26"/>
      <c r="J31" s="26"/>
      <c r="K31" s="27"/>
      <c r="L31" s="26"/>
      <c r="M31" s="26"/>
      <c r="N31" s="26"/>
      <c r="O31" s="26"/>
      <c r="P31" s="27"/>
      <c r="Q31" s="26"/>
      <c r="R31" s="26"/>
      <c r="S31" s="26"/>
      <c r="T31" s="27"/>
      <c r="U31" s="67"/>
      <c r="V31" s="70"/>
      <c r="W31" s="28"/>
      <c r="X31" s="28"/>
      <c r="Y31" s="28"/>
      <c r="Z31" s="67"/>
      <c r="AA31" s="18"/>
      <c r="AB31" s="18"/>
      <c r="AC31" s="18"/>
      <c r="AD31" s="18"/>
      <c r="AE31" s="71"/>
    </row>
    <row r="32" spans="1:37">
      <c r="A32" s="27"/>
      <c r="B32" s="26"/>
      <c r="C32" s="26"/>
      <c r="D32" s="26"/>
      <c r="E32" s="26"/>
      <c r="F32" s="27"/>
      <c r="G32" s="26"/>
      <c r="H32" s="26"/>
      <c r="I32" s="26"/>
      <c r="J32" s="26"/>
      <c r="K32" s="27"/>
      <c r="L32" s="26"/>
      <c r="M32" s="26"/>
      <c r="N32" s="26"/>
      <c r="O32" s="26"/>
      <c r="P32" s="27"/>
      <c r="Q32" s="26"/>
      <c r="R32" s="26"/>
      <c r="S32" s="26"/>
      <c r="T32" s="27"/>
      <c r="U32" s="67"/>
      <c r="V32" s="70"/>
      <c r="W32" s="28"/>
      <c r="X32" s="28"/>
      <c r="Y32" s="28"/>
      <c r="Z32" s="67"/>
      <c r="AA32" s="18"/>
      <c r="AB32" s="18"/>
      <c r="AC32" s="18"/>
      <c r="AD32" s="18"/>
      <c r="AE32" s="71"/>
    </row>
    <row r="33" spans="1:31">
      <c r="A33" s="27"/>
      <c r="B33" s="26"/>
      <c r="C33" s="26"/>
      <c r="D33" s="26"/>
      <c r="E33" s="26"/>
      <c r="F33" s="27"/>
      <c r="G33" s="26"/>
      <c r="H33" s="26"/>
      <c r="I33" s="26"/>
      <c r="J33" s="26"/>
      <c r="K33" s="27"/>
      <c r="L33" s="26"/>
      <c r="M33" s="26"/>
      <c r="N33" s="26"/>
      <c r="O33" s="26"/>
      <c r="P33" s="27"/>
      <c r="Q33" s="26"/>
      <c r="R33" s="26"/>
      <c r="S33" s="26"/>
      <c r="T33" s="27"/>
      <c r="U33" s="67"/>
      <c r="V33" s="70"/>
      <c r="W33" s="28"/>
      <c r="X33" s="28"/>
      <c r="Y33" s="28"/>
      <c r="Z33" s="67"/>
      <c r="AA33" s="18"/>
      <c r="AB33" s="18"/>
      <c r="AC33" s="18"/>
      <c r="AD33" s="18"/>
      <c r="AE33" s="71"/>
    </row>
    <row r="34" spans="1:31">
      <c r="A34" s="27"/>
      <c r="B34" s="26"/>
      <c r="C34" s="26"/>
      <c r="D34" s="26"/>
      <c r="E34" s="26"/>
      <c r="F34" s="27"/>
      <c r="G34" s="26"/>
      <c r="H34" s="26"/>
      <c r="I34" s="26"/>
      <c r="J34" s="26"/>
      <c r="K34" s="27"/>
      <c r="L34" s="26"/>
      <c r="M34" s="26"/>
      <c r="N34" s="26"/>
      <c r="O34" s="26"/>
      <c r="P34" s="27"/>
      <c r="Q34" s="26"/>
      <c r="R34" s="26"/>
      <c r="S34" s="26"/>
      <c r="T34" s="27"/>
      <c r="U34" s="67"/>
      <c r="V34" s="70"/>
      <c r="W34" s="28"/>
      <c r="X34" s="28"/>
      <c r="Y34" s="28"/>
      <c r="Z34" s="67"/>
      <c r="AA34" s="18"/>
      <c r="AB34" s="18"/>
      <c r="AC34" s="18"/>
      <c r="AD34" s="18"/>
      <c r="AE34" s="71"/>
    </row>
    <row r="35" spans="1:31">
      <c r="A35" s="27"/>
      <c r="B35" s="26"/>
      <c r="C35" s="26"/>
      <c r="D35" s="26"/>
      <c r="E35" s="26"/>
      <c r="F35" s="27"/>
      <c r="G35" s="26"/>
      <c r="H35" s="26"/>
      <c r="I35" s="26"/>
      <c r="J35" s="26"/>
      <c r="K35" s="27"/>
      <c r="L35" s="26"/>
      <c r="M35" s="26"/>
      <c r="N35" s="26"/>
      <c r="O35" s="26"/>
      <c r="P35" s="27"/>
      <c r="Q35" s="26"/>
      <c r="R35" s="26"/>
      <c r="S35" s="26"/>
      <c r="T35" s="27"/>
      <c r="U35" s="27"/>
      <c r="V35" s="68"/>
      <c r="W35" s="26"/>
      <c r="X35" s="26"/>
      <c r="Y35" s="26"/>
      <c r="Z35" s="27"/>
    </row>
    <row r="52" spans="20:20">
      <c r="T52"/>
    </row>
    <row r="53" spans="20:20">
      <c r="T53"/>
    </row>
    <row r="54" spans="20:20">
      <c r="T54"/>
    </row>
    <row r="55" spans="20:20">
      <c r="T55"/>
    </row>
    <row r="56" spans="20:20">
      <c r="T56"/>
    </row>
    <row r="57" spans="20:20">
      <c r="T57"/>
    </row>
    <row r="58" spans="20:20">
      <c r="T58"/>
    </row>
    <row r="59" spans="20:20">
      <c r="T59"/>
    </row>
    <row r="60" spans="20:20">
      <c r="T60"/>
    </row>
    <row r="61" spans="20:20">
      <c r="T61"/>
    </row>
    <row r="62" spans="20:20">
      <c r="T62"/>
    </row>
    <row r="63" spans="20:20">
      <c r="T63"/>
    </row>
    <row r="64" spans="20:20">
      <c r="T64"/>
    </row>
    <row r="65" spans="20:20">
      <c r="T65"/>
    </row>
    <row r="66" spans="20:20">
      <c r="T66"/>
    </row>
    <row r="67" spans="20:20">
      <c r="T67"/>
    </row>
    <row r="68" spans="20:20">
      <c r="T68"/>
    </row>
    <row r="69" spans="20:20">
      <c r="T69"/>
    </row>
    <row r="70" spans="20:20">
      <c r="T70"/>
    </row>
  </sheetData>
  <mergeCells count="2">
    <mergeCell ref="AB20:AB21"/>
    <mergeCell ref="A1:Z1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DE314-9D8F-4700-9C90-EE532BFF7879}">
  <sheetPr codeName="Sheet5">
    <tabColor rgb="FF79ADDD"/>
  </sheetPr>
  <dimension ref="A1:AC53"/>
  <sheetViews>
    <sheetView showGridLines="0" topLeftCell="A4" zoomScale="80" zoomScaleNormal="80" workbookViewId="0"/>
  </sheetViews>
  <sheetFormatPr defaultRowHeight="14.45"/>
  <cols>
    <col min="6" max="6" width="9.140625" style="1"/>
    <col min="16" max="16" width="8.85546875" style="1"/>
  </cols>
  <sheetData>
    <row r="1" spans="1:29" ht="34.5" customHeight="1">
      <c r="A1" s="185" t="s">
        <v>1169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</row>
    <row r="2" spans="1:29" ht="48.75" customHeight="1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</row>
    <row r="3" spans="1:29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7"/>
      <c r="U3" s="26"/>
      <c r="V3" s="26"/>
      <c r="W3" s="26"/>
      <c r="X3" s="26"/>
      <c r="Y3" s="26"/>
      <c r="Z3" s="26"/>
      <c r="AB3" s="30"/>
      <c r="AC3" s="30"/>
    </row>
    <row r="4" spans="1:29">
      <c r="A4" s="26"/>
      <c r="B4" s="26"/>
      <c r="C4" s="26"/>
      <c r="D4" s="26"/>
      <c r="E4" s="26"/>
      <c r="F4" s="27"/>
      <c r="G4" s="26"/>
      <c r="H4" s="26"/>
      <c r="I4" s="26"/>
      <c r="J4" s="26"/>
      <c r="K4" s="26"/>
      <c r="L4" s="26"/>
      <c r="M4" s="26"/>
      <c r="N4" s="26"/>
      <c r="O4" s="26"/>
      <c r="P4" s="27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9">
      <c r="A5" s="26"/>
      <c r="B5" s="26"/>
      <c r="C5" s="26"/>
      <c r="D5" s="26"/>
      <c r="E5" s="26"/>
      <c r="F5" s="27"/>
      <c r="G5" s="26"/>
      <c r="H5" s="26"/>
      <c r="I5" s="26"/>
      <c r="J5" s="26"/>
      <c r="K5" s="26"/>
      <c r="L5" s="26"/>
      <c r="M5" s="26"/>
      <c r="N5" s="26"/>
      <c r="O5" s="26"/>
      <c r="P5" s="27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9">
      <c r="A6" s="26"/>
      <c r="B6" s="26"/>
      <c r="C6" s="26"/>
      <c r="D6" s="26"/>
      <c r="E6" s="26"/>
      <c r="F6" s="27"/>
      <c r="G6" s="26"/>
      <c r="H6" s="26"/>
      <c r="I6" s="26"/>
      <c r="J6" s="26"/>
      <c r="K6" s="26"/>
      <c r="L6" s="26"/>
      <c r="M6" s="26"/>
      <c r="N6" s="26"/>
      <c r="O6" s="26"/>
      <c r="P6" s="27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9">
      <c r="A7" s="26"/>
      <c r="B7" s="26"/>
      <c r="C7" s="26"/>
      <c r="D7" s="26"/>
      <c r="E7" s="26"/>
      <c r="F7" s="27"/>
      <c r="G7" s="26"/>
      <c r="H7" s="26"/>
      <c r="I7" s="26"/>
      <c r="J7" s="26"/>
      <c r="K7" s="26"/>
      <c r="L7" s="26"/>
      <c r="M7" s="26"/>
      <c r="N7" s="26"/>
      <c r="O7" s="26"/>
      <c r="P7" s="27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9">
      <c r="A8" s="26"/>
      <c r="B8" s="26"/>
      <c r="C8" s="26"/>
      <c r="D8" s="26"/>
      <c r="E8" s="26"/>
      <c r="F8" s="27"/>
      <c r="G8" s="26"/>
      <c r="H8" s="26"/>
      <c r="I8" s="26"/>
      <c r="J8" s="26"/>
      <c r="K8" s="26"/>
      <c r="L8" s="26"/>
      <c r="M8" s="26"/>
      <c r="N8" s="26"/>
      <c r="O8" s="26"/>
      <c r="P8" s="27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9">
      <c r="A9" s="26"/>
      <c r="B9" s="26"/>
      <c r="C9" s="26"/>
      <c r="D9" s="26"/>
      <c r="E9" s="26"/>
      <c r="F9" s="27"/>
      <c r="G9" s="26"/>
      <c r="H9" s="26"/>
      <c r="I9" s="26"/>
      <c r="J9" s="26"/>
      <c r="K9" s="26"/>
      <c r="L9" s="26"/>
      <c r="M9" s="26"/>
      <c r="N9" s="26"/>
      <c r="O9" s="26"/>
      <c r="P9" s="27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9">
      <c r="A10" s="26"/>
      <c r="B10" s="26"/>
      <c r="C10" s="26"/>
      <c r="D10" s="26"/>
      <c r="E10" s="26"/>
      <c r="F10" s="27"/>
      <c r="G10" s="26"/>
      <c r="H10" s="26"/>
      <c r="I10" s="26"/>
      <c r="J10" s="26"/>
      <c r="K10" s="26"/>
      <c r="L10" s="26"/>
      <c r="M10" s="26"/>
      <c r="N10" s="26"/>
      <c r="O10" s="26"/>
      <c r="P10" s="27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9">
      <c r="A11" s="26"/>
      <c r="B11" s="26"/>
      <c r="C11" s="26"/>
      <c r="D11" s="26"/>
      <c r="E11" s="26"/>
      <c r="F11" s="27"/>
      <c r="G11" s="26"/>
      <c r="H11" s="26"/>
      <c r="I11" s="26"/>
      <c r="J11" s="26"/>
      <c r="K11" s="26"/>
      <c r="L11" s="26"/>
      <c r="M11" s="26"/>
      <c r="N11" s="26"/>
      <c r="O11" s="26"/>
      <c r="P11" s="27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9">
      <c r="A12" s="26"/>
      <c r="B12" s="26"/>
      <c r="C12" s="26"/>
      <c r="D12" s="26"/>
      <c r="E12" s="26"/>
      <c r="F12" s="27"/>
      <c r="G12" s="26"/>
      <c r="H12" s="26"/>
      <c r="I12" s="26"/>
      <c r="J12" s="26"/>
      <c r="K12" s="26"/>
      <c r="L12" s="26"/>
      <c r="M12" s="26"/>
      <c r="N12" s="26"/>
      <c r="O12" s="26"/>
      <c r="P12" s="27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9">
      <c r="A13" s="26"/>
      <c r="B13" s="26"/>
      <c r="C13" s="26"/>
      <c r="D13" s="26"/>
      <c r="E13" s="26"/>
      <c r="F13" s="27"/>
      <c r="G13" s="26"/>
      <c r="H13" s="26"/>
      <c r="I13" s="26"/>
      <c r="J13" s="26"/>
      <c r="K13" s="26"/>
      <c r="L13" s="26"/>
      <c r="M13" s="26"/>
      <c r="N13" s="26"/>
      <c r="O13" s="26"/>
      <c r="P13" s="27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9">
      <c r="A14" s="26"/>
      <c r="B14" s="26"/>
      <c r="C14" s="26"/>
      <c r="D14" s="26"/>
      <c r="E14" s="26"/>
      <c r="F14" s="27"/>
      <c r="G14" s="26"/>
      <c r="H14" s="26"/>
      <c r="I14" s="26"/>
      <c r="J14" s="26"/>
      <c r="K14" s="26"/>
      <c r="L14" s="26"/>
      <c r="M14" s="26"/>
      <c r="N14" s="26"/>
      <c r="O14" s="26"/>
      <c r="P14" s="27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9">
      <c r="A15" s="26"/>
      <c r="B15" s="26"/>
      <c r="C15" s="26"/>
      <c r="D15" s="26"/>
      <c r="E15" s="26"/>
      <c r="F15" s="27"/>
      <c r="G15" s="26"/>
      <c r="H15" s="26"/>
      <c r="I15" s="26"/>
      <c r="J15" s="26"/>
      <c r="K15" s="26"/>
      <c r="L15" s="26"/>
      <c r="M15" s="26"/>
      <c r="N15" s="26"/>
      <c r="O15" s="26"/>
      <c r="P15" s="27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9">
      <c r="A16" s="26"/>
      <c r="B16" s="26"/>
      <c r="C16" s="26"/>
      <c r="D16" s="26"/>
      <c r="E16" s="26"/>
      <c r="F16" s="27"/>
      <c r="G16" s="26"/>
      <c r="H16" s="26"/>
      <c r="I16" s="26"/>
      <c r="J16" s="26"/>
      <c r="K16" s="26"/>
      <c r="L16" s="26"/>
      <c r="M16" s="26"/>
      <c r="N16" s="26"/>
      <c r="O16" s="26"/>
      <c r="P16" s="27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>
      <c r="A17" s="26"/>
      <c r="B17" s="26"/>
      <c r="C17" s="26"/>
      <c r="D17" s="26"/>
      <c r="E17" s="26"/>
      <c r="F17" s="27"/>
      <c r="G17" s="26"/>
      <c r="H17" s="26"/>
      <c r="I17" s="26"/>
      <c r="J17" s="26"/>
      <c r="K17" s="26"/>
      <c r="L17" s="26"/>
      <c r="M17" s="26"/>
      <c r="N17" s="26"/>
      <c r="O17" s="26"/>
      <c r="P17" s="27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>
      <c r="A18" s="26"/>
      <c r="B18" s="26"/>
      <c r="C18" s="26"/>
      <c r="D18" s="26"/>
      <c r="E18" s="26"/>
      <c r="F18" s="27"/>
      <c r="G18" s="26"/>
      <c r="H18" s="26"/>
      <c r="I18" s="26"/>
      <c r="J18" s="26"/>
      <c r="K18" s="26"/>
      <c r="L18" s="26"/>
      <c r="M18" s="26"/>
      <c r="N18" s="26"/>
      <c r="O18" s="26"/>
      <c r="P18" s="27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>
      <c r="A19" s="26"/>
      <c r="B19" s="26"/>
      <c r="C19" s="26"/>
      <c r="D19" s="26"/>
      <c r="E19" s="26"/>
      <c r="F19" s="27"/>
      <c r="G19" s="26"/>
      <c r="H19" s="26"/>
      <c r="I19" s="26"/>
      <c r="J19" s="26"/>
      <c r="K19" s="26"/>
      <c r="L19" s="26"/>
      <c r="M19" s="26"/>
      <c r="N19" s="26"/>
      <c r="O19" s="26"/>
      <c r="P19" s="27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>
      <c r="A20" s="26"/>
      <c r="B20" s="26"/>
      <c r="C20" s="26"/>
      <c r="D20" s="26"/>
      <c r="E20" s="26"/>
      <c r="F20" s="27"/>
      <c r="G20" s="26"/>
      <c r="H20" s="26"/>
      <c r="I20" s="26"/>
      <c r="J20" s="26"/>
      <c r="K20" s="26"/>
      <c r="L20" s="26"/>
      <c r="M20" s="26"/>
      <c r="N20" s="26"/>
      <c r="O20" s="26"/>
      <c r="P20" s="27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>
      <c r="A21" s="26"/>
      <c r="B21" s="26"/>
      <c r="C21" s="26"/>
      <c r="D21" s="26"/>
      <c r="E21" s="26"/>
      <c r="F21" s="27"/>
      <c r="G21" s="26"/>
      <c r="H21" s="26"/>
      <c r="I21" s="26"/>
      <c r="J21" s="26"/>
      <c r="K21" s="26"/>
      <c r="L21" s="26"/>
      <c r="M21" s="26"/>
      <c r="N21" s="26"/>
      <c r="O21" s="26"/>
      <c r="P21" s="27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>
      <c r="A22" s="26"/>
      <c r="B22" s="26"/>
      <c r="C22" s="26"/>
      <c r="D22" s="26"/>
      <c r="E22" s="26"/>
      <c r="F22" s="27"/>
      <c r="G22" s="26"/>
      <c r="H22" s="26"/>
      <c r="I22" s="26"/>
      <c r="J22" s="26"/>
      <c r="K22" s="26"/>
      <c r="L22" s="26"/>
      <c r="M22" s="26"/>
      <c r="N22" s="26"/>
      <c r="O22" s="26"/>
      <c r="P22" s="27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>
      <c r="A23" s="26"/>
      <c r="B23" s="26"/>
      <c r="C23" s="26"/>
      <c r="D23" s="26"/>
      <c r="E23" s="26"/>
      <c r="F23" s="27"/>
      <c r="G23" s="26"/>
      <c r="H23" s="26"/>
      <c r="I23" s="26"/>
      <c r="J23" s="26"/>
      <c r="K23" s="26"/>
      <c r="L23" s="26"/>
      <c r="M23" s="26"/>
      <c r="N23" s="26"/>
      <c r="O23" s="26"/>
      <c r="P23" s="27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>
      <c r="A24" s="26"/>
      <c r="B24" s="26"/>
      <c r="C24" s="26"/>
      <c r="D24" s="26"/>
      <c r="E24" s="26"/>
      <c r="F24" s="27"/>
      <c r="G24" s="26"/>
      <c r="H24" s="26"/>
      <c r="I24" s="26"/>
      <c r="J24" s="26"/>
      <c r="K24" s="26"/>
      <c r="L24" s="26"/>
      <c r="M24" s="26"/>
      <c r="N24" s="26"/>
      <c r="O24" s="26"/>
      <c r="P24" s="27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>
      <c r="A25" s="26"/>
      <c r="B25" s="26"/>
      <c r="C25" s="26"/>
      <c r="D25" s="26"/>
      <c r="E25" s="26"/>
      <c r="F25" s="27"/>
      <c r="G25" s="26"/>
      <c r="H25" s="26"/>
      <c r="I25" s="26"/>
      <c r="J25" s="26"/>
      <c r="K25" s="26"/>
      <c r="L25" s="26"/>
      <c r="M25" s="26"/>
      <c r="N25" s="26"/>
      <c r="O25" s="26"/>
      <c r="P25" s="27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>
      <c r="A26" s="26"/>
      <c r="B26" s="26"/>
      <c r="C26" s="26"/>
      <c r="D26" s="26"/>
      <c r="E26" s="26"/>
      <c r="F26" s="27"/>
      <c r="G26" s="26"/>
      <c r="H26" s="26"/>
      <c r="I26" s="26"/>
      <c r="J26" s="26"/>
      <c r="K26" s="26"/>
      <c r="L26" s="26"/>
      <c r="M26" s="26"/>
      <c r="N26" s="26"/>
      <c r="O26" s="26"/>
      <c r="P26" s="27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>
      <c r="A27" s="26"/>
      <c r="B27" s="26"/>
      <c r="C27" s="26"/>
      <c r="D27" s="26"/>
      <c r="E27" s="26"/>
      <c r="F27" s="27"/>
      <c r="G27" s="26"/>
      <c r="H27" s="26"/>
      <c r="I27" s="26"/>
      <c r="J27" s="26"/>
      <c r="K27" s="26"/>
      <c r="L27" s="26"/>
      <c r="M27" s="26"/>
      <c r="N27" s="26"/>
      <c r="O27" s="26"/>
      <c r="P27" s="27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>
      <c r="A28" s="26"/>
      <c r="B28" s="26"/>
      <c r="C28" s="26"/>
      <c r="D28" s="26"/>
      <c r="E28" s="26"/>
      <c r="F28" s="27"/>
      <c r="G28" s="26"/>
      <c r="H28" s="26"/>
      <c r="I28" s="26"/>
      <c r="J28" s="26"/>
      <c r="K28" s="26"/>
      <c r="L28" s="26"/>
      <c r="M28" s="26"/>
      <c r="N28" s="26"/>
      <c r="O28" s="26"/>
      <c r="P28" s="27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>
      <c r="A29" s="26"/>
      <c r="B29" s="26"/>
      <c r="C29" s="26"/>
      <c r="D29" s="26"/>
      <c r="E29" s="26"/>
      <c r="F29" s="27"/>
      <c r="G29" s="26"/>
      <c r="H29" s="26"/>
      <c r="I29" s="26"/>
      <c r="J29" s="26"/>
      <c r="K29" s="26"/>
      <c r="L29" s="26"/>
      <c r="M29" s="26"/>
      <c r="N29" s="26"/>
      <c r="O29" s="26"/>
      <c r="P29" s="27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>
      <c r="A30" s="26"/>
      <c r="B30" s="26"/>
      <c r="C30" s="26"/>
      <c r="D30" s="26"/>
      <c r="E30" s="26"/>
      <c r="F30" s="27"/>
      <c r="G30" s="26"/>
      <c r="H30" s="26"/>
      <c r="I30" s="26"/>
      <c r="J30" s="26"/>
      <c r="K30" s="26"/>
      <c r="L30" s="26"/>
      <c r="M30" s="26"/>
      <c r="N30" s="26"/>
      <c r="O30" s="26"/>
      <c r="P30" s="27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8">
      <c r="A31" s="26"/>
      <c r="B31" s="26"/>
      <c r="C31" s="26"/>
      <c r="D31" s="26"/>
      <c r="E31" s="26"/>
      <c r="F31" s="27"/>
      <c r="G31" s="26"/>
      <c r="H31" s="26"/>
      <c r="I31" s="26"/>
      <c r="J31" s="26"/>
      <c r="K31" s="26"/>
      <c r="L31" s="26"/>
      <c r="M31" s="26"/>
      <c r="N31" s="26"/>
      <c r="O31" s="26"/>
      <c r="P31" s="27"/>
      <c r="Q31" s="26"/>
      <c r="R31" s="29"/>
      <c r="S31" s="26"/>
      <c r="T31" s="26"/>
      <c r="U31" s="26"/>
      <c r="V31" s="26"/>
      <c r="W31" s="26"/>
      <c r="X31" s="26"/>
      <c r="Y31" s="26"/>
      <c r="Z31" s="26"/>
    </row>
    <row r="32" spans="1:26">
      <c r="A32" s="26"/>
      <c r="B32" s="26"/>
      <c r="C32" s="26"/>
      <c r="D32" s="26"/>
      <c r="E32" s="26"/>
      <c r="F32" s="27"/>
      <c r="G32" s="26"/>
      <c r="H32" s="26"/>
      <c r="I32" s="26"/>
      <c r="J32" s="26"/>
      <c r="K32" s="26"/>
      <c r="L32" s="26"/>
      <c r="M32" s="26"/>
      <c r="N32" s="26"/>
      <c r="O32" s="26"/>
      <c r="P32" s="27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>
      <c r="A33" s="26"/>
      <c r="B33" s="26"/>
      <c r="C33" s="26"/>
      <c r="D33" s="26"/>
      <c r="E33" s="26"/>
      <c r="F33" s="27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>
      <c r="A34" s="26"/>
      <c r="B34" s="26"/>
      <c r="C34" s="26"/>
      <c r="D34" s="26"/>
      <c r="E34" s="26"/>
      <c r="F34" s="27"/>
      <c r="G34" s="26"/>
      <c r="H34" s="26"/>
      <c r="I34" s="26"/>
      <c r="J34" s="26"/>
      <c r="K34" s="26"/>
      <c r="L34" s="26"/>
      <c r="M34" s="26"/>
      <c r="N34" s="26"/>
      <c r="O34" s="26"/>
      <c r="P34" s="27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>
      <c r="A35" s="26"/>
      <c r="B35" s="26"/>
      <c r="C35" s="26"/>
      <c r="D35" s="26"/>
      <c r="E35" s="26"/>
      <c r="F35" s="27"/>
      <c r="G35" s="26"/>
      <c r="H35" s="26"/>
      <c r="I35" s="26"/>
      <c r="J35" s="26"/>
      <c r="K35" s="26"/>
      <c r="L35" s="26"/>
      <c r="M35" s="26"/>
      <c r="N35" s="26"/>
      <c r="O35" s="26"/>
      <c r="P35" s="27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>
      <c r="A36" s="26"/>
      <c r="B36" s="26"/>
      <c r="C36" s="26"/>
      <c r="D36" s="26"/>
      <c r="E36" s="26"/>
      <c r="F36" s="27"/>
      <c r="G36" s="26"/>
      <c r="H36" s="26"/>
      <c r="I36" s="26"/>
      <c r="J36" s="26"/>
      <c r="K36" s="26"/>
      <c r="L36" s="26"/>
      <c r="M36" s="26"/>
      <c r="N36" s="26"/>
      <c r="O36" s="26"/>
      <c r="P36" s="27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>
      <c r="A37" s="26"/>
      <c r="B37" s="26"/>
      <c r="C37" s="26"/>
      <c r="D37" s="26"/>
      <c r="E37" s="26"/>
      <c r="F37" s="27"/>
      <c r="G37" s="26"/>
      <c r="H37" s="26"/>
      <c r="I37" s="26"/>
      <c r="J37" s="26"/>
      <c r="K37" s="26"/>
      <c r="L37" s="26"/>
      <c r="M37" s="26"/>
      <c r="N37" s="26"/>
      <c r="O37" s="26"/>
      <c r="P37" s="27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>
      <c r="A38" s="26"/>
      <c r="B38" s="26"/>
      <c r="C38" s="26"/>
      <c r="D38" s="26"/>
      <c r="E38" s="26"/>
      <c r="F38" s="27"/>
      <c r="G38" s="26"/>
      <c r="H38" s="26"/>
      <c r="I38" s="26"/>
      <c r="J38" s="26"/>
      <c r="K38" s="26"/>
      <c r="L38" s="26"/>
      <c r="M38" s="26"/>
      <c r="N38" s="26"/>
      <c r="O38" s="26"/>
      <c r="P38" s="27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>
      <c r="A39" s="26"/>
      <c r="B39" s="26"/>
      <c r="C39" s="26"/>
      <c r="D39" s="26"/>
      <c r="E39" s="26"/>
      <c r="F39" s="27"/>
      <c r="G39" s="26"/>
      <c r="H39" s="26"/>
      <c r="I39" s="26"/>
      <c r="J39" s="26"/>
      <c r="K39" s="26"/>
      <c r="L39" s="26"/>
      <c r="M39" s="26"/>
      <c r="N39" s="26"/>
      <c r="O39" s="26"/>
      <c r="P39" s="27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>
      <c r="A40" s="26"/>
      <c r="B40" s="26"/>
      <c r="C40" s="26"/>
      <c r="D40" s="26"/>
      <c r="E40" s="26"/>
      <c r="F40" s="27"/>
      <c r="G40" s="26"/>
      <c r="H40" s="26"/>
      <c r="I40" s="26"/>
      <c r="J40" s="26"/>
      <c r="K40" s="26"/>
      <c r="L40" s="26"/>
      <c r="M40" s="26"/>
      <c r="N40" s="26"/>
      <c r="O40" s="26"/>
      <c r="P40" s="27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>
      <c r="A41" s="26"/>
      <c r="B41" s="26"/>
      <c r="C41" s="26"/>
      <c r="D41" s="26"/>
      <c r="E41" s="26"/>
      <c r="F41" s="27"/>
      <c r="G41" s="26"/>
      <c r="H41" s="26"/>
      <c r="I41" s="26"/>
      <c r="J41" s="26"/>
      <c r="K41" s="26"/>
      <c r="L41" s="26"/>
      <c r="M41" s="26"/>
      <c r="N41" s="26"/>
      <c r="O41" s="26"/>
      <c r="P41" s="27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>
      <c r="A42" s="26"/>
      <c r="B42" s="26"/>
      <c r="C42" s="26"/>
      <c r="D42" s="26"/>
      <c r="E42" s="26"/>
      <c r="F42" s="27"/>
      <c r="G42" s="26"/>
      <c r="H42" s="26"/>
      <c r="I42" s="26"/>
      <c r="J42" s="26"/>
      <c r="K42" s="26"/>
      <c r="L42" s="26"/>
      <c r="M42" s="26"/>
      <c r="N42" s="26"/>
      <c r="O42" s="26"/>
      <c r="P42" s="27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>
      <c r="A43" s="26"/>
      <c r="B43" s="26"/>
      <c r="C43" s="26"/>
      <c r="D43" s="26"/>
      <c r="E43" s="26"/>
      <c r="F43" s="27"/>
      <c r="G43" s="26"/>
      <c r="H43" s="26"/>
      <c r="I43" s="26"/>
      <c r="J43" s="26"/>
      <c r="K43" s="26"/>
      <c r="L43" s="26"/>
      <c r="M43" s="26"/>
      <c r="N43" s="26"/>
      <c r="O43" s="26"/>
      <c r="P43" s="27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>
      <c r="A44" s="26"/>
      <c r="B44" s="26"/>
      <c r="C44" s="26"/>
      <c r="D44" s="26"/>
      <c r="E44" s="26"/>
      <c r="F44" s="27"/>
      <c r="G44" s="26"/>
      <c r="H44" s="26"/>
      <c r="I44" s="26"/>
      <c r="J44" s="26"/>
      <c r="K44" s="26"/>
      <c r="L44" s="26"/>
      <c r="M44" s="26"/>
      <c r="N44" s="26"/>
      <c r="O44" s="26"/>
      <c r="P44" s="27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>
      <c r="A45" s="26"/>
      <c r="B45" s="26"/>
      <c r="C45" s="26"/>
      <c r="D45" s="26"/>
      <c r="E45" s="26"/>
      <c r="F45" s="27"/>
      <c r="G45" s="26"/>
      <c r="H45" s="26"/>
      <c r="I45" s="26"/>
      <c r="J45" s="26"/>
      <c r="K45" s="26"/>
      <c r="L45" s="26"/>
      <c r="M45" s="26"/>
      <c r="N45" s="26"/>
      <c r="O45" s="26"/>
      <c r="P45" s="27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>
      <c r="A46" s="26"/>
      <c r="B46" s="26"/>
      <c r="C46" s="26"/>
      <c r="D46" s="26"/>
      <c r="E46" s="26"/>
      <c r="F46" s="27"/>
      <c r="G46" s="26"/>
      <c r="H46" s="26"/>
      <c r="I46" s="26"/>
      <c r="J46" s="26"/>
      <c r="K46" s="26"/>
      <c r="L46" s="26"/>
      <c r="M46" s="26"/>
      <c r="N46" s="26"/>
      <c r="O46" s="26"/>
      <c r="P46" s="27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>
      <c r="A47" s="26"/>
      <c r="B47" s="26"/>
      <c r="C47" s="26"/>
      <c r="D47" s="26"/>
      <c r="E47" s="26"/>
      <c r="F47" s="27"/>
      <c r="G47" s="26"/>
      <c r="H47" s="26"/>
      <c r="I47" s="26"/>
      <c r="J47" s="26"/>
      <c r="K47" s="26"/>
      <c r="L47" s="26"/>
      <c r="M47" s="26"/>
      <c r="N47" s="26"/>
      <c r="O47" s="26"/>
      <c r="P47" s="27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>
      <c r="A48" s="26"/>
      <c r="B48" s="26"/>
      <c r="C48" s="26"/>
      <c r="D48" s="26"/>
      <c r="E48" s="26"/>
      <c r="F48" s="27"/>
      <c r="G48" s="26"/>
      <c r="H48" s="26"/>
      <c r="I48" s="26"/>
      <c r="J48" s="26"/>
      <c r="K48" s="26"/>
      <c r="L48" s="26"/>
      <c r="M48" s="26"/>
      <c r="N48" s="26"/>
      <c r="O48" s="26"/>
      <c r="P48" s="27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>
      <c r="A49" s="26"/>
      <c r="B49" s="26"/>
      <c r="C49" s="26"/>
      <c r="D49" s="26"/>
      <c r="E49" s="26"/>
      <c r="F49" s="27"/>
      <c r="G49" s="26"/>
      <c r="H49" s="26"/>
      <c r="I49" s="26"/>
      <c r="J49" s="26"/>
      <c r="K49" s="26"/>
      <c r="L49" s="26"/>
      <c r="M49" s="26"/>
      <c r="N49" s="26"/>
      <c r="O49" s="26"/>
      <c r="P49" s="27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>
      <c r="A50" s="26"/>
      <c r="B50" s="26"/>
      <c r="C50" s="26"/>
      <c r="D50" s="26"/>
      <c r="E50" s="26"/>
      <c r="F50" s="27"/>
      <c r="G50" s="26"/>
      <c r="H50" s="26"/>
      <c r="I50" s="26"/>
      <c r="J50" s="26"/>
      <c r="K50" s="26"/>
      <c r="L50" s="26"/>
      <c r="M50" s="26"/>
      <c r="N50" s="26"/>
      <c r="O50" s="26"/>
      <c r="P50" s="27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9.149999999999999">
      <c r="A51" s="26"/>
      <c r="B51" s="26"/>
      <c r="C51" s="26"/>
      <c r="D51" s="26"/>
      <c r="E51" s="26"/>
      <c r="F51" s="27"/>
      <c r="G51" s="37"/>
      <c r="H51" s="26"/>
      <c r="I51" s="26"/>
      <c r="J51" s="26"/>
      <c r="K51" s="26"/>
      <c r="L51" s="26"/>
      <c r="M51" s="26"/>
      <c r="N51" s="26"/>
      <c r="O51" s="26"/>
      <c r="P51" s="27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>
      <c r="E52" s="31"/>
    </row>
    <row r="53" spans="1:26">
      <c r="D53" s="30"/>
    </row>
  </sheetData>
  <mergeCells count="1">
    <mergeCell ref="A1:Z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D59CC-7412-466E-BB8B-FB204D5F75EE}">
  <sheetPr codeName="Sheet19">
    <tabColor rgb="FFD783C5"/>
  </sheetPr>
  <dimension ref="A1:Z32"/>
  <sheetViews>
    <sheetView showGridLines="0" topLeftCell="B1" zoomScale="80" zoomScaleNormal="80" workbookViewId="0"/>
  </sheetViews>
  <sheetFormatPr defaultRowHeight="14.45"/>
  <sheetData>
    <row r="1" spans="1:26" ht="34.5" customHeight="1">
      <c r="A1" s="185" t="s">
        <v>1169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</row>
    <row r="2" spans="1:26" ht="48.75" customHeight="1">
      <c r="A2" s="186"/>
      <c r="B2" s="186"/>
      <c r="C2" s="186"/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86"/>
      <c r="R2" s="186"/>
      <c r="S2" s="186"/>
      <c r="T2" s="186"/>
      <c r="U2" s="186"/>
      <c r="V2" s="186"/>
      <c r="W2" s="186"/>
      <c r="X2" s="186"/>
      <c r="Y2" s="186"/>
      <c r="Z2" s="186"/>
    </row>
    <row r="3" spans="1:26" ht="30" customHeight="1">
      <c r="A3" s="35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>
      <c r="A4" s="26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</sheetData>
  <mergeCells count="2">
    <mergeCell ref="A1:Z1"/>
    <mergeCell ref="A2:Z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FA30D-B707-416B-ACAF-4D1EE0BFF5AB}">
  <sheetPr codeName="Sheet15">
    <tabColor rgb="FFD783C5"/>
  </sheetPr>
  <dimension ref="A1:Z32"/>
  <sheetViews>
    <sheetView showGridLines="0" topLeftCell="F7" zoomScale="80" zoomScaleNormal="80" workbookViewId="0">
      <selection activeCell="P12" sqref="P12:P14"/>
    </sheetView>
  </sheetViews>
  <sheetFormatPr defaultRowHeight="14.45"/>
  <sheetData>
    <row r="1" spans="1:26" ht="34.5" customHeight="1">
      <c r="A1" s="185" t="s">
        <v>1169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</row>
    <row r="2" spans="1:26" ht="48.75" customHeight="1">
      <c r="A2" s="186"/>
      <c r="B2" s="186"/>
      <c r="C2" s="186"/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86"/>
      <c r="R2" s="186"/>
      <c r="S2" s="186"/>
      <c r="T2" s="186"/>
      <c r="U2" s="186"/>
      <c r="V2" s="186"/>
      <c r="W2" s="186"/>
      <c r="X2" s="186"/>
      <c r="Y2" s="186"/>
      <c r="Z2" s="186"/>
    </row>
    <row r="3" spans="1:26" ht="30" customHeight="1">
      <c r="A3" s="35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>
      <c r="A4" s="26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</sheetData>
  <mergeCells count="2">
    <mergeCell ref="A1:Z1"/>
    <mergeCell ref="A2:Z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514E9-9134-4F80-996F-8BF9CB3EC27C}">
  <sheetPr codeName="Sheet18">
    <tabColor rgb="FFD783C5"/>
  </sheetPr>
  <dimension ref="A1:Z32"/>
  <sheetViews>
    <sheetView showGridLines="0" topLeftCell="A7" zoomScale="80" zoomScaleNormal="80" workbookViewId="0">
      <selection activeCell="I32" sqref="I32"/>
    </sheetView>
  </sheetViews>
  <sheetFormatPr defaultRowHeight="14.45"/>
  <sheetData>
    <row r="1" spans="1:26" ht="34.5" customHeight="1">
      <c r="A1" s="185" t="s">
        <v>1169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</row>
    <row r="2" spans="1:26" ht="48.75" customHeight="1">
      <c r="A2" s="186"/>
      <c r="B2" s="186"/>
      <c r="C2" s="186"/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86"/>
      <c r="R2" s="186"/>
      <c r="S2" s="186"/>
      <c r="T2" s="186"/>
      <c r="U2" s="186"/>
      <c r="V2" s="186"/>
      <c r="W2" s="186"/>
      <c r="X2" s="186"/>
      <c r="Y2" s="186"/>
      <c r="Z2" s="186"/>
    </row>
    <row r="3" spans="1:26" ht="30" customHeight="1">
      <c r="A3" s="35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>
      <c r="A4" s="26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</sheetData>
  <mergeCells count="2">
    <mergeCell ref="A1:Z1"/>
    <mergeCell ref="A2:Z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2621A-5B97-4CF3-BC50-3D54F47B51F6}">
  <sheetPr codeName="Sheet2">
    <tabColor theme="5" tint="0.59999389629810485"/>
  </sheetPr>
  <dimension ref="A1"/>
  <sheetViews>
    <sheetView showGridLines="0" workbookViewId="0">
      <selection activeCell="C16" sqref="C16"/>
    </sheetView>
  </sheetViews>
  <sheetFormatPr defaultRowHeight="14.4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D73D9-04AF-4517-B86B-5864D342CFB1}">
  <sheetPr codeName="Sheet3">
    <tabColor theme="5" tint="0.59999389629810485"/>
  </sheetPr>
  <dimension ref="A1"/>
  <sheetViews>
    <sheetView showGridLines="0" workbookViewId="0">
      <selection activeCell="D8" sqref="D8"/>
    </sheetView>
  </sheetViews>
  <sheetFormatPr defaultRowHeight="14.4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A3C80-22F1-4D72-8434-343B979C44F8}">
  <sheetPr codeName="Sheet4">
    <tabColor theme="5" tint="0.59999389629810485"/>
  </sheetPr>
  <dimension ref="A1"/>
  <sheetViews>
    <sheetView showGridLines="0" workbookViewId="0">
      <selection activeCell="D9" sqref="D9"/>
    </sheetView>
  </sheetViews>
  <sheetFormatPr defaultRowHeight="14.4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FBD91-9F00-448E-8661-242A983A7D43}">
  <sheetPr codeName="Sheet7">
    <tabColor theme="5" tint="0.59999389629810485"/>
  </sheetPr>
  <dimension ref="A1"/>
  <sheetViews>
    <sheetView showGridLines="0" workbookViewId="0">
      <selection activeCell="D5" sqref="D5"/>
    </sheetView>
  </sheetViews>
  <sheetFormatPr defaultRowHeight="14.45"/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1E367-48FF-4B25-9B70-496ADD998151}">
  <sheetPr codeName="Sheet8">
    <tabColor theme="5" tint="0.59999389629810485"/>
  </sheetPr>
  <dimension ref="A1"/>
  <sheetViews>
    <sheetView showGridLines="0" workbookViewId="0">
      <selection activeCell="C9" sqref="C9"/>
    </sheetView>
  </sheetViews>
  <sheetFormatPr defaultRowHeight="14.45"/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9F832-77B8-48E6-8EAA-883E798380B4}">
  <sheetPr codeName="Sheet10">
    <tabColor theme="8" tint="0.59999389629810485"/>
  </sheetPr>
  <dimension ref="A1"/>
  <sheetViews>
    <sheetView showGridLines="0" workbookViewId="0">
      <selection activeCell="C20" sqref="C20"/>
    </sheetView>
  </sheetViews>
  <sheetFormatPr defaultRowHeight="14.45"/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A7329-8804-4659-8557-7D2F0B2A7C3E}">
  <sheetPr codeName="Sheet9">
    <tabColor theme="8" tint="0.59999389629810485"/>
  </sheetPr>
  <dimension ref="A1"/>
  <sheetViews>
    <sheetView showGridLines="0" workbookViewId="0">
      <selection activeCell="D7" sqref="D7"/>
    </sheetView>
  </sheetViews>
  <sheetFormatPr defaultRowHeight="14.4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EA3CD-808B-4412-BF79-54E9C6337412}">
  <sheetPr codeName="Sheet11">
    <tabColor theme="8" tint="0.59999389629810485"/>
  </sheetPr>
  <dimension ref="A1"/>
  <sheetViews>
    <sheetView showGridLines="0" workbookViewId="0">
      <selection activeCell="D8" sqref="D8"/>
    </sheetView>
  </sheetViews>
  <sheetFormatPr defaultRowHeight="14.45"/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6A596-A7AA-4022-B499-4B7E460D993D}">
  <sheetPr codeName="Sheet12">
    <tabColor theme="8" tint="0.59999389629810485"/>
  </sheetPr>
  <dimension ref="A1"/>
  <sheetViews>
    <sheetView showGridLines="0" workbookViewId="0">
      <selection activeCell="C10" sqref="C10"/>
    </sheetView>
  </sheetViews>
  <sheetFormatPr defaultRowHeight="14.45"/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D481A-B4D9-4483-888D-6DEB0AC94F7C}">
  <sheetPr codeName="Sheet13">
    <tabColor theme="8" tint="0.59999389629810485"/>
  </sheetPr>
  <dimension ref="A1"/>
  <sheetViews>
    <sheetView showGridLines="0" workbookViewId="0">
      <selection activeCell="C4" sqref="C4"/>
    </sheetView>
  </sheetViews>
  <sheetFormatPr defaultRowHeight="14.45"/>
  <sheetData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08BFC-37E6-4F82-8E8B-C92167F347C8}">
  <sheetPr codeName="Sheet14">
    <tabColor theme="8" tint="0.59999389629810485"/>
  </sheetPr>
  <dimension ref="A1"/>
  <sheetViews>
    <sheetView showGridLines="0" zoomScaleNormal="100" workbookViewId="0">
      <selection activeCell="C4" sqref="C4"/>
    </sheetView>
  </sheetViews>
  <sheetFormatPr defaultRowHeight="14.45"/>
  <sheetData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3A8B9-39A5-434E-B2D9-53C551DDE530}">
  <sheetPr codeName="Sheet16">
    <tabColor theme="8" tint="0.59999389629810485"/>
  </sheetPr>
  <dimension ref="A1"/>
  <sheetViews>
    <sheetView showGridLines="0" workbookViewId="0">
      <selection activeCell="C14" sqref="C14"/>
    </sheetView>
  </sheetViews>
  <sheetFormatPr defaultRowHeight="14.45"/>
  <sheetData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F10E6-D082-4EFB-94FA-12A6404DFEDD}">
  <sheetPr codeName="Sheet17">
    <tabColor rgb="FFE9B9DF"/>
  </sheetPr>
  <dimension ref="A1"/>
  <sheetViews>
    <sheetView showGridLines="0" workbookViewId="0">
      <selection activeCell="D8" sqref="D8"/>
    </sheetView>
  </sheetViews>
  <sheetFormatPr defaultRowHeight="14.45"/>
  <sheetData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C0107-4034-4102-B6E8-7A803D55A54D}">
  <sheetPr codeName="Sheet20">
    <tabColor rgb="FFE9B9DF"/>
  </sheetPr>
  <dimension ref="A1"/>
  <sheetViews>
    <sheetView showGridLines="0" workbookViewId="0">
      <selection activeCell="D8" sqref="D8"/>
    </sheetView>
  </sheetViews>
  <sheetFormatPr defaultRowHeight="14.45"/>
  <sheetData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94320-D9BA-4586-A9D7-2C27E864C820}">
  <sheetPr codeName="Sheet21">
    <tabColor rgb="FFE9B9DF"/>
  </sheetPr>
  <dimension ref="A1"/>
  <sheetViews>
    <sheetView showGridLines="0" workbookViewId="0">
      <selection activeCell="D8" sqref="D8"/>
    </sheetView>
  </sheetViews>
  <sheetFormatPr defaultRowHeight="14.45"/>
  <sheetData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B8AE1-3B4A-4A63-8A88-9810CAC555AB}">
  <sheetPr codeName="Sheet22">
    <tabColor rgb="FFE9B9DF"/>
  </sheetPr>
  <dimension ref="A1"/>
  <sheetViews>
    <sheetView showGridLines="0" workbookViewId="0">
      <selection activeCell="D8" sqref="D8"/>
    </sheetView>
  </sheetViews>
  <sheetFormatPr defaultRowHeight="14.45"/>
  <sheetData/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7FC4D-9CDD-430C-9BDF-F00573C34767}">
  <sheetPr codeName="Sheet23">
    <tabColor rgb="FFE9B9DF"/>
  </sheetPr>
  <dimension ref="A1"/>
  <sheetViews>
    <sheetView showGridLines="0" workbookViewId="0">
      <selection activeCell="D8" sqref="D8"/>
    </sheetView>
  </sheetViews>
  <sheetFormatPr defaultRowHeight="14.45"/>
  <sheetData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9D3A5-B77B-448B-B0C5-72D4E3ABD2ED}">
  <sheetPr codeName="Sheet24">
    <tabColor rgb="FFE9B9DF"/>
  </sheetPr>
  <dimension ref="A1:AK2"/>
  <sheetViews>
    <sheetView showGridLines="0" workbookViewId="0">
      <selection activeCell="D8" sqref="D8"/>
    </sheetView>
  </sheetViews>
  <sheetFormatPr defaultRowHeight="14.45"/>
  <cols>
    <col min="1" max="1" width="9.140625" style="1"/>
    <col min="6" max="6" width="9.140625" style="1"/>
    <col min="11" max="11" width="9.140625" style="1"/>
    <col min="16" max="16" width="9.140625" style="1"/>
    <col min="21" max="21" width="9.140625" style="1"/>
    <col min="22" max="22" width="9.140625" style="2"/>
    <col min="26" max="26" width="9.140625" style="1"/>
    <col min="31" max="31" width="9.140625" style="1"/>
    <col min="36" max="36" width="9.140625" style="1"/>
    <col min="37" max="37" width="9.140625" style="2"/>
  </cols>
  <sheetData>
    <row r="1" customFormat="1"/>
    <row r="2" customFormat="1"/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03447-C271-44F5-90D9-70094A118B85}">
  <sheetPr codeName="Sheet25">
    <tabColor rgb="FFE9B9DF"/>
  </sheetPr>
  <dimension ref="A1"/>
  <sheetViews>
    <sheetView showGridLines="0" workbookViewId="0">
      <selection activeCell="D8" sqref="D8"/>
    </sheetView>
  </sheetViews>
  <sheetFormatPr defaultRowHeight="14.45"/>
  <sheetData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537CA-2AEC-4D8D-907B-876BB83B28D7}">
  <sheetPr codeName="Sheet26">
    <tabColor rgb="FFE9B9DF"/>
  </sheetPr>
  <dimension ref="A1"/>
  <sheetViews>
    <sheetView showGridLines="0" workbookViewId="0">
      <selection activeCell="D8" sqref="D8"/>
    </sheetView>
  </sheetViews>
  <sheetFormatPr defaultRowHeight="14.45"/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41AC4-4B83-400A-ABC1-3B050303DB5B}">
  <sheetPr codeName="Sheet27">
    <tabColor rgb="FFE9B9DF"/>
  </sheetPr>
  <dimension ref="A1"/>
  <sheetViews>
    <sheetView showGridLines="0" workbookViewId="0">
      <selection activeCell="D8" sqref="D8"/>
    </sheetView>
  </sheetViews>
  <sheetFormatPr defaultRowHeight="14.45"/>
  <sheetData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CBD96-4104-45E7-87CD-2048BA854958}">
  <sheetPr codeName="Sheet28">
    <tabColor rgb="FFE9B9DF"/>
  </sheetPr>
  <dimension ref="A1"/>
  <sheetViews>
    <sheetView showGridLines="0" workbookViewId="0">
      <selection activeCell="D8" sqref="D8"/>
    </sheetView>
  </sheetViews>
  <sheetFormatPr defaultRowHeight="14.45"/>
  <sheetData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181E2-6EF9-41E4-992B-F3D9931B7F2F}">
  <sheetPr codeName="Sheet29">
    <tabColor rgb="FFE9B9DF"/>
  </sheetPr>
  <dimension ref="A1"/>
  <sheetViews>
    <sheetView showGridLines="0" workbookViewId="0">
      <selection activeCell="D8" sqref="D8"/>
    </sheetView>
  </sheetViews>
  <sheetFormatPr defaultRowHeight="14.45"/>
  <sheetData/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4C490-83CC-46FC-AA50-4A69CEF05E34}">
  <sheetPr codeName="Sheet30">
    <tabColor rgb="FFE9B9DF"/>
  </sheetPr>
  <dimension ref="A1"/>
  <sheetViews>
    <sheetView showGridLines="0" workbookViewId="0">
      <selection activeCell="D8" sqref="D8"/>
    </sheetView>
  </sheetViews>
  <sheetFormatPr defaultRowHeight="14.45"/>
  <sheetData/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1515A-FDDC-4257-9F83-3AC42F525ADC}">
  <sheetPr codeName="Sheet31">
    <tabColor rgb="FFE9B9DF"/>
  </sheetPr>
  <dimension ref="A1"/>
  <sheetViews>
    <sheetView showGridLines="0" workbookViewId="0">
      <selection activeCell="D8" sqref="D8"/>
    </sheetView>
  </sheetViews>
  <sheetFormatPr defaultRowHeight="14.45"/>
  <sheetData/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FD452-7158-43A8-967C-FD356D3B70D4}">
  <sheetPr codeName="Sheet32">
    <tabColor rgb="FFE9B9DF"/>
  </sheetPr>
  <dimension ref="A1"/>
  <sheetViews>
    <sheetView showGridLines="0" workbookViewId="0">
      <selection activeCell="D8" sqref="D8"/>
    </sheetView>
  </sheetViews>
  <sheetFormatPr defaultRowHeight="14.45"/>
  <sheetData/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393B-F44D-461A-9431-C0DB3B24E958}">
  <sheetPr codeName="Sheet33">
    <tabColor rgb="FFE9B9DF"/>
  </sheetPr>
  <dimension ref="A1"/>
  <sheetViews>
    <sheetView showGridLines="0" workbookViewId="0">
      <selection activeCell="D8" sqref="D8"/>
    </sheetView>
  </sheetViews>
  <sheetFormatPr defaultRowHeight="14.4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F928F04F1DFD41B5358ADEBC6890CF" ma:contentTypeVersion="3" ma:contentTypeDescription="Create a new document." ma:contentTypeScope="" ma:versionID="8d11844cbe096219239b78aa19b97f3e">
  <xsd:schema xmlns:xsd="http://www.w3.org/2001/XMLSchema" xmlns:xs="http://www.w3.org/2001/XMLSchema" xmlns:p="http://schemas.microsoft.com/office/2006/metadata/properties" xmlns:ns2="a2248811-12a1-4183-b2e5-c460aa6a38ab" targetNamespace="http://schemas.microsoft.com/office/2006/metadata/properties" ma:root="true" ma:fieldsID="660645617980723daa53f47c336ba207" ns2:_="">
    <xsd:import namespace="a2248811-12a1-4183-b2e5-c460aa6a38a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248811-12a1-4183-b2e5-c460aa6a38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2B0AE5B-07D0-486A-8615-F38DF4634883}"/>
</file>

<file path=customXml/itemProps2.xml><?xml version="1.0" encoding="utf-8"?>
<ds:datastoreItem xmlns:ds="http://schemas.openxmlformats.org/officeDocument/2006/customXml" ds:itemID="{D4812F8B-8762-4CEB-9F64-7171B3A569F1}"/>
</file>

<file path=customXml/itemProps3.xml><?xml version="1.0" encoding="utf-8"?>
<ds:datastoreItem xmlns:ds="http://schemas.openxmlformats.org/officeDocument/2006/customXml" ds:itemID="{4A4100F7-4CF4-441E-80CD-B6920FA2BB2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LE THE KIEN</cp:lastModifiedBy>
  <cp:revision/>
  <dcterms:created xsi:type="dcterms:W3CDTF">2021-10-18T05:39:28Z</dcterms:created>
  <dcterms:modified xsi:type="dcterms:W3CDTF">2023-07-06T07:04:20Z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0x0101004DF928F04F1DFD41B5358ADEBC6890CF</vt:lpwstr>
  </property>
</Properties>
</file>